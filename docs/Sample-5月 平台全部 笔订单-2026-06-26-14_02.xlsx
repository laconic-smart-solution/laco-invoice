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CD7957E5-4420-47B7-9FD5-30B4FA34B8C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xample" sheetId="4" r:id="rId1"/>
    <sheet name="OrderSKUList" sheetId="2" r:id="rId2"/>
  </sheets>
  <definedNames>
    <definedName name="_xlnm._FilterDatabase" localSheetId="0" hidden="1">Example!$K$1:$K$628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632" i="4" l="1"/>
  <c r="BV632" i="4"/>
  <c r="BW632" i="4"/>
  <c r="BX632" i="4"/>
  <c r="BU5" i="4"/>
  <c r="BW5" i="4" s="1"/>
  <c r="BX5" i="4" s="1"/>
  <c r="BV5" i="4"/>
  <c r="BU6" i="4"/>
  <c r="BV6" i="4"/>
  <c r="BW6" i="4" s="1"/>
  <c r="BX6" i="4" s="1"/>
  <c r="BU7" i="4"/>
  <c r="BV7" i="4"/>
  <c r="BW7" i="4"/>
  <c r="BX7" i="4" s="1"/>
  <c r="BU8" i="4"/>
  <c r="BV8" i="4"/>
  <c r="BW8" i="4"/>
  <c r="BX8" i="4" s="1"/>
  <c r="BU9" i="4"/>
  <c r="BV9" i="4"/>
  <c r="BW9" i="4"/>
  <c r="BX9" i="4"/>
  <c r="BU10" i="4"/>
  <c r="BV10" i="4"/>
  <c r="BW10" i="4"/>
  <c r="BX10" i="4"/>
  <c r="BU11" i="4"/>
  <c r="BV11" i="4"/>
  <c r="BW11" i="4"/>
  <c r="BX11" i="4"/>
  <c r="BU12" i="4"/>
  <c r="BV12" i="4"/>
  <c r="BW12" i="4"/>
  <c r="BX12" i="4"/>
  <c r="BU13" i="4"/>
  <c r="BV13" i="4"/>
  <c r="BW13" i="4"/>
  <c r="BX13" i="4"/>
  <c r="BU14" i="4"/>
  <c r="BV14" i="4"/>
  <c r="BW14" i="4"/>
  <c r="BX14" i="4"/>
  <c r="BU15" i="4"/>
  <c r="BV15" i="4"/>
  <c r="BW15" i="4"/>
  <c r="BX15" i="4"/>
  <c r="BU16" i="4"/>
  <c r="BV16" i="4"/>
  <c r="BW16" i="4"/>
  <c r="BX16" i="4"/>
  <c r="BU17" i="4"/>
  <c r="BV17" i="4"/>
  <c r="BW17" i="4"/>
  <c r="BX17" i="4"/>
  <c r="BU18" i="4"/>
  <c r="BV18" i="4"/>
  <c r="BW18" i="4"/>
  <c r="BX18" i="4"/>
  <c r="BU19" i="4"/>
  <c r="BV19" i="4"/>
  <c r="BW19" i="4"/>
  <c r="BX19" i="4"/>
  <c r="BU20" i="4"/>
  <c r="BV20" i="4"/>
  <c r="BW20" i="4"/>
  <c r="BX20" i="4"/>
  <c r="BU21" i="4"/>
  <c r="BV21" i="4"/>
  <c r="BW21" i="4"/>
  <c r="BX21" i="4"/>
  <c r="BU22" i="4"/>
  <c r="BV22" i="4"/>
  <c r="BW22" i="4"/>
  <c r="BX22" i="4"/>
  <c r="BU23" i="4"/>
  <c r="BV23" i="4"/>
  <c r="BW23" i="4"/>
  <c r="BX23" i="4"/>
  <c r="BU24" i="4"/>
  <c r="BV24" i="4"/>
  <c r="BW24" i="4"/>
  <c r="BX24" i="4"/>
  <c r="BU25" i="4"/>
  <c r="BV25" i="4"/>
  <c r="BW25" i="4"/>
  <c r="BX25" i="4"/>
  <c r="BU26" i="4"/>
  <c r="BV26" i="4"/>
  <c r="BW26" i="4"/>
  <c r="BX26" i="4"/>
  <c r="BU27" i="4"/>
  <c r="BV27" i="4"/>
  <c r="BW27" i="4"/>
  <c r="BX27" i="4"/>
  <c r="BU28" i="4"/>
  <c r="BV28" i="4"/>
  <c r="BW28" i="4"/>
  <c r="BX28" i="4"/>
  <c r="BU29" i="4"/>
  <c r="BV29" i="4"/>
  <c r="BW29" i="4"/>
  <c r="BX29" i="4"/>
  <c r="BU30" i="4"/>
  <c r="BV30" i="4"/>
  <c r="BW30" i="4"/>
  <c r="BX30" i="4"/>
  <c r="BU31" i="4"/>
  <c r="BV31" i="4"/>
  <c r="BW31" i="4"/>
  <c r="BX31" i="4"/>
  <c r="BU32" i="4"/>
  <c r="BV32" i="4"/>
  <c r="BW32" i="4"/>
  <c r="BX32" i="4"/>
  <c r="BU33" i="4"/>
  <c r="BV33" i="4"/>
  <c r="BW33" i="4"/>
  <c r="BX33" i="4"/>
  <c r="BU34" i="4"/>
  <c r="BV34" i="4"/>
  <c r="BW34" i="4"/>
  <c r="BX34" i="4"/>
  <c r="BU35" i="4"/>
  <c r="BV35" i="4"/>
  <c r="BW35" i="4"/>
  <c r="BX35" i="4"/>
  <c r="BU36" i="4"/>
  <c r="BV36" i="4"/>
  <c r="BW36" i="4"/>
  <c r="BX36" i="4"/>
  <c r="BU37" i="4"/>
  <c r="BV37" i="4"/>
  <c r="BW37" i="4"/>
  <c r="BX37" i="4"/>
  <c r="BU38" i="4"/>
  <c r="BV38" i="4"/>
  <c r="BW38" i="4"/>
  <c r="BX38" i="4"/>
  <c r="BU39" i="4"/>
  <c r="BV39" i="4"/>
  <c r="BW39" i="4"/>
  <c r="BX39" i="4"/>
  <c r="BU40" i="4"/>
  <c r="BV40" i="4"/>
  <c r="BW40" i="4"/>
  <c r="BX40" i="4"/>
  <c r="BU41" i="4"/>
  <c r="BV41" i="4"/>
  <c r="BW41" i="4"/>
  <c r="BX41" i="4"/>
  <c r="BU42" i="4"/>
  <c r="BV42" i="4"/>
  <c r="BW42" i="4"/>
  <c r="BX42" i="4"/>
  <c r="BU43" i="4"/>
  <c r="BV43" i="4"/>
  <c r="BW43" i="4"/>
  <c r="BX43" i="4"/>
  <c r="BU44" i="4"/>
  <c r="BV44" i="4"/>
  <c r="BW44" i="4"/>
  <c r="BX44" i="4"/>
  <c r="BU45" i="4"/>
  <c r="BV45" i="4"/>
  <c r="BW45" i="4"/>
  <c r="BX45" i="4"/>
  <c r="BU46" i="4"/>
  <c r="BV46" i="4"/>
  <c r="BW46" i="4"/>
  <c r="BX46" i="4"/>
  <c r="BU47" i="4"/>
  <c r="BV47" i="4"/>
  <c r="BW47" i="4"/>
  <c r="BX47" i="4"/>
  <c r="BU48" i="4"/>
  <c r="BV48" i="4"/>
  <c r="BW48" i="4"/>
  <c r="BX48" i="4"/>
  <c r="BU49" i="4"/>
  <c r="BV49" i="4"/>
  <c r="BW49" i="4"/>
  <c r="BX49" i="4"/>
  <c r="BU50" i="4"/>
  <c r="BV50" i="4"/>
  <c r="BW50" i="4"/>
  <c r="BX50" i="4"/>
  <c r="BU51" i="4"/>
  <c r="BV51" i="4"/>
  <c r="BW51" i="4"/>
  <c r="BX51" i="4"/>
  <c r="BU52" i="4"/>
  <c r="BV52" i="4"/>
  <c r="BW52" i="4"/>
  <c r="BX52" i="4"/>
  <c r="BU53" i="4"/>
  <c r="BV53" i="4"/>
  <c r="BW53" i="4"/>
  <c r="BX53" i="4"/>
  <c r="BU54" i="4"/>
  <c r="BV54" i="4"/>
  <c r="BW54" i="4"/>
  <c r="BX54" i="4"/>
  <c r="BU55" i="4"/>
  <c r="BV55" i="4"/>
  <c r="BW55" i="4"/>
  <c r="BX55" i="4"/>
  <c r="BU56" i="4"/>
  <c r="BV56" i="4"/>
  <c r="BW56" i="4"/>
  <c r="BX56" i="4"/>
  <c r="BU57" i="4"/>
  <c r="BV57" i="4"/>
  <c r="BW57" i="4"/>
  <c r="BX57" i="4"/>
  <c r="BU58" i="4"/>
  <c r="BV58" i="4"/>
  <c r="BW58" i="4"/>
  <c r="BX58" i="4"/>
  <c r="BU59" i="4"/>
  <c r="BV59" i="4"/>
  <c r="BW59" i="4"/>
  <c r="BX59" i="4"/>
  <c r="BU60" i="4"/>
  <c r="BV60" i="4"/>
  <c r="BW60" i="4"/>
  <c r="BX60" i="4"/>
  <c r="BU61" i="4"/>
  <c r="BV61" i="4"/>
  <c r="BW61" i="4"/>
  <c r="BX61" i="4"/>
  <c r="BU62" i="4"/>
  <c r="BV62" i="4"/>
  <c r="BW62" i="4"/>
  <c r="BX62" i="4"/>
  <c r="BU63" i="4"/>
  <c r="BV63" i="4"/>
  <c r="BW63" i="4"/>
  <c r="BX63" i="4"/>
  <c r="BU64" i="4"/>
  <c r="BV64" i="4"/>
  <c r="BW64" i="4"/>
  <c r="BX64" i="4"/>
  <c r="BU65" i="4"/>
  <c r="BV65" i="4"/>
  <c r="BW65" i="4"/>
  <c r="BX65" i="4"/>
  <c r="BU66" i="4"/>
  <c r="BV66" i="4"/>
  <c r="BW66" i="4"/>
  <c r="BX66" i="4"/>
  <c r="BU67" i="4"/>
  <c r="BV67" i="4"/>
  <c r="BW67" i="4"/>
  <c r="BX67" i="4"/>
  <c r="BU68" i="4"/>
  <c r="BV68" i="4"/>
  <c r="BW68" i="4"/>
  <c r="BX68" i="4"/>
  <c r="BU69" i="4"/>
  <c r="BV69" i="4"/>
  <c r="BW69" i="4"/>
  <c r="BX69" i="4"/>
  <c r="BU70" i="4"/>
  <c r="BV70" i="4"/>
  <c r="BW70" i="4"/>
  <c r="BX70" i="4"/>
  <c r="BU71" i="4"/>
  <c r="BV71" i="4"/>
  <c r="BW71" i="4"/>
  <c r="BX71" i="4"/>
  <c r="BU72" i="4"/>
  <c r="BV72" i="4"/>
  <c r="BW72" i="4"/>
  <c r="BX72" i="4"/>
  <c r="BU73" i="4"/>
  <c r="BV73" i="4"/>
  <c r="BW73" i="4"/>
  <c r="BX73" i="4"/>
  <c r="BU74" i="4"/>
  <c r="BV74" i="4"/>
  <c r="BW74" i="4"/>
  <c r="BX74" i="4"/>
  <c r="BU75" i="4"/>
  <c r="BV75" i="4"/>
  <c r="BW75" i="4"/>
  <c r="BX75" i="4"/>
  <c r="BU76" i="4"/>
  <c r="BV76" i="4"/>
  <c r="BW76" i="4"/>
  <c r="BX76" i="4"/>
  <c r="BU77" i="4"/>
  <c r="BV77" i="4"/>
  <c r="BW77" i="4"/>
  <c r="BX77" i="4"/>
  <c r="BU78" i="4"/>
  <c r="BV78" i="4"/>
  <c r="BW78" i="4"/>
  <c r="BX78" i="4"/>
  <c r="BU79" i="4"/>
  <c r="BV79" i="4"/>
  <c r="BW79" i="4"/>
  <c r="BX79" i="4"/>
  <c r="BU80" i="4"/>
  <c r="BV80" i="4"/>
  <c r="BW80" i="4"/>
  <c r="BX80" i="4"/>
  <c r="BU81" i="4"/>
  <c r="BV81" i="4"/>
  <c r="BW81" i="4"/>
  <c r="BX81" i="4"/>
  <c r="BU82" i="4"/>
  <c r="BV82" i="4"/>
  <c r="BW82" i="4"/>
  <c r="BX82" i="4"/>
  <c r="BU83" i="4"/>
  <c r="BV83" i="4"/>
  <c r="BW83" i="4"/>
  <c r="BX83" i="4"/>
  <c r="BU84" i="4"/>
  <c r="BV84" i="4"/>
  <c r="BW84" i="4"/>
  <c r="BX84" i="4"/>
  <c r="BU85" i="4"/>
  <c r="BV85" i="4"/>
  <c r="BW85" i="4"/>
  <c r="BX85" i="4"/>
  <c r="BU86" i="4"/>
  <c r="BV86" i="4"/>
  <c r="BW86" i="4"/>
  <c r="BX86" i="4"/>
  <c r="BU87" i="4"/>
  <c r="BV87" i="4"/>
  <c r="BW87" i="4"/>
  <c r="BX87" i="4"/>
  <c r="BU88" i="4"/>
  <c r="BV88" i="4"/>
  <c r="BW88" i="4"/>
  <c r="BX88" i="4"/>
  <c r="BU89" i="4"/>
  <c r="BV89" i="4"/>
  <c r="BW89" i="4"/>
  <c r="BX89" i="4"/>
  <c r="BU90" i="4"/>
  <c r="BV90" i="4"/>
  <c r="BW90" i="4"/>
  <c r="BX90" i="4"/>
  <c r="BU91" i="4"/>
  <c r="BV91" i="4"/>
  <c r="BW91" i="4"/>
  <c r="BX91" i="4"/>
  <c r="BU92" i="4"/>
  <c r="BV92" i="4"/>
  <c r="BW92" i="4"/>
  <c r="BX92" i="4"/>
  <c r="BU93" i="4"/>
  <c r="BV93" i="4"/>
  <c r="BW93" i="4"/>
  <c r="BX93" i="4"/>
  <c r="BU94" i="4"/>
  <c r="BV94" i="4"/>
  <c r="BW94" i="4"/>
  <c r="BX94" i="4"/>
  <c r="BU95" i="4"/>
  <c r="BV95" i="4"/>
  <c r="BW95" i="4"/>
  <c r="BX95" i="4"/>
  <c r="BU96" i="4"/>
  <c r="BV96" i="4"/>
  <c r="BW96" i="4"/>
  <c r="BX96" i="4"/>
  <c r="BU97" i="4"/>
  <c r="BV97" i="4"/>
  <c r="BW97" i="4"/>
  <c r="BX97" i="4"/>
  <c r="BU98" i="4"/>
  <c r="BV98" i="4"/>
  <c r="BW98" i="4"/>
  <c r="BX98" i="4"/>
  <c r="BU99" i="4"/>
  <c r="BV99" i="4"/>
  <c r="BW99" i="4"/>
  <c r="BX99" i="4"/>
  <c r="BU100" i="4"/>
  <c r="BV100" i="4"/>
  <c r="BW100" i="4"/>
  <c r="BX100" i="4"/>
  <c r="BU101" i="4"/>
  <c r="BV101" i="4"/>
  <c r="BW101" i="4"/>
  <c r="BX101" i="4"/>
  <c r="BU102" i="4"/>
  <c r="BV102" i="4"/>
  <c r="BW102" i="4"/>
  <c r="BX102" i="4"/>
  <c r="BU103" i="4"/>
  <c r="BV103" i="4"/>
  <c r="BW103" i="4"/>
  <c r="BX103" i="4"/>
  <c r="BU104" i="4"/>
  <c r="BV104" i="4"/>
  <c r="BW104" i="4"/>
  <c r="BX104" i="4"/>
  <c r="BU105" i="4"/>
  <c r="BV105" i="4"/>
  <c r="BW105" i="4"/>
  <c r="BX105" i="4"/>
  <c r="BU106" i="4"/>
  <c r="BV106" i="4"/>
  <c r="BW106" i="4"/>
  <c r="BX106" i="4"/>
  <c r="BU107" i="4"/>
  <c r="BV107" i="4"/>
  <c r="BW107" i="4"/>
  <c r="BX107" i="4"/>
  <c r="BU108" i="4"/>
  <c r="BV108" i="4"/>
  <c r="BW108" i="4"/>
  <c r="BX108" i="4"/>
  <c r="BU109" i="4"/>
  <c r="BV109" i="4"/>
  <c r="BW109" i="4"/>
  <c r="BX109" i="4"/>
  <c r="BU110" i="4"/>
  <c r="BV110" i="4"/>
  <c r="BW110" i="4"/>
  <c r="BX110" i="4"/>
  <c r="BU111" i="4"/>
  <c r="BV111" i="4"/>
  <c r="BW111" i="4"/>
  <c r="BX111" i="4"/>
  <c r="BU112" i="4"/>
  <c r="BV112" i="4"/>
  <c r="BW112" i="4"/>
  <c r="BX112" i="4"/>
  <c r="BU113" i="4"/>
  <c r="BV113" i="4"/>
  <c r="BW113" i="4"/>
  <c r="BX113" i="4"/>
  <c r="BU114" i="4"/>
  <c r="BV114" i="4"/>
  <c r="BW114" i="4"/>
  <c r="BX114" i="4"/>
  <c r="BU115" i="4"/>
  <c r="BV115" i="4"/>
  <c r="BW115" i="4"/>
  <c r="BX115" i="4"/>
  <c r="BU116" i="4"/>
  <c r="BV116" i="4"/>
  <c r="BW116" i="4"/>
  <c r="BX116" i="4"/>
  <c r="BU117" i="4"/>
  <c r="BV117" i="4"/>
  <c r="BW117" i="4"/>
  <c r="BX117" i="4"/>
  <c r="BU118" i="4"/>
  <c r="BV118" i="4"/>
  <c r="BW118" i="4"/>
  <c r="BX118" i="4"/>
  <c r="BU119" i="4"/>
  <c r="BV119" i="4"/>
  <c r="BW119" i="4"/>
  <c r="BX119" i="4"/>
  <c r="BU120" i="4"/>
  <c r="BV120" i="4"/>
  <c r="BW120" i="4"/>
  <c r="BX120" i="4"/>
  <c r="BU121" i="4"/>
  <c r="BV121" i="4"/>
  <c r="BW121" i="4"/>
  <c r="BX121" i="4"/>
  <c r="BU122" i="4"/>
  <c r="BV122" i="4"/>
  <c r="BW122" i="4"/>
  <c r="BX122" i="4"/>
  <c r="BU123" i="4"/>
  <c r="BV123" i="4"/>
  <c r="BW123" i="4"/>
  <c r="BX123" i="4"/>
  <c r="BU124" i="4"/>
  <c r="BV124" i="4"/>
  <c r="BW124" i="4"/>
  <c r="BX124" i="4"/>
  <c r="BU125" i="4"/>
  <c r="BV125" i="4"/>
  <c r="BW125" i="4"/>
  <c r="BX125" i="4"/>
  <c r="BU126" i="4"/>
  <c r="BV126" i="4"/>
  <c r="BW126" i="4"/>
  <c r="BX126" i="4"/>
  <c r="BU127" i="4"/>
  <c r="BV127" i="4"/>
  <c r="BW127" i="4"/>
  <c r="BX127" i="4"/>
  <c r="BU128" i="4"/>
  <c r="BV128" i="4"/>
  <c r="BW128" i="4"/>
  <c r="BX128" i="4"/>
  <c r="BU129" i="4"/>
  <c r="BV129" i="4"/>
  <c r="BW129" i="4"/>
  <c r="BX129" i="4"/>
  <c r="BU130" i="4"/>
  <c r="BV130" i="4"/>
  <c r="BW130" i="4"/>
  <c r="BX130" i="4"/>
  <c r="BU131" i="4"/>
  <c r="BV131" i="4"/>
  <c r="BW131" i="4"/>
  <c r="BX131" i="4"/>
  <c r="BU132" i="4"/>
  <c r="BV132" i="4"/>
  <c r="BW132" i="4"/>
  <c r="BX132" i="4"/>
  <c r="BU133" i="4"/>
  <c r="BV133" i="4"/>
  <c r="BW133" i="4"/>
  <c r="BX133" i="4"/>
  <c r="BU134" i="4"/>
  <c r="BV134" i="4"/>
  <c r="BW134" i="4"/>
  <c r="BX134" i="4"/>
  <c r="BU135" i="4"/>
  <c r="BV135" i="4"/>
  <c r="BW135" i="4"/>
  <c r="BX135" i="4"/>
  <c r="BU136" i="4"/>
  <c r="BV136" i="4" s="1"/>
  <c r="BW136" i="4" s="1"/>
  <c r="BX136" i="4" s="1"/>
  <c r="BU137" i="4"/>
  <c r="BV137" i="4"/>
  <c r="BW137" i="4"/>
  <c r="BX137" i="4"/>
  <c r="BU138" i="4"/>
  <c r="BV138" i="4"/>
  <c r="BW138" i="4"/>
  <c r="BX138" i="4"/>
  <c r="BU139" i="4"/>
  <c r="BV139" i="4"/>
  <c r="BW139" i="4"/>
  <c r="BX139" i="4"/>
  <c r="BU140" i="4"/>
  <c r="BV140" i="4"/>
  <c r="BW140" i="4"/>
  <c r="BX140" i="4"/>
  <c r="BU141" i="4"/>
  <c r="BV141" i="4"/>
  <c r="BW141" i="4"/>
  <c r="BX141" i="4"/>
  <c r="BU142" i="4"/>
  <c r="BV142" i="4"/>
  <c r="BW142" i="4"/>
  <c r="BX142" i="4"/>
  <c r="BU143" i="4"/>
  <c r="BV143" i="4"/>
  <c r="BW143" i="4"/>
  <c r="BX143" i="4"/>
  <c r="BU144" i="4"/>
  <c r="BV144" i="4"/>
  <c r="BW144" i="4"/>
  <c r="BX144" i="4"/>
  <c r="BU145" i="4"/>
  <c r="BV145" i="4"/>
  <c r="BW145" i="4"/>
  <c r="BX145" i="4"/>
  <c r="BU146" i="4"/>
  <c r="BV146" i="4"/>
  <c r="BW146" i="4"/>
  <c r="BX146" i="4"/>
  <c r="BU147" i="4"/>
  <c r="BV147" i="4"/>
  <c r="BW147" i="4"/>
  <c r="BX147" i="4"/>
  <c r="BU148" i="4"/>
  <c r="BV148" i="4"/>
  <c r="BW148" i="4"/>
  <c r="BX148" i="4"/>
  <c r="BU149" i="4"/>
  <c r="BV149" i="4"/>
  <c r="BW149" i="4"/>
  <c r="BX149" i="4"/>
  <c r="BU150" i="4"/>
  <c r="BV150" i="4"/>
  <c r="BW150" i="4"/>
  <c r="BX150" i="4"/>
  <c r="BU151" i="4"/>
  <c r="BV151" i="4"/>
  <c r="BW151" i="4"/>
  <c r="BX151" i="4"/>
  <c r="BU152" i="4"/>
  <c r="BV152" i="4"/>
  <c r="BW152" i="4"/>
  <c r="BX152" i="4"/>
  <c r="BU153" i="4"/>
  <c r="BV153" i="4"/>
  <c r="BW153" i="4"/>
  <c r="BX153" i="4"/>
  <c r="BU154" i="4"/>
  <c r="BV154" i="4"/>
  <c r="BW154" i="4"/>
  <c r="BX154" i="4"/>
  <c r="BU155" i="4"/>
  <c r="BV155" i="4"/>
  <c r="BW155" i="4"/>
  <c r="BX155" i="4"/>
  <c r="BU156" i="4"/>
  <c r="BV156" i="4"/>
  <c r="BW156" i="4"/>
  <c r="BX156" i="4"/>
  <c r="BU157" i="4"/>
  <c r="BV157" i="4"/>
  <c r="BW157" i="4"/>
  <c r="BX157" i="4"/>
  <c r="BU158" i="4"/>
  <c r="BV158" i="4"/>
  <c r="BW158" i="4"/>
  <c r="BX158" i="4"/>
  <c r="BU159" i="4"/>
  <c r="BV159" i="4"/>
  <c r="BW159" i="4"/>
  <c r="BX159" i="4"/>
  <c r="BU160" i="4"/>
  <c r="BV160" i="4"/>
  <c r="BW160" i="4"/>
  <c r="BX160" i="4"/>
  <c r="BU161" i="4"/>
  <c r="BV161" i="4"/>
  <c r="BW161" i="4"/>
  <c r="BX161" i="4"/>
  <c r="BU162" i="4"/>
  <c r="BV162" i="4"/>
  <c r="BW162" i="4"/>
  <c r="BX162" i="4"/>
  <c r="BU163" i="4"/>
  <c r="BV163" i="4"/>
  <c r="BW163" i="4"/>
  <c r="BX163" i="4"/>
  <c r="BU164" i="4"/>
  <c r="BV164" i="4"/>
  <c r="BW164" i="4"/>
  <c r="BX164" i="4"/>
  <c r="BU165" i="4"/>
  <c r="BV165" i="4"/>
  <c r="BW165" i="4"/>
  <c r="BX165" i="4"/>
  <c r="BU166" i="4"/>
  <c r="BV166" i="4"/>
  <c r="BW166" i="4"/>
  <c r="BX166" i="4"/>
  <c r="BU167" i="4"/>
  <c r="BV167" i="4"/>
  <c r="BW167" i="4"/>
  <c r="BX167" i="4"/>
  <c r="BU168" i="4"/>
  <c r="BV168" i="4"/>
  <c r="BW168" i="4"/>
  <c r="BX168" i="4"/>
  <c r="BU169" i="4"/>
  <c r="BV169" i="4"/>
  <c r="BW169" i="4"/>
  <c r="BX169" i="4"/>
  <c r="BU170" i="4"/>
  <c r="BV170" i="4"/>
  <c r="BW170" i="4"/>
  <c r="BX170" i="4"/>
  <c r="BU171" i="4"/>
  <c r="BV171" i="4"/>
  <c r="BW171" i="4"/>
  <c r="BX171" i="4"/>
  <c r="BU172" i="4"/>
  <c r="BV172" i="4"/>
  <c r="BW172" i="4"/>
  <c r="BX172" i="4"/>
  <c r="BU173" i="4"/>
  <c r="BV173" i="4"/>
  <c r="BW173" i="4"/>
  <c r="BX173" i="4"/>
  <c r="BU174" i="4"/>
  <c r="BV174" i="4"/>
  <c r="BW174" i="4"/>
  <c r="BX174" i="4"/>
  <c r="BU175" i="4"/>
  <c r="BV175" i="4"/>
  <c r="BW175" i="4"/>
  <c r="BX175" i="4"/>
  <c r="BU176" i="4"/>
  <c r="BV176" i="4"/>
  <c r="BW176" i="4"/>
  <c r="BX176" i="4"/>
  <c r="BU177" i="4"/>
  <c r="BV177" i="4"/>
  <c r="BW177" i="4"/>
  <c r="BX177" i="4"/>
  <c r="BU178" i="4"/>
  <c r="BV178" i="4"/>
  <c r="BW178" i="4"/>
  <c r="BX178" i="4"/>
  <c r="BU179" i="4"/>
  <c r="BV179" i="4"/>
  <c r="BW179" i="4"/>
  <c r="BX179" i="4"/>
  <c r="BU180" i="4"/>
  <c r="BV180" i="4"/>
  <c r="BW180" i="4"/>
  <c r="BX180" i="4"/>
  <c r="BU181" i="4"/>
  <c r="BV181" i="4"/>
  <c r="BW181" i="4"/>
  <c r="BX181" i="4"/>
  <c r="BU182" i="4"/>
  <c r="BV182" i="4"/>
  <c r="BW182" i="4"/>
  <c r="BX182" i="4"/>
  <c r="BU183" i="4"/>
  <c r="BV183" i="4"/>
  <c r="BW183" i="4"/>
  <c r="BX183" i="4"/>
  <c r="BU184" i="4"/>
  <c r="BV184" i="4"/>
  <c r="BW184" i="4"/>
  <c r="BX184" i="4"/>
  <c r="BU185" i="4"/>
  <c r="BV185" i="4"/>
  <c r="BW185" i="4"/>
  <c r="BX185" i="4"/>
  <c r="BU186" i="4"/>
  <c r="BV186" i="4"/>
  <c r="BW186" i="4"/>
  <c r="BX186" i="4"/>
  <c r="BU187" i="4"/>
  <c r="BV187" i="4"/>
  <c r="BW187" i="4"/>
  <c r="BX187" i="4"/>
  <c r="BU188" i="4"/>
  <c r="BV188" i="4"/>
  <c r="BW188" i="4"/>
  <c r="BX188" i="4"/>
  <c r="BU189" i="4"/>
  <c r="BV189" i="4"/>
  <c r="BW189" i="4"/>
  <c r="BX189" i="4"/>
  <c r="BU190" i="4"/>
  <c r="BV190" i="4"/>
  <c r="BW190" i="4"/>
  <c r="BX190" i="4"/>
  <c r="BU191" i="4"/>
  <c r="BV191" i="4"/>
  <c r="BW191" i="4"/>
  <c r="BX191" i="4"/>
  <c r="BU192" i="4"/>
  <c r="BV192" i="4"/>
  <c r="BW192" i="4"/>
  <c r="BX192" i="4"/>
  <c r="BU193" i="4"/>
  <c r="BV193" i="4"/>
  <c r="BW193" i="4"/>
  <c r="BX193" i="4"/>
  <c r="BU194" i="4"/>
  <c r="BV194" i="4"/>
  <c r="BW194" i="4"/>
  <c r="BX194" i="4"/>
  <c r="BU195" i="4"/>
  <c r="BV195" i="4"/>
  <c r="BW195" i="4"/>
  <c r="BX195" i="4"/>
  <c r="BU196" i="4"/>
  <c r="BV196" i="4"/>
  <c r="BW196" i="4"/>
  <c r="BX196" i="4"/>
  <c r="BU197" i="4"/>
  <c r="BV197" i="4"/>
  <c r="BW197" i="4"/>
  <c r="BX197" i="4"/>
  <c r="BU198" i="4"/>
  <c r="BV198" i="4"/>
  <c r="BW198" i="4"/>
  <c r="BX198" i="4"/>
  <c r="BU199" i="4"/>
  <c r="BV199" i="4"/>
  <c r="BW199" i="4"/>
  <c r="BX199" i="4"/>
  <c r="BU200" i="4"/>
  <c r="BV200" i="4"/>
  <c r="BW200" i="4"/>
  <c r="BX200" i="4"/>
  <c r="BU201" i="4"/>
  <c r="BV201" i="4"/>
  <c r="BW201" i="4"/>
  <c r="BX201" i="4"/>
  <c r="BU202" i="4"/>
  <c r="BV202" i="4"/>
  <c r="BW202" i="4"/>
  <c r="BX202" i="4"/>
  <c r="BU203" i="4"/>
  <c r="BV203" i="4"/>
  <c r="BW203" i="4"/>
  <c r="BX203" i="4"/>
  <c r="BU204" i="4"/>
  <c r="BV204" i="4"/>
  <c r="BW204" i="4"/>
  <c r="BX204" i="4"/>
  <c r="BU205" i="4"/>
  <c r="BV205" i="4"/>
  <c r="BW205" i="4"/>
  <c r="BX205" i="4"/>
  <c r="BU206" i="4"/>
  <c r="BV206" i="4"/>
  <c r="BW206" i="4"/>
  <c r="BX206" i="4"/>
  <c r="BU207" i="4"/>
  <c r="BV207" i="4"/>
  <c r="BW207" i="4" s="1"/>
  <c r="BX207" i="4" s="1"/>
  <c r="BU208" i="4"/>
  <c r="BV208" i="4"/>
  <c r="BW208" i="4"/>
  <c r="BX208" i="4"/>
  <c r="BU209" i="4"/>
  <c r="BV209" i="4"/>
  <c r="BW209" i="4"/>
  <c r="BX209" i="4"/>
  <c r="BU210" i="4"/>
  <c r="BV210" i="4"/>
  <c r="BW210" i="4"/>
  <c r="BX210" i="4"/>
  <c r="BU211" i="4"/>
  <c r="BV211" i="4"/>
  <c r="BW211" i="4"/>
  <c r="BX211" i="4"/>
  <c r="BU212" i="4"/>
  <c r="BV212" i="4"/>
  <c r="BW212" i="4"/>
  <c r="BX212" i="4"/>
  <c r="BU213" i="4"/>
  <c r="BV213" i="4"/>
  <c r="BW213" i="4"/>
  <c r="BX213" i="4"/>
  <c r="BU214" i="4"/>
  <c r="BV214" i="4"/>
  <c r="BW214" i="4"/>
  <c r="BX214" i="4"/>
  <c r="BU215" i="4"/>
  <c r="BV215" i="4"/>
  <c r="BW215" i="4"/>
  <c r="BX215" i="4"/>
  <c r="BU216" i="4"/>
  <c r="BV216" i="4"/>
  <c r="BW216" i="4"/>
  <c r="BX216" i="4"/>
  <c r="BU217" i="4"/>
  <c r="BV217" i="4"/>
  <c r="BW217" i="4"/>
  <c r="BX217" i="4"/>
  <c r="BU218" i="4"/>
  <c r="BV218" i="4"/>
  <c r="BW218" i="4"/>
  <c r="BX218" i="4"/>
  <c r="BU219" i="4"/>
  <c r="BV219" i="4"/>
  <c r="BW219" i="4"/>
  <c r="BX219" i="4"/>
  <c r="BU220" i="4"/>
  <c r="BV220" i="4"/>
  <c r="BW220" i="4"/>
  <c r="BX220" i="4"/>
  <c r="BU221" i="4"/>
  <c r="BV221" i="4"/>
  <c r="BW221" i="4"/>
  <c r="BX221" i="4"/>
  <c r="BU222" i="4"/>
  <c r="BV222" i="4"/>
  <c r="BW222" i="4"/>
  <c r="BX222" i="4"/>
  <c r="BU223" i="4"/>
  <c r="BV223" i="4"/>
  <c r="BW223" i="4"/>
  <c r="BX223" i="4"/>
  <c r="BU224" i="4"/>
  <c r="BV224" i="4"/>
  <c r="BW224" i="4"/>
  <c r="BX224" i="4"/>
  <c r="BU225" i="4"/>
  <c r="BV225" i="4"/>
  <c r="BW225" i="4"/>
  <c r="BX225" i="4"/>
  <c r="BU226" i="4"/>
  <c r="BV226" i="4"/>
  <c r="BW226" i="4"/>
  <c r="BX226" i="4"/>
  <c r="BU227" i="4"/>
  <c r="BV227" i="4"/>
  <c r="BW227" i="4"/>
  <c r="BX227" i="4"/>
  <c r="BU228" i="4"/>
  <c r="BV228" i="4"/>
  <c r="BW228" i="4"/>
  <c r="BX228" i="4"/>
  <c r="BU229" i="4"/>
  <c r="BV229" i="4"/>
  <c r="BW229" i="4"/>
  <c r="BX229" i="4"/>
  <c r="BU230" i="4"/>
  <c r="BV230" i="4"/>
  <c r="BW230" i="4"/>
  <c r="BX230" i="4"/>
  <c r="BU231" i="4"/>
  <c r="BV231" i="4"/>
  <c r="BW231" i="4"/>
  <c r="BX231" i="4"/>
  <c r="BU232" i="4"/>
  <c r="BV232" i="4"/>
  <c r="BW232" i="4"/>
  <c r="BX232" i="4"/>
  <c r="BU233" i="4"/>
  <c r="BV233" i="4"/>
  <c r="BW233" i="4"/>
  <c r="BX233" i="4"/>
  <c r="BU234" i="4"/>
  <c r="BV234" i="4"/>
  <c r="BW234" i="4"/>
  <c r="BX234" i="4"/>
  <c r="BU235" i="4"/>
  <c r="BV235" i="4"/>
  <c r="BW235" i="4"/>
  <c r="BX235" i="4"/>
  <c r="BU236" i="4"/>
  <c r="BV236" i="4"/>
  <c r="BW236" i="4"/>
  <c r="BX236" i="4"/>
  <c r="BU237" i="4"/>
  <c r="BV237" i="4"/>
  <c r="BW237" i="4"/>
  <c r="BX237" i="4"/>
  <c r="BU238" i="4"/>
  <c r="BV238" i="4"/>
  <c r="BW238" i="4"/>
  <c r="BX238" i="4"/>
  <c r="BU239" i="4"/>
  <c r="BV239" i="4"/>
  <c r="BW239" i="4"/>
  <c r="BX239" i="4"/>
  <c r="BU240" i="4"/>
  <c r="BV240" i="4"/>
  <c r="BW240" i="4"/>
  <c r="BX240" i="4"/>
  <c r="BU241" i="4"/>
  <c r="BV241" i="4"/>
  <c r="BW241" i="4"/>
  <c r="BX241" i="4"/>
  <c r="BU242" i="4"/>
  <c r="BV242" i="4"/>
  <c r="BW242" i="4"/>
  <c r="BX242" i="4"/>
  <c r="BU243" i="4"/>
  <c r="BV243" i="4"/>
  <c r="BW243" i="4"/>
  <c r="BX243" i="4"/>
  <c r="BU244" i="4"/>
  <c r="BV244" i="4"/>
  <c r="BW244" i="4"/>
  <c r="BX244" i="4"/>
  <c r="BU245" i="4"/>
  <c r="BV245" i="4"/>
  <c r="BW245" i="4"/>
  <c r="BX245" i="4"/>
  <c r="BU246" i="4"/>
  <c r="BV246" i="4"/>
  <c r="BW246" i="4"/>
  <c r="BX246" i="4"/>
  <c r="BU247" i="4"/>
  <c r="BV247" i="4"/>
  <c r="BW247" i="4"/>
  <c r="BX247" i="4"/>
  <c r="BU248" i="4"/>
  <c r="BV248" i="4"/>
  <c r="BW248" i="4"/>
  <c r="BX248" i="4"/>
  <c r="BU249" i="4"/>
  <c r="BV249" i="4"/>
  <c r="BW249" i="4"/>
  <c r="BX249" i="4"/>
  <c r="BU250" i="4"/>
  <c r="BV250" i="4"/>
  <c r="BW250" i="4"/>
  <c r="BX250" i="4"/>
  <c r="BU251" i="4"/>
  <c r="BV251" i="4"/>
  <c r="BW251" i="4"/>
  <c r="BX251" i="4"/>
  <c r="BU252" i="4"/>
  <c r="BV252" i="4"/>
  <c r="BW252" i="4"/>
  <c r="BX252" i="4"/>
  <c r="BU253" i="4"/>
  <c r="BV253" i="4"/>
  <c r="BW253" i="4"/>
  <c r="BX253" i="4"/>
  <c r="BU254" i="4"/>
  <c r="BV254" i="4"/>
  <c r="BW254" i="4"/>
  <c r="BX254" i="4"/>
  <c r="BU255" i="4"/>
  <c r="BV255" i="4"/>
  <c r="BW255" i="4"/>
  <c r="BX255" i="4"/>
  <c r="BU256" i="4"/>
  <c r="BV256" i="4"/>
  <c r="BW256" i="4"/>
  <c r="BX256" i="4"/>
  <c r="BU257" i="4"/>
  <c r="BV257" i="4"/>
  <c r="BW257" i="4"/>
  <c r="BX257" i="4"/>
  <c r="BU258" i="4"/>
  <c r="BV258" i="4"/>
  <c r="BW258" i="4"/>
  <c r="BX258" i="4"/>
  <c r="BU259" i="4"/>
  <c r="BV259" i="4"/>
  <c r="BW259" i="4"/>
  <c r="BX259" i="4"/>
  <c r="BU260" i="4"/>
  <c r="BV260" i="4"/>
  <c r="BW260" i="4"/>
  <c r="BX260" i="4"/>
  <c r="BU261" i="4"/>
  <c r="BV261" i="4"/>
  <c r="BW261" i="4"/>
  <c r="BX261" i="4"/>
  <c r="BU262" i="4"/>
  <c r="BV262" i="4"/>
  <c r="BW262" i="4"/>
  <c r="BX262" i="4"/>
  <c r="BU263" i="4"/>
  <c r="BV263" i="4"/>
  <c r="BW263" i="4"/>
  <c r="BX263" i="4"/>
  <c r="BU264" i="4"/>
  <c r="BV264" i="4"/>
  <c r="BW264" i="4"/>
  <c r="BX264" i="4"/>
  <c r="BU265" i="4"/>
  <c r="BV265" i="4"/>
  <c r="BW265" i="4"/>
  <c r="BX265" i="4"/>
  <c r="BU266" i="4"/>
  <c r="BV266" i="4"/>
  <c r="BW266" i="4"/>
  <c r="BX266" i="4"/>
  <c r="BU267" i="4"/>
  <c r="BV267" i="4"/>
  <c r="BW267" i="4"/>
  <c r="BX267" i="4"/>
  <c r="BU268" i="4"/>
  <c r="BV268" i="4"/>
  <c r="BW268" i="4"/>
  <c r="BX268" i="4"/>
  <c r="BU269" i="4"/>
  <c r="BV269" i="4"/>
  <c r="BW269" i="4"/>
  <c r="BX269" i="4"/>
  <c r="BU270" i="4"/>
  <c r="BV270" i="4"/>
  <c r="BW270" i="4"/>
  <c r="BX270" i="4"/>
  <c r="BU271" i="4"/>
  <c r="BV271" i="4"/>
  <c r="BW271" i="4"/>
  <c r="BX271" i="4"/>
  <c r="BU272" i="4"/>
  <c r="BV272" i="4"/>
  <c r="BW272" i="4"/>
  <c r="BX272" i="4"/>
  <c r="BU273" i="4"/>
  <c r="BV273" i="4"/>
  <c r="BW273" i="4"/>
  <c r="BX273" i="4"/>
  <c r="BU274" i="4"/>
  <c r="BV274" i="4"/>
  <c r="BW274" i="4"/>
  <c r="BX274" i="4"/>
  <c r="BU275" i="4"/>
  <c r="BV275" i="4"/>
  <c r="BW275" i="4"/>
  <c r="BX275" i="4"/>
  <c r="BU276" i="4"/>
  <c r="BV276" i="4"/>
  <c r="BW276" i="4"/>
  <c r="BX276" i="4"/>
  <c r="BU277" i="4"/>
  <c r="BV277" i="4"/>
  <c r="BW277" i="4"/>
  <c r="BX277" i="4"/>
  <c r="BU278" i="4"/>
  <c r="BV278" i="4"/>
  <c r="BW278" i="4"/>
  <c r="BX278" i="4"/>
  <c r="BU279" i="4"/>
  <c r="BV279" i="4"/>
  <c r="BW279" i="4"/>
  <c r="BX279" i="4"/>
  <c r="BU280" i="4"/>
  <c r="BV280" i="4"/>
  <c r="BW280" i="4"/>
  <c r="BX280" i="4"/>
  <c r="BU281" i="4"/>
  <c r="BV281" i="4"/>
  <c r="BW281" i="4"/>
  <c r="BX281" i="4"/>
  <c r="BU282" i="4"/>
  <c r="BV282" i="4"/>
  <c r="BW282" i="4"/>
  <c r="BX282" i="4"/>
  <c r="BU283" i="4"/>
  <c r="BV283" i="4"/>
  <c r="BW283" i="4"/>
  <c r="BX283" i="4"/>
  <c r="BU284" i="4"/>
  <c r="BV284" i="4"/>
  <c r="BW284" i="4"/>
  <c r="BX284" i="4"/>
  <c r="BU285" i="4"/>
  <c r="BV285" i="4"/>
  <c r="BW285" i="4"/>
  <c r="BX285" i="4"/>
  <c r="BU286" i="4"/>
  <c r="BV286" i="4"/>
  <c r="BW286" i="4"/>
  <c r="BX286" i="4"/>
  <c r="BU287" i="4"/>
  <c r="BV287" i="4"/>
  <c r="BW287" i="4"/>
  <c r="BX287" i="4"/>
  <c r="BU288" i="4"/>
  <c r="BV288" i="4"/>
  <c r="BW288" i="4"/>
  <c r="BX288" i="4"/>
  <c r="BU289" i="4"/>
  <c r="BV289" i="4"/>
  <c r="BW289" i="4"/>
  <c r="BX289" i="4"/>
  <c r="BU290" i="4"/>
  <c r="BV290" i="4"/>
  <c r="BW290" i="4"/>
  <c r="BX290" i="4"/>
  <c r="BU291" i="4"/>
  <c r="BV291" i="4"/>
  <c r="BW291" i="4"/>
  <c r="BX291" i="4"/>
  <c r="BU292" i="4"/>
  <c r="BV292" i="4"/>
  <c r="BW292" i="4"/>
  <c r="BX292" i="4"/>
  <c r="BU293" i="4"/>
  <c r="BV293" i="4"/>
  <c r="BW293" i="4"/>
  <c r="BX293" i="4"/>
  <c r="BU294" i="4"/>
  <c r="BV294" i="4"/>
  <c r="BW294" i="4"/>
  <c r="BX294" i="4"/>
  <c r="BU295" i="4"/>
  <c r="BV295" i="4"/>
  <c r="BW295" i="4"/>
  <c r="BX295" i="4"/>
  <c r="BU296" i="4"/>
  <c r="BV296" i="4"/>
  <c r="BW296" i="4"/>
  <c r="BX296" i="4"/>
  <c r="BU297" i="4"/>
  <c r="BV297" i="4"/>
  <c r="BW297" i="4"/>
  <c r="BX297" i="4"/>
  <c r="BU298" i="4"/>
  <c r="BV298" i="4"/>
  <c r="BW298" i="4"/>
  <c r="BX298" i="4"/>
  <c r="BU299" i="4"/>
  <c r="BV299" i="4"/>
  <c r="BW299" i="4"/>
  <c r="BX299" i="4"/>
  <c r="BU300" i="4"/>
  <c r="BV300" i="4"/>
  <c r="BW300" i="4"/>
  <c r="BX300" i="4"/>
  <c r="BU301" i="4"/>
  <c r="BV301" i="4"/>
  <c r="BW301" i="4"/>
  <c r="BX301" i="4"/>
  <c r="BU302" i="4"/>
  <c r="BV302" i="4"/>
  <c r="BW302" i="4"/>
  <c r="BX302" i="4"/>
  <c r="BU303" i="4"/>
  <c r="BV303" i="4"/>
  <c r="BW303" i="4"/>
  <c r="BX303" i="4"/>
  <c r="BU304" i="4"/>
  <c r="BV304" i="4"/>
  <c r="BW304" i="4"/>
  <c r="BX304" i="4"/>
  <c r="BU305" i="4"/>
  <c r="BV305" i="4"/>
  <c r="BW305" i="4"/>
  <c r="BX305" i="4"/>
  <c r="BU306" i="4"/>
  <c r="BV306" i="4"/>
  <c r="BW306" i="4"/>
  <c r="BX306" i="4"/>
  <c r="BU307" i="4"/>
  <c r="BV307" i="4"/>
  <c r="BW307" i="4"/>
  <c r="BX307" i="4"/>
  <c r="BU308" i="4"/>
  <c r="BV308" i="4"/>
  <c r="BW308" i="4"/>
  <c r="BX308" i="4"/>
  <c r="BU309" i="4"/>
  <c r="BV309" i="4"/>
  <c r="BW309" i="4"/>
  <c r="BX309" i="4"/>
  <c r="BU310" i="4"/>
  <c r="BV310" i="4"/>
  <c r="BW310" i="4"/>
  <c r="BX310" i="4"/>
  <c r="BU311" i="4"/>
  <c r="BV311" i="4"/>
  <c r="BW311" i="4"/>
  <c r="BX311" i="4"/>
  <c r="BU312" i="4"/>
  <c r="BV312" i="4"/>
  <c r="BW312" i="4"/>
  <c r="BX312" i="4"/>
  <c r="BU313" i="4"/>
  <c r="BV313" i="4"/>
  <c r="BW313" i="4"/>
  <c r="BX313" i="4"/>
  <c r="BU314" i="4"/>
  <c r="BV314" i="4"/>
  <c r="BW314" i="4"/>
  <c r="BX314" i="4"/>
  <c r="BU315" i="4"/>
  <c r="BV315" i="4"/>
  <c r="BW315" i="4"/>
  <c r="BX315" i="4"/>
  <c r="BU316" i="4"/>
  <c r="BV316" i="4"/>
  <c r="BW316" i="4"/>
  <c r="BX316" i="4"/>
  <c r="BU317" i="4"/>
  <c r="BV317" i="4"/>
  <c r="BW317" i="4"/>
  <c r="BX317" i="4"/>
  <c r="BU318" i="4"/>
  <c r="BV318" i="4"/>
  <c r="BW318" i="4"/>
  <c r="BX318" i="4"/>
  <c r="BU319" i="4"/>
  <c r="BV319" i="4"/>
  <c r="BW319" i="4"/>
  <c r="BX319" i="4"/>
  <c r="BU320" i="4"/>
  <c r="BV320" i="4"/>
  <c r="BW320" i="4"/>
  <c r="BX320" i="4"/>
  <c r="BU321" i="4"/>
  <c r="BV321" i="4"/>
  <c r="BW321" i="4"/>
  <c r="BX321" i="4"/>
  <c r="BU322" i="4"/>
  <c r="BV322" i="4"/>
  <c r="BW322" i="4"/>
  <c r="BX322" i="4"/>
  <c r="BU323" i="4"/>
  <c r="BV323" i="4"/>
  <c r="BW323" i="4"/>
  <c r="BX323" i="4"/>
  <c r="BU324" i="4"/>
  <c r="BV324" i="4"/>
  <c r="BW324" i="4"/>
  <c r="BX324" i="4"/>
  <c r="BU325" i="4"/>
  <c r="BV325" i="4"/>
  <c r="BW325" i="4"/>
  <c r="BX325" i="4"/>
  <c r="BU326" i="4"/>
  <c r="BV326" i="4"/>
  <c r="BW326" i="4"/>
  <c r="BX326" i="4"/>
  <c r="BU327" i="4"/>
  <c r="BV327" i="4"/>
  <c r="BW327" i="4"/>
  <c r="BX327" i="4"/>
  <c r="BU328" i="4"/>
  <c r="BV328" i="4"/>
  <c r="BW328" i="4"/>
  <c r="BX328" i="4"/>
  <c r="BU329" i="4"/>
  <c r="BV329" i="4"/>
  <c r="BW329" i="4"/>
  <c r="BX329" i="4"/>
  <c r="BU330" i="4"/>
  <c r="BV330" i="4"/>
  <c r="BW330" i="4"/>
  <c r="BX330" i="4"/>
  <c r="BU331" i="4"/>
  <c r="BV331" i="4"/>
  <c r="BW331" i="4"/>
  <c r="BX331" i="4"/>
  <c r="BU332" i="4"/>
  <c r="BV332" i="4"/>
  <c r="BW332" i="4"/>
  <c r="BX332" i="4"/>
  <c r="BU333" i="4"/>
  <c r="BV333" i="4"/>
  <c r="BW333" i="4"/>
  <c r="BX333" i="4"/>
  <c r="BU334" i="4"/>
  <c r="BV334" i="4"/>
  <c r="BW334" i="4"/>
  <c r="BX334" i="4"/>
  <c r="BU335" i="4"/>
  <c r="BV335" i="4"/>
  <c r="BW335" i="4"/>
  <c r="BX335" i="4"/>
  <c r="BU336" i="4"/>
  <c r="BV336" i="4"/>
  <c r="BW336" i="4"/>
  <c r="BX336" i="4"/>
  <c r="BU337" i="4"/>
  <c r="BV337" i="4"/>
  <c r="BW337" i="4"/>
  <c r="BX337" i="4"/>
  <c r="BU338" i="4"/>
  <c r="BV338" i="4"/>
  <c r="BW338" i="4"/>
  <c r="BX338" i="4"/>
  <c r="BU339" i="4"/>
  <c r="BV339" i="4"/>
  <c r="BW339" i="4"/>
  <c r="BX339" i="4"/>
  <c r="BU340" i="4"/>
  <c r="BV340" i="4"/>
  <c r="BW340" i="4"/>
  <c r="BX340" i="4"/>
  <c r="BU341" i="4"/>
  <c r="BV341" i="4"/>
  <c r="BW341" i="4"/>
  <c r="BX341" i="4"/>
  <c r="BU342" i="4"/>
  <c r="BV342" i="4"/>
  <c r="BW342" i="4"/>
  <c r="BX342" i="4"/>
  <c r="BU343" i="4"/>
  <c r="BV343" i="4"/>
  <c r="BW343" i="4"/>
  <c r="BX343" i="4"/>
  <c r="BU344" i="4"/>
  <c r="BV344" i="4"/>
  <c r="BW344" i="4"/>
  <c r="BX344" i="4"/>
  <c r="BU345" i="4"/>
  <c r="BV345" i="4"/>
  <c r="BW345" i="4"/>
  <c r="BX345" i="4"/>
  <c r="BU346" i="4"/>
  <c r="BV346" i="4"/>
  <c r="BW346" i="4"/>
  <c r="BX346" i="4"/>
  <c r="BU347" i="4"/>
  <c r="BV347" i="4"/>
  <c r="BW347" i="4"/>
  <c r="BX347" i="4"/>
  <c r="BU348" i="4"/>
  <c r="BV348" i="4"/>
  <c r="BW348" i="4"/>
  <c r="BX348" i="4"/>
  <c r="BU349" i="4"/>
  <c r="BV349" i="4"/>
  <c r="BW349" i="4"/>
  <c r="BX349" i="4"/>
  <c r="BU350" i="4"/>
  <c r="BV350" i="4"/>
  <c r="BW350" i="4"/>
  <c r="BX350" i="4"/>
  <c r="BU351" i="4"/>
  <c r="BV351" i="4"/>
  <c r="BW351" i="4"/>
  <c r="BX351" i="4"/>
  <c r="BU352" i="4"/>
  <c r="BV352" i="4"/>
  <c r="BW352" i="4"/>
  <c r="BX352" i="4"/>
  <c r="BU353" i="4"/>
  <c r="BV353" i="4"/>
  <c r="BW353" i="4"/>
  <c r="BX353" i="4"/>
  <c r="BU354" i="4"/>
  <c r="BV354" i="4"/>
  <c r="BW354" i="4"/>
  <c r="BX354" i="4"/>
  <c r="BU355" i="4"/>
  <c r="BV355" i="4"/>
  <c r="BW355" i="4"/>
  <c r="BX355" i="4"/>
  <c r="BU356" i="4"/>
  <c r="BV356" i="4"/>
  <c r="BW356" i="4"/>
  <c r="BX356" i="4"/>
  <c r="BU357" i="4"/>
  <c r="BV357" i="4"/>
  <c r="BW357" i="4"/>
  <c r="BX357" i="4"/>
  <c r="BU358" i="4"/>
  <c r="BV358" i="4"/>
  <c r="BW358" i="4"/>
  <c r="BX358" i="4"/>
  <c r="BU359" i="4"/>
  <c r="BV359" i="4"/>
  <c r="BW359" i="4"/>
  <c r="BX359" i="4"/>
  <c r="BU360" i="4"/>
  <c r="BV360" i="4"/>
  <c r="BW360" i="4"/>
  <c r="BX360" i="4"/>
  <c r="BU361" i="4"/>
  <c r="BV361" i="4"/>
  <c r="BW361" i="4"/>
  <c r="BX361" i="4"/>
  <c r="BU362" i="4"/>
  <c r="BV362" i="4" s="1"/>
  <c r="BW362" i="4" s="1"/>
  <c r="BX362" i="4" s="1"/>
  <c r="BU363" i="4"/>
  <c r="BV363" i="4"/>
  <c r="BW363" i="4"/>
  <c r="BX363" i="4"/>
  <c r="BU364" i="4"/>
  <c r="BV364" i="4"/>
  <c r="BW364" i="4"/>
  <c r="BX364" i="4"/>
  <c r="BU365" i="4"/>
  <c r="BV365" i="4"/>
  <c r="BW365" i="4"/>
  <c r="BX365" i="4"/>
  <c r="BU366" i="4"/>
  <c r="BV366" i="4"/>
  <c r="BW366" i="4"/>
  <c r="BX366" i="4"/>
  <c r="BU367" i="4"/>
  <c r="BV367" i="4"/>
  <c r="BW367" i="4"/>
  <c r="BX367" i="4"/>
  <c r="BU368" i="4"/>
  <c r="BV368" i="4"/>
  <c r="BW368" i="4"/>
  <c r="BX368" i="4"/>
  <c r="BU369" i="4"/>
  <c r="BV369" i="4"/>
  <c r="BW369" i="4"/>
  <c r="BX369" i="4"/>
  <c r="BU370" i="4"/>
  <c r="BV370" i="4"/>
  <c r="BW370" i="4"/>
  <c r="BX370" i="4"/>
  <c r="BU371" i="4"/>
  <c r="BV371" i="4"/>
  <c r="BW371" i="4"/>
  <c r="BX371" i="4"/>
  <c r="BU372" i="4"/>
  <c r="BV372" i="4"/>
  <c r="BW372" i="4"/>
  <c r="BX372" i="4"/>
  <c r="BU373" i="4"/>
  <c r="BV373" i="4"/>
  <c r="BW373" i="4"/>
  <c r="BX373" i="4"/>
  <c r="BU374" i="4"/>
  <c r="BV374" i="4"/>
  <c r="BW374" i="4"/>
  <c r="BX374" i="4"/>
  <c r="BU375" i="4"/>
  <c r="BV375" i="4"/>
  <c r="BW375" i="4"/>
  <c r="BX375" i="4"/>
  <c r="BU376" i="4"/>
  <c r="BV376" i="4"/>
  <c r="BW376" i="4"/>
  <c r="BX376" i="4"/>
  <c r="BU377" i="4"/>
  <c r="BV377" i="4"/>
  <c r="BW377" i="4"/>
  <c r="BX377" i="4"/>
  <c r="BU378" i="4"/>
  <c r="BV378" i="4"/>
  <c r="BW378" i="4"/>
  <c r="BX378" i="4"/>
  <c r="BU379" i="4"/>
  <c r="BV379" i="4"/>
  <c r="BW379" i="4"/>
  <c r="BX379" i="4"/>
  <c r="BU380" i="4"/>
  <c r="BV380" i="4"/>
  <c r="BW380" i="4"/>
  <c r="BX380" i="4"/>
  <c r="BU381" i="4"/>
  <c r="BV381" i="4"/>
  <c r="BW381" i="4"/>
  <c r="BX381" i="4"/>
  <c r="BU382" i="4"/>
  <c r="BV382" i="4"/>
  <c r="BW382" i="4"/>
  <c r="BX382" i="4"/>
  <c r="BU383" i="4"/>
  <c r="BV383" i="4"/>
  <c r="BW383" i="4"/>
  <c r="BX383" i="4"/>
  <c r="BU384" i="4"/>
  <c r="BV384" i="4"/>
  <c r="BW384" i="4"/>
  <c r="BX384" i="4"/>
  <c r="BU385" i="4"/>
  <c r="BV385" i="4"/>
  <c r="BW385" i="4"/>
  <c r="BX385" i="4"/>
  <c r="BU386" i="4"/>
  <c r="BV386" i="4"/>
  <c r="BW386" i="4"/>
  <c r="BX386" i="4"/>
  <c r="BU387" i="4"/>
  <c r="BV387" i="4"/>
  <c r="BW387" i="4"/>
  <c r="BX387" i="4"/>
  <c r="BU388" i="4"/>
  <c r="BV388" i="4"/>
  <c r="BW388" i="4"/>
  <c r="BX388" i="4"/>
  <c r="BU389" i="4"/>
  <c r="BV389" i="4"/>
  <c r="BW389" i="4"/>
  <c r="BX389" i="4"/>
  <c r="BU390" i="4"/>
  <c r="BV390" i="4"/>
  <c r="BW390" i="4"/>
  <c r="BX390" i="4"/>
  <c r="BU391" i="4"/>
  <c r="BV391" i="4"/>
  <c r="BW391" i="4"/>
  <c r="BX391" i="4"/>
  <c r="BU392" i="4"/>
  <c r="BV392" i="4"/>
  <c r="BW392" i="4"/>
  <c r="BX392" i="4"/>
  <c r="BU393" i="4"/>
  <c r="BV393" i="4"/>
  <c r="BW393" i="4"/>
  <c r="BX393" i="4"/>
  <c r="BU394" i="4"/>
  <c r="BV394" i="4"/>
  <c r="BW394" i="4"/>
  <c r="BX394" i="4"/>
  <c r="BU395" i="4"/>
  <c r="BV395" i="4"/>
  <c r="BW395" i="4"/>
  <c r="BX395" i="4"/>
  <c r="BU396" i="4"/>
  <c r="BV396" i="4"/>
  <c r="BW396" i="4"/>
  <c r="BX396" i="4"/>
  <c r="BU397" i="4"/>
  <c r="BV397" i="4"/>
  <c r="BW397" i="4"/>
  <c r="BX397" i="4"/>
  <c r="BU398" i="4"/>
  <c r="BV398" i="4"/>
  <c r="BW398" i="4"/>
  <c r="BX398" i="4"/>
  <c r="BU399" i="4"/>
  <c r="BV399" i="4"/>
  <c r="BW399" i="4"/>
  <c r="BX399" i="4"/>
  <c r="BU400" i="4"/>
  <c r="BV400" i="4"/>
  <c r="BW400" i="4"/>
  <c r="BX400" i="4"/>
  <c r="BU401" i="4"/>
  <c r="BV401" i="4"/>
  <c r="BW401" i="4"/>
  <c r="BX401" i="4"/>
  <c r="BU402" i="4"/>
  <c r="BV402" i="4"/>
  <c r="BW402" i="4"/>
  <c r="BX402" i="4"/>
  <c r="BU403" i="4"/>
  <c r="BV403" i="4"/>
  <c r="BW403" i="4"/>
  <c r="BX403" i="4"/>
  <c r="BU404" i="4"/>
  <c r="BV404" i="4"/>
  <c r="BW404" i="4"/>
  <c r="BX404" i="4"/>
  <c r="BU405" i="4"/>
  <c r="BV405" i="4"/>
  <c r="BW405" i="4"/>
  <c r="BX405" i="4"/>
  <c r="BU406" i="4"/>
  <c r="BV406" i="4"/>
  <c r="BW406" i="4"/>
  <c r="BX406" i="4"/>
  <c r="BU407" i="4"/>
  <c r="BV407" i="4"/>
  <c r="BW407" i="4"/>
  <c r="BX407" i="4"/>
  <c r="BU408" i="4"/>
  <c r="BV408" i="4"/>
  <c r="BW408" i="4"/>
  <c r="BX408" i="4"/>
  <c r="BU409" i="4"/>
  <c r="BV409" i="4"/>
  <c r="BW409" i="4"/>
  <c r="BX409" i="4"/>
  <c r="BU410" i="4"/>
  <c r="BV410" i="4"/>
  <c r="BW410" i="4"/>
  <c r="BX410" i="4"/>
  <c r="BU411" i="4"/>
  <c r="BV411" i="4"/>
  <c r="BW411" i="4"/>
  <c r="BX411" i="4"/>
  <c r="BU412" i="4"/>
  <c r="BV412" i="4"/>
  <c r="BW412" i="4"/>
  <c r="BX412" i="4"/>
  <c r="BU413" i="4"/>
  <c r="BV413" i="4"/>
  <c r="BW413" i="4"/>
  <c r="BX413" i="4"/>
  <c r="BU414" i="4"/>
  <c r="BV414" i="4"/>
  <c r="BW414" i="4"/>
  <c r="BX414" i="4"/>
  <c r="BU415" i="4"/>
  <c r="BV415" i="4"/>
  <c r="BW415" i="4"/>
  <c r="BX415" i="4"/>
  <c r="BU416" i="4"/>
  <c r="BV416" i="4"/>
  <c r="BW416" i="4"/>
  <c r="BX416" i="4"/>
  <c r="BU417" i="4"/>
  <c r="BV417" i="4"/>
  <c r="BW417" i="4"/>
  <c r="BX417" i="4"/>
  <c r="BU418" i="4"/>
  <c r="BV418" i="4"/>
  <c r="BW418" i="4"/>
  <c r="BX418" i="4"/>
  <c r="BU419" i="4"/>
  <c r="BV419" i="4"/>
  <c r="BW419" i="4"/>
  <c r="BX419" i="4"/>
  <c r="BU420" i="4"/>
  <c r="BV420" i="4"/>
  <c r="BW420" i="4"/>
  <c r="BX420" i="4"/>
  <c r="BU421" i="4"/>
  <c r="BV421" i="4"/>
  <c r="BW421" i="4"/>
  <c r="BX421" i="4"/>
  <c r="BU422" i="4"/>
  <c r="BV422" i="4"/>
  <c r="BW422" i="4"/>
  <c r="BX422" i="4"/>
  <c r="BU423" i="4"/>
  <c r="BV423" i="4"/>
  <c r="BW423" i="4"/>
  <c r="BX423" i="4"/>
  <c r="BU424" i="4"/>
  <c r="BV424" i="4"/>
  <c r="BW424" i="4"/>
  <c r="BX424" i="4"/>
  <c r="BU425" i="4"/>
  <c r="BV425" i="4"/>
  <c r="BW425" i="4"/>
  <c r="BX425" i="4"/>
  <c r="BU426" i="4"/>
  <c r="BV426" i="4"/>
  <c r="BW426" i="4"/>
  <c r="BX426" i="4"/>
  <c r="BU427" i="4"/>
  <c r="BV427" i="4"/>
  <c r="BW427" i="4"/>
  <c r="BX427" i="4"/>
  <c r="BU428" i="4"/>
  <c r="BV428" i="4"/>
  <c r="BW428" i="4"/>
  <c r="BX428" i="4"/>
  <c r="BU429" i="4"/>
  <c r="BV429" i="4"/>
  <c r="BW429" i="4"/>
  <c r="BX429" i="4"/>
  <c r="BU430" i="4"/>
  <c r="BV430" i="4"/>
  <c r="BW430" i="4"/>
  <c r="BX430" i="4"/>
  <c r="BU431" i="4"/>
  <c r="BV431" i="4"/>
  <c r="BW431" i="4"/>
  <c r="BX431" i="4"/>
  <c r="BU432" i="4"/>
  <c r="BV432" i="4"/>
  <c r="BW432" i="4"/>
  <c r="BX432" i="4"/>
  <c r="BU433" i="4"/>
  <c r="BV433" i="4"/>
  <c r="BW433" i="4"/>
  <c r="BX433" i="4"/>
  <c r="BU434" i="4"/>
  <c r="BV434" i="4"/>
  <c r="BW434" i="4"/>
  <c r="BX434" i="4"/>
  <c r="BU435" i="4"/>
  <c r="BV435" i="4"/>
  <c r="BW435" i="4"/>
  <c r="BX435" i="4"/>
  <c r="BU436" i="4"/>
  <c r="BV436" i="4"/>
  <c r="BW436" i="4"/>
  <c r="BX436" i="4"/>
  <c r="BU437" i="4"/>
  <c r="BV437" i="4"/>
  <c r="BW437" i="4"/>
  <c r="BX437" i="4"/>
  <c r="BU438" i="4"/>
  <c r="BV438" i="4"/>
  <c r="BW438" i="4"/>
  <c r="BX438" i="4"/>
  <c r="BU439" i="4"/>
  <c r="BV439" i="4"/>
  <c r="BW439" i="4"/>
  <c r="BX439" i="4"/>
  <c r="BU440" i="4"/>
  <c r="BV440" i="4"/>
  <c r="BW440" i="4"/>
  <c r="BX440" i="4"/>
  <c r="BU441" i="4"/>
  <c r="BV441" i="4"/>
  <c r="BW441" i="4"/>
  <c r="BX441" i="4"/>
  <c r="BU442" i="4"/>
  <c r="BV442" i="4"/>
  <c r="BW442" i="4"/>
  <c r="BX442" i="4"/>
  <c r="BU443" i="4"/>
  <c r="BV443" i="4"/>
  <c r="BW443" i="4"/>
  <c r="BX443" i="4"/>
  <c r="BU444" i="4"/>
  <c r="BV444" i="4"/>
  <c r="BW444" i="4"/>
  <c r="BX444" i="4"/>
  <c r="BU445" i="4"/>
  <c r="BV445" i="4"/>
  <c r="BW445" i="4"/>
  <c r="BX445" i="4"/>
  <c r="BU446" i="4"/>
  <c r="BV446" i="4"/>
  <c r="BW446" i="4"/>
  <c r="BX446" i="4"/>
  <c r="BU447" i="4"/>
  <c r="BV447" i="4"/>
  <c r="BW447" i="4"/>
  <c r="BX447" i="4"/>
  <c r="BU448" i="4"/>
  <c r="BV448" i="4"/>
  <c r="BW448" i="4"/>
  <c r="BX448" i="4"/>
  <c r="BU449" i="4"/>
  <c r="BV449" i="4"/>
  <c r="BW449" i="4"/>
  <c r="BX449" i="4"/>
  <c r="BU450" i="4"/>
  <c r="BV450" i="4"/>
  <c r="BW450" i="4"/>
  <c r="BX450" i="4"/>
  <c r="BU451" i="4"/>
  <c r="BV451" i="4"/>
  <c r="BW451" i="4"/>
  <c r="BX451" i="4"/>
  <c r="BU452" i="4"/>
  <c r="BV452" i="4"/>
  <c r="BW452" i="4"/>
  <c r="BX452" i="4"/>
  <c r="BU453" i="4"/>
  <c r="BV453" i="4"/>
  <c r="BW453" i="4"/>
  <c r="BX453" i="4"/>
  <c r="BU454" i="4"/>
  <c r="BV454" i="4"/>
  <c r="BW454" i="4"/>
  <c r="BX454" i="4"/>
  <c r="BU455" i="4"/>
  <c r="BV455" i="4"/>
  <c r="BW455" i="4"/>
  <c r="BX455" i="4"/>
  <c r="BU456" i="4"/>
  <c r="BV456" i="4"/>
  <c r="BW456" i="4"/>
  <c r="BX456" i="4"/>
  <c r="BU457" i="4"/>
  <c r="BV457" i="4"/>
  <c r="BW457" i="4"/>
  <c r="BX457" i="4"/>
  <c r="BU458" i="4"/>
  <c r="BV458" i="4"/>
  <c r="BW458" i="4"/>
  <c r="BX458" i="4"/>
  <c r="BU459" i="4"/>
  <c r="BV459" i="4"/>
  <c r="BW459" i="4"/>
  <c r="BX459" i="4"/>
  <c r="BU460" i="4"/>
  <c r="BV460" i="4"/>
  <c r="BW460" i="4"/>
  <c r="BX460" i="4"/>
  <c r="BU461" i="4"/>
  <c r="BV461" i="4"/>
  <c r="BW461" i="4"/>
  <c r="BX461" i="4"/>
  <c r="BU462" i="4"/>
  <c r="BV462" i="4"/>
  <c r="BW462" i="4"/>
  <c r="BX462" i="4"/>
  <c r="BU463" i="4"/>
  <c r="BV463" i="4"/>
  <c r="BW463" i="4"/>
  <c r="BX463" i="4"/>
  <c r="BU464" i="4"/>
  <c r="BV464" i="4"/>
  <c r="BW464" i="4"/>
  <c r="BX464" i="4"/>
  <c r="BU465" i="4"/>
  <c r="BV465" i="4"/>
  <c r="BW465" i="4"/>
  <c r="BX465" i="4"/>
  <c r="BU466" i="4"/>
  <c r="BV466" i="4"/>
  <c r="BW466" i="4"/>
  <c r="BX466" i="4"/>
  <c r="BU467" i="4"/>
  <c r="BV467" i="4"/>
  <c r="BW467" i="4"/>
  <c r="BX467" i="4"/>
  <c r="BU468" i="4"/>
  <c r="BV468" i="4"/>
  <c r="BW468" i="4"/>
  <c r="BX468" i="4"/>
  <c r="BU469" i="4"/>
  <c r="BV469" i="4"/>
  <c r="BW469" i="4"/>
  <c r="BX469" i="4"/>
  <c r="BU470" i="4"/>
  <c r="BV470" i="4"/>
  <c r="BW470" i="4"/>
  <c r="BX470" i="4"/>
  <c r="BU471" i="4"/>
  <c r="BV471" i="4"/>
  <c r="BW471" i="4"/>
  <c r="BX471" i="4"/>
  <c r="BU472" i="4"/>
  <c r="BV472" i="4"/>
  <c r="BW472" i="4"/>
  <c r="BX472" i="4"/>
  <c r="BU473" i="4"/>
  <c r="BV473" i="4"/>
  <c r="BW473" i="4"/>
  <c r="BX473" i="4"/>
  <c r="BU474" i="4"/>
  <c r="BV474" i="4"/>
  <c r="BW474" i="4"/>
  <c r="BX474" i="4"/>
  <c r="BU475" i="4"/>
  <c r="BV475" i="4"/>
  <c r="BW475" i="4"/>
  <c r="BX475" i="4"/>
  <c r="BU476" i="4"/>
  <c r="BV476" i="4"/>
  <c r="BW476" i="4"/>
  <c r="BX476" i="4"/>
  <c r="BU477" i="4"/>
  <c r="BV477" i="4"/>
  <c r="BW477" i="4"/>
  <c r="BX477" i="4"/>
  <c r="BU478" i="4"/>
  <c r="BV478" i="4"/>
  <c r="BW478" i="4"/>
  <c r="BX478" i="4"/>
  <c r="BU479" i="4"/>
  <c r="BV479" i="4"/>
  <c r="BW479" i="4"/>
  <c r="BX479" i="4"/>
  <c r="BU480" i="4"/>
  <c r="BV480" i="4"/>
  <c r="BW480" i="4"/>
  <c r="BX480" i="4"/>
  <c r="BU481" i="4"/>
  <c r="BV481" i="4"/>
  <c r="BW481" i="4"/>
  <c r="BX481" i="4"/>
  <c r="BU482" i="4"/>
  <c r="BV482" i="4"/>
  <c r="BW482" i="4"/>
  <c r="BX482" i="4"/>
  <c r="BU483" i="4"/>
  <c r="BV483" i="4"/>
  <c r="BW483" i="4"/>
  <c r="BX483" i="4"/>
  <c r="BU484" i="4"/>
  <c r="BV484" i="4"/>
  <c r="BW484" i="4"/>
  <c r="BX484" i="4"/>
  <c r="BU485" i="4"/>
  <c r="BV485" i="4"/>
  <c r="BW485" i="4"/>
  <c r="BX485" i="4"/>
  <c r="BU486" i="4"/>
  <c r="BV486" i="4"/>
  <c r="BW486" i="4"/>
  <c r="BX486" i="4"/>
  <c r="BU487" i="4"/>
  <c r="BV487" i="4"/>
  <c r="BW487" i="4"/>
  <c r="BX487" i="4"/>
  <c r="BU488" i="4"/>
  <c r="BV488" i="4"/>
  <c r="BW488" i="4"/>
  <c r="BX488" i="4"/>
  <c r="BU489" i="4"/>
  <c r="BV489" i="4"/>
  <c r="BW489" i="4"/>
  <c r="BX489" i="4"/>
  <c r="BU490" i="4"/>
  <c r="BV490" i="4"/>
  <c r="BW490" i="4"/>
  <c r="BX490" i="4"/>
  <c r="BU491" i="4"/>
  <c r="BV491" i="4"/>
  <c r="BW491" i="4"/>
  <c r="BX491" i="4"/>
  <c r="BU492" i="4"/>
  <c r="BV492" i="4"/>
  <c r="BW492" i="4"/>
  <c r="BX492" i="4"/>
  <c r="BU493" i="4"/>
  <c r="BV493" i="4"/>
  <c r="BW493" i="4"/>
  <c r="BX493" i="4"/>
  <c r="BU494" i="4"/>
  <c r="BV494" i="4"/>
  <c r="BW494" i="4"/>
  <c r="BX494" i="4"/>
  <c r="BU495" i="4"/>
  <c r="BV495" i="4"/>
  <c r="BW495" i="4"/>
  <c r="BX495" i="4"/>
  <c r="BU496" i="4"/>
  <c r="BV496" i="4"/>
  <c r="BW496" i="4"/>
  <c r="BX496" i="4"/>
  <c r="BU497" i="4"/>
  <c r="BV497" i="4"/>
  <c r="BW497" i="4"/>
  <c r="BX497" i="4"/>
  <c r="BU498" i="4"/>
  <c r="BV498" i="4"/>
  <c r="BW498" i="4"/>
  <c r="BX498" i="4"/>
  <c r="BU499" i="4"/>
  <c r="BV499" i="4"/>
  <c r="BW499" i="4"/>
  <c r="BX499" i="4"/>
  <c r="BU500" i="4"/>
  <c r="BV500" i="4"/>
  <c r="BW500" i="4"/>
  <c r="BX500" i="4"/>
  <c r="BU501" i="4"/>
  <c r="BV501" i="4"/>
  <c r="BW501" i="4"/>
  <c r="BX501" i="4"/>
  <c r="BU502" i="4"/>
  <c r="BV502" i="4"/>
  <c r="BW502" i="4"/>
  <c r="BX502" i="4"/>
  <c r="BU503" i="4"/>
  <c r="BV503" i="4"/>
  <c r="BW503" i="4"/>
  <c r="BX503" i="4"/>
  <c r="BU504" i="4"/>
  <c r="BV504" i="4"/>
  <c r="BW504" i="4"/>
  <c r="BX504" i="4"/>
  <c r="BU505" i="4"/>
  <c r="BV505" i="4"/>
  <c r="BW505" i="4"/>
  <c r="BX505" i="4"/>
  <c r="BU506" i="4"/>
  <c r="BV506" i="4"/>
  <c r="BW506" i="4"/>
  <c r="BX506" i="4"/>
  <c r="BU507" i="4"/>
  <c r="BV507" i="4"/>
  <c r="BW507" i="4"/>
  <c r="BX507" i="4"/>
  <c r="BU508" i="4"/>
  <c r="BV508" i="4"/>
  <c r="BW508" i="4"/>
  <c r="BX508" i="4"/>
  <c r="BU509" i="4"/>
  <c r="BV509" i="4"/>
  <c r="BW509" i="4"/>
  <c r="BX509" i="4"/>
  <c r="BU510" i="4"/>
  <c r="BV510" i="4"/>
  <c r="BW510" i="4"/>
  <c r="BX510" i="4"/>
  <c r="BU511" i="4"/>
  <c r="BV511" i="4"/>
  <c r="BW511" i="4"/>
  <c r="BX511" i="4"/>
  <c r="BU512" i="4"/>
  <c r="BV512" i="4"/>
  <c r="BW512" i="4"/>
  <c r="BX512" i="4"/>
  <c r="BU513" i="4"/>
  <c r="BV513" i="4"/>
  <c r="BW513" i="4"/>
  <c r="BX513" i="4"/>
  <c r="BU514" i="4"/>
  <c r="BV514" i="4"/>
  <c r="BW514" i="4"/>
  <c r="BX514" i="4"/>
  <c r="BU515" i="4"/>
  <c r="BV515" i="4"/>
  <c r="BW515" i="4"/>
  <c r="BX515" i="4"/>
  <c r="BU516" i="4"/>
  <c r="BV516" i="4"/>
  <c r="BW516" i="4"/>
  <c r="BX516" i="4"/>
  <c r="BU517" i="4"/>
  <c r="BV517" i="4"/>
  <c r="BW517" i="4"/>
  <c r="BX517" i="4"/>
  <c r="BU518" i="4"/>
  <c r="BV518" i="4"/>
  <c r="BW518" i="4"/>
  <c r="BX518" i="4"/>
  <c r="BU519" i="4"/>
  <c r="BV519" i="4"/>
  <c r="BW519" i="4"/>
  <c r="BX519" i="4"/>
  <c r="BU520" i="4"/>
  <c r="BV520" i="4"/>
  <c r="BW520" i="4"/>
  <c r="BX520" i="4"/>
  <c r="BU521" i="4"/>
  <c r="BV521" i="4"/>
  <c r="BW521" i="4"/>
  <c r="BX521" i="4"/>
  <c r="BU522" i="4"/>
  <c r="BV522" i="4"/>
  <c r="BW522" i="4"/>
  <c r="BX522" i="4"/>
  <c r="BU523" i="4"/>
  <c r="BV523" i="4"/>
  <c r="BW523" i="4"/>
  <c r="BX523" i="4"/>
  <c r="BU524" i="4"/>
  <c r="BV524" i="4"/>
  <c r="BW524" i="4"/>
  <c r="BX524" i="4"/>
  <c r="BU525" i="4"/>
  <c r="BV525" i="4"/>
  <c r="BW525" i="4"/>
  <c r="BX525" i="4"/>
  <c r="BU526" i="4"/>
  <c r="BV526" i="4"/>
  <c r="BW526" i="4"/>
  <c r="BX526" i="4"/>
  <c r="BU527" i="4"/>
  <c r="BV527" i="4"/>
  <c r="BW527" i="4"/>
  <c r="BX527" i="4"/>
  <c r="BU528" i="4"/>
  <c r="BV528" i="4"/>
  <c r="BW528" i="4"/>
  <c r="BX528" i="4"/>
  <c r="BU529" i="4"/>
  <c r="BV529" i="4"/>
  <c r="BW529" i="4"/>
  <c r="BX529" i="4"/>
  <c r="BU530" i="4"/>
  <c r="BV530" i="4"/>
  <c r="BW530" i="4"/>
  <c r="BX530" i="4"/>
  <c r="BU531" i="4"/>
  <c r="BV531" i="4"/>
  <c r="BW531" i="4"/>
  <c r="BX531" i="4"/>
  <c r="BU532" i="4"/>
  <c r="BV532" i="4"/>
  <c r="BW532" i="4"/>
  <c r="BX532" i="4"/>
  <c r="BU533" i="4"/>
  <c r="BV533" i="4"/>
  <c r="BW533" i="4"/>
  <c r="BX533" i="4"/>
  <c r="BU534" i="4"/>
  <c r="BV534" i="4"/>
  <c r="BW534" i="4"/>
  <c r="BX534" i="4"/>
  <c r="BU535" i="4"/>
  <c r="BV535" i="4"/>
  <c r="BW535" i="4"/>
  <c r="BX535" i="4"/>
  <c r="BU536" i="4"/>
  <c r="BV536" i="4"/>
  <c r="BW536" i="4"/>
  <c r="BX536" i="4"/>
  <c r="BU537" i="4"/>
  <c r="BV537" i="4"/>
  <c r="BW537" i="4"/>
  <c r="BX537" i="4"/>
  <c r="BU538" i="4"/>
  <c r="BV538" i="4"/>
  <c r="BW538" i="4"/>
  <c r="BX538" i="4"/>
  <c r="BU539" i="4"/>
  <c r="BV539" i="4"/>
  <c r="BW539" i="4"/>
  <c r="BX539" i="4"/>
  <c r="BU540" i="4"/>
  <c r="BV540" i="4"/>
  <c r="BW540" i="4"/>
  <c r="BX540" i="4"/>
  <c r="BU541" i="4"/>
  <c r="BV541" i="4"/>
  <c r="BW541" i="4"/>
  <c r="BX541" i="4"/>
  <c r="BU542" i="4"/>
  <c r="BV542" i="4"/>
  <c r="BW542" i="4"/>
  <c r="BX542" i="4"/>
  <c r="BU543" i="4"/>
  <c r="BV543" i="4"/>
  <c r="BW543" i="4"/>
  <c r="BX543" i="4"/>
  <c r="BU544" i="4"/>
  <c r="BV544" i="4"/>
  <c r="BW544" i="4"/>
  <c r="BX544" i="4"/>
  <c r="BU545" i="4"/>
  <c r="BV545" i="4"/>
  <c r="BW545" i="4"/>
  <c r="BX545" i="4"/>
  <c r="BU546" i="4"/>
  <c r="BV546" i="4"/>
  <c r="BW546" i="4"/>
  <c r="BX546" i="4"/>
  <c r="BU547" i="4"/>
  <c r="BV547" i="4"/>
  <c r="BW547" i="4"/>
  <c r="BX547" i="4"/>
  <c r="BU548" i="4"/>
  <c r="BV548" i="4"/>
  <c r="BW548" i="4"/>
  <c r="BX548" i="4"/>
  <c r="BU549" i="4"/>
  <c r="BV549" i="4"/>
  <c r="BW549" i="4"/>
  <c r="BX549" i="4"/>
  <c r="BU550" i="4"/>
  <c r="BV550" i="4"/>
  <c r="BW550" i="4"/>
  <c r="BX550" i="4"/>
  <c r="BU551" i="4"/>
  <c r="BV551" i="4"/>
  <c r="BW551" i="4"/>
  <c r="BX551" i="4"/>
  <c r="BU552" i="4"/>
  <c r="BV552" i="4"/>
  <c r="BW552" i="4"/>
  <c r="BX552" i="4"/>
  <c r="BU553" i="4"/>
  <c r="BV553" i="4"/>
  <c r="BW553" i="4"/>
  <c r="BX553" i="4"/>
  <c r="BU554" i="4"/>
  <c r="BV554" i="4"/>
  <c r="BW554" i="4"/>
  <c r="BX554" i="4"/>
  <c r="BU555" i="4"/>
  <c r="BV555" i="4"/>
  <c r="BW555" i="4"/>
  <c r="BX555" i="4"/>
  <c r="BU556" i="4"/>
  <c r="BV556" i="4"/>
  <c r="BW556" i="4"/>
  <c r="BX556" i="4"/>
  <c r="BU557" i="4"/>
  <c r="BV557" i="4"/>
  <c r="BW557" i="4"/>
  <c r="BX557" i="4"/>
  <c r="BU558" i="4"/>
  <c r="BV558" i="4"/>
  <c r="BW558" i="4"/>
  <c r="BX558" i="4"/>
  <c r="BU559" i="4"/>
  <c r="BV559" i="4"/>
  <c r="BW559" i="4"/>
  <c r="BX559" i="4"/>
  <c r="BU560" i="4"/>
  <c r="BV560" i="4"/>
  <c r="BW560" i="4"/>
  <c r="BX560" i="4"/>
  <c r="BU561" i="4"/>
  <c r="BV561" i="4"/>
  <c r="BW561" i="4"/>
  <c r="BX561" i="4"/>
  <c r="BU562" i="4"/>
  <c r="BV562" i="4"/>
  <c r="BW562" i="4"/>
  <c r="BX562" i="4"/>
  <c r="BU563" i="4"/>
  <c r="BV563" i="4"/>
  <c r="BW563" i="4"/>
  <c r="BX563" i="4"/>
  <c r="BU564" i="4"/>
  <c r="BV564" i="4"/>
  <c r="BW564" i="4"/>
  <c r="BX564" i="4"/>
  <c r="BU565" i="4"/>
  <c r="BV565" i="4"/>
  <c r="BW565" i="4"/>
  <c r="BX565" i="4"/>
  <c r="BU566" i="4"/>
  <c r="BV566" i="4"/>
  <c r="BW566" i="4"/>
  <c r="BX566" i="4"/>
  <c r="BU567" i="4"/>
  <c r="BV567" i="4"/>
  <c r="BW567" i="4"/>
  <c r="BX567" i="4"/>
  <c r="BU568" i="4"/>
  <c r="BV568" i="4"/>
  <c r="BW568" i="4"/>
  <c r="BX568" i="4"/>
  <c r="BU569" i="4"/>
  <c r="BV569" i="4"/>
  <c r="BW569" i="4"/>
  <c r="BX569" i="4"/>
  <c r="BU570" i="4"/>
  <c r="BV570" i="4"/>
  <c r="BW570" i="4"/>
  <c r="BX570" i="4"/>
  <c r="BU571" i="4"/>
  <c r="BV571" i="4"/>
  <c r="BW571" i="4"/>
  <c r="BX571" i="4"/>
  <c r="BU572" i="4"/>
  <c r="BV572" i="4"/>
  <c r="BW572" i="4"/>
  <c r="BX572" i="4"/>
  <c r="BU573" i="4"/>
  <c r="BV573" i="4"/>
  <c r="BW573" i="4"/>
  <c r="BX573" i="4"/>
  <c r="BU574" i="4"/>
  <c r="BV574" i="4"/>
  <c r="BW574" i="4"/>
  <c r="BX574" i="4"/>
  <c r="BU575" i="4"/>
  <c r="BV575" i="4"/>
  <c r="BW575" i="4"/>
  <c r="BX575" i="4"/>
  <c r="BU576" i="4"/>
  <c r="BV576" i="4"/>
  <c r="BW576" i="4"/>
  <c r="BX576" i="4"/>
  <c r="BU577" i="4"/>
  <c r="BV577" i="4"/>
  <c r="BW577" i="4"/>
  <c r="BX577" i="4"/>
  <c r="BU578" i="4"/>
  <c r="BV578" i="4"/>
  <c r="BW578" i="4"/>
  <c r="BX578" i="4"/>
  <c r="BU579" i="4"/>
  <c r="BV579" i="4"/>
  <c r="BW579" i="4"/>
  <c r="BX579" i="4"/>
  <c r="BU580" i="4"/>
  <c r="BV580" i="4"/>
  <c r="BW580" i="4"/>
  <c r="BX580" i="4"/>
  <c r="BU581" i="4"/>
  <c r="BV581" i="4"/>
  <c r="BW581" i="4"/>
  <c r="BX581" i="4"/>
  <c r="BU582" i="4"/>
  <c r="BV582" i="4"/>
  <c r="BW582" i="4"/>
  <c r="BX582" i="4"/>
  <c r="BU583" i="4"/>
  <c r="BV583" i="4"/>
  <c r="BW583" i="4"/>
  <c r="BX583" i="4"/>
  <c r="BU584" i="4"/>
  <c r="BV584" i="4"/>
  <c r="BW584" i="4"/>
  <c r="BX584" i="4"/>
  <c r="BU585" i="4"/>
  <c r="BV585" i="4"/>
  <c r="BW585" i="4"/>
  <c r="BX585" i="4"/>
  <c r="BU586" i="4"/>
  <c r="BV586" i="4"/>
  <c r="BW586" i="4"/>
  <c r="BX586" i="4"/>
  <c r="BU587" i="4"/>
  <c r="BV587" i="4"/>
  <c r="BW587" i="4"/>
  <c r="BX587" i="4"/>
  <c r="BU588" i="4"/>
  <c r="BV588" i="4"/>
  <c r="BW588" i="4"/>
  <c r="BX588" i="4"/>
  <c r="BU589" i="4"/>
  <c r="BV589" i="4"/>
  <c r="BW589" i="4"/>
  <c r="BX589" i="4"/>
  <c r="BU590" i="4"/>
  <c r="BV590" i="4"/>
  <c r="BW590" i="4"/>
  <c r="BX590" i="4"/>
  <c r="BU591" i="4"/>
  <c r="BV591" i="4"/>
  <c r="BW591" i="4"/>
  <c r="BX591" i="4"/>
  <c r="BU592" i="4"/>
  <c r="BV592" i="4"/>
  <c r="BW592" i="4"/>
  <c r="BX592" i="4"/>
  <c r="BU593" i="4"/>
  <c r="BV593" i="4"/>
  <c r="BW593" i="4"/>
  <c r="BX593" i="4"/>
  <c r="BU594" i="4"/>
  <c r="BV594" i="4"/>
  <c r="BW594" i="4"/>
  <c r="BX594" i="4"/>
  <c r="BU595" i="4"/>
  <c r="BV595" i="4"/>
  <c r="BW595" i="4"/>
  <c r="BX595" i="4"/>
  <c r="BU596" i="4"/>
  <c r="BV596" i="4"/>
  <c r="BW596" i="4"/>
  <c r="BX596" i="4"/>
  <c r="BU597" i="4"/>
  <c r="BV597" i="4"/>
  <c r="BW597" i="4"/>
  <c r="BX597" i="4"/>
  <c r="BU598" i="4"/>
  <c r="BV598" i="4"/>
  <c r="BW598" i="4"/>
  <c r="BX598" i="4"/>
  <c r="BU599" i="4"/>
  <c r="BV599" i="4"/>
  <c r="BW599" i="4"/>
  <c r="BX599" i="4"/>
  <c r="BU600" i="4"/>
  <c r="BV600" i="4"/>
  <c r="BW600" i="4"/>
  <c r="BX600" i="4"/>
  <c r="BU601" i="4"/>
  <c r="BV601" i="4"/>
  <c r="BW601" i="4"/>
  <c r="BX601" i="4"/>
  <c r="BU602" i="4"/>
  <c r="BV602" i="4"/>
  <c r="BW602" i="4"/>
  <c r="BX602" i="4"/>
  <c r="BU603" i="4"/>
  <c r="BV603" i="4"/>
  <c r="BW603" i="4"/>
  <c r="BX603" i="4"/>
  <c r="BU604" i="4"/>
  <c r="BV604" i="4"/>
  <c r="BW604" i="4"/>
  <c r="BX604" i="4"/>
  <c r="BU605" i="4"/>
  <c r="BV605" i="4"/>
  <c r="BW605" i="4"/>
  <c r="BX605" i="4"/>
  <c r="BU606" i="4"/>
  <c r="BV606" i="4"/>
  <c r="BW606" i="4"/>
  <c r="BX606" i="4"/>
  <c r="BU607" i="4"/>
  <c r="BV607" i="4"/>
  <c r="BW607" i="4"/>
  <c r="BX607" i="4"/>
  <c r="BU608" i="4"/>
  <c r="BV608" i="4"/>
  <c r="BW608" i="4"/>
  <c r="BX608" i="4"/>
  <c r="BU609" i="4"/>
  <c r="BV609" i="4"/>
  <c r="BW609" i="4"/>
  <c r="BX609" i="4"/>
  <c r="BU610" i="4"/>
  <c r="BV610" i="4"/>
  <c r="BW610" i="4"/>
  <c r="BX610" i="4"/>
  <c r="BU611" i="4"/>
  <c r="BV611" i="4"/>
  <c r="BW611" i="4"/>
  <c r="BX611" i="4"/>
  <c r="BU612" i="4"/>
  <c r="BV612" i="4"/>
  <c r="BW612" i="4"/>
  <c r="BX612" i="4"/>
  <c r="BU613" i="4"/>
  <c r="BV613" i="4"/>
  <c r="BW613" i="4"/>
  <c r="BX613" i="4"/>
  <c r="BU614" i="4"/>
  <c r="BV614" i="4"/>
  <c r="BW614" i="4"/>
  <c r="BX614" i="4"/>
  <c r="BU615" i="4"/>
  <c r="BV615" i="4"/>
  <c r="BW615" i="4"/>
  <c r="BX615" i="4"/>
  <c r="BU616" i="4"/>
  <c r="BV616" i="4"/>
  <c r="BW616" i="4"/>
  <c r="BX616" i="4"/>
  <c r="BU617" i="4"/>
  <c r="BV617" i="4"/>
  <c r="BW617" i="4"/>
  <c r="BX617" i="4"/>
  <c r="BU618" i="4"/>
  <c r="BV618" i="4"/>
  <c r="BW618" i="4"/>
  <c r="BX618" i="4"/>
  <c r="BU619" i="4"/>
  <c r="BV619" i="4"/>
  <c r="BW619" i="4"/>
  <c r="BX619" i="4"/>
  <c r="BU620" i="4"/>
  <c r="BV620" i="4"/>
  <c r="BW620" i="4"/>
  <c r="BX620" i="4"/>
  <c r="BU621" i="4"/>
  <c r="BV621" i="4"/>
  <c r="BW621" i="4"/>
  <c r="BX621" i="4"/>
  <c r="BU622" i="4"/>
  <c r="BV622" i="4"/>
  <c r="BW622" i="4"/>
  <c r="BX622" i="4"/>
  <c r="BU623" i="4"/>
  <c r="BV623" i="4"/>
  <c r="BW623" i="4"/>
  <c r="BX623" i="4"/>
  <c r="BU624" i="4"/>
  <c r="BV624" i="4"/>
  <c r="BW624" i="4"/>
  <c r="BX624" i="4"/>
  <c r="BU625" i="4"/>
  <c r="BV625" i="4"/>
  <c r="BW625" i="4"/>
  <c r="BX625" i="4"/>
  <c r="BU626" i="4"/>
  <c r="BV626" i="4"/>
  <c r="BW626" i="4"/>
  <c r="BX626" i="4"/>
  <c r="BU627" i="4"/>
  <c r="BV627" i="4"/>
  <c r="BW627" i="4"/>
  <c r="BX627" i="4"/>
  <c r="BU628" i="4"/>
  <c r="BV628" i="4"/>
  <c r="BW628" i="4"/>
  <c r="BX628" i="4"/>
  <c r="BX4" i="4"/>
  <c r="BW4" i="4"/>
  <c r="BV4" i="4"/>
  <c r="BU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242" i="4"/>
  <c r="BT243" i="4"/>
  <c r="BT244" i="4"/>
  <c r="BT245" i="4"/>
  <c r="BT246" i="4"/>
  <c r="BT247" i="4"/>
  <c r="BT248" i="4"/>
  <c r="BT249" i="4"/>
  <c r="BT250" i="4"/>
  <c r="BT251" i="4"/>
  <c r="BT252" i="4"/>
  <c r="BT253" i="4"/>
  <c r="BT254" i="4"/>
  <c r="BT255" i="4"/>
  <c r="BT256" i="4"/>
  <c r="BT257" i="4"/>
  <c r="BT258" i="4"/>
  <c r="BT259" i="4"/>
  <c r="BT260" i="4"/>
  <c r="BT261" i="4"/>
  <c r="BT262" i="4"/>
  <c r="BT263" i="4"/>
  <c r="BT264" i="4"/>
  <c r="BT265" i="4"/>
  <c r="BT266" i="4"/>
  <c r="BT267" i="4"/>
  <c r="BT268" i="4"/>
  <c r="BT269" i="4"/>
  <c r="BT270" i="4"/>
  <c r="BT271" i="4"/>
  <c r="BT272" i="4"/>
  <c r="BT273" i="4"/>
  <c r="BT274" i="4"/>
  <c r="BT275" i="4"/>
  <c r="BT276" i="4"/>
  <c r="BT277" i="4"/>
  <c r="BT278" i="4"/>
  <c r="BT279" i="4"/>
  <c r="BT280" i="4"/>
  <c r="BT281" i="4"/>
  <c r="BT282" i="4"/>
  <c r="BT283" i="4"/>
  <c r="BT284" i="4"/>
  <c r="BT285" i="4"/>
  <c r="BT286" i="4"/>
  <c r="BT287" i="4"/>
  <c r="BT288" i="4"/>
  <c r="BT289" i="4"/>
  <c r="BT290" i="4"/>
  <c r="BT291" i="4"/>
  <c r="BT292" i="4"/>
  <c r="BT293" i="4"/>
  <c r="BT294" i="4"/>
  <c r="BT295" i="4"/>
  <c r="BT296" i="4"/>
  <c r="BT297" i="4"/>
  <c r="BT298" i="4"/>
  <c r="BT299" i="4"/>
  <c r="BT300" i="4"/>
  <c r="BT301" i="4"/>
  <c r="BT302" i="4"/>
  <c r="BT303" i="4"/>
  <c r="BT304" i="4"/>
  <c r="BT305" i="4"/>
  <c r="BT306" i="4"/>
  <c r="BT307" i="4"/>
  <c r="BT308" i="4"/>
  <c r="BT309" i="4"/>
  <c r="BT310" i="4"/>
  <c r="BT311" i="4"/>
  <c r="BT312" i="4"/>
  <c r="BT313" i="4"/>
  <c r="BT314" i="4"/>
  <c r="BT315" i="4"/>
  <c r="BT316" i="4"/>
  <c r="BT317" i="4"/>
  <c r="BT318" i="4"/>
  <c r="BT319" i="4"/>
  <c r="BT320" i="4"/>
  <c r="BT321" i="4"/>
  <c r="BT322" i="4"/>
  <c r="BT323" i="4"/>
  <c r="BT324" i="4"/>
  <c r="BT325" i="4"/>
  <c r="BT326" i="4"/>
  <c r="BT327" i="4"/>
  <c r="BT328" i="4"/>
  <c r="BT329" i="4"/>
  <c r="BT330" i="4"/>
  <c r="BT331" i="4"/>
  <c r="BT332" i="4"/>
  <c r="BT333" i="4"/>
  <c r="BT334" i="4"/>
  <c r="BT335" i="4"/>
  <c r="BT336" i="4"/>
  <c r="BT337" i="4"/>
  <c r="BT338" i="4"/>
  <c r="BT339" i="4"/>
  <c r="BT340" i="4"/>
  <c r="BT341" i="4"/>
  <c r="BT342" i="4"/>
  <c r="BT343" i="4"/>
  <c r="BT344" i="4"/>
  <c r="BT345" i="4"/>
  <c r="BT346" i="4"/>
  <c r="BT347" i="4"/>
  <c r="BT348" i="4"/>
  <c r="BT349" i="4"/>
  <c r="BT350" i="4"/>
  <c r="BT351" i="4"/>
  <c r="BT352" i="4"/>
  <c r="BT353" i="4"/>
  <c r="BT354" i="4"/>
  <c r="BT355" i="4"/>
  <c r="BT356" i="4"/>
  <c r="BT357" i="4"/>
  <c r="BT358" i="4"/>
  <c r="BT359" i="4"/>
  <c r="BT360" i="4"/>
  <c r="BT361" i="4"/>
  <c r="BT362" i="4"/>
  <c r="BT363" i="4"/>
  <c r="BT364" i="4"/>
  <c r="BT365" i="4"/>
  <c r="BT366" i="4"/>
  <c r="BT367" i="4"/>
  <c r="BT368" i="4"/>
  <c r="BT369" i="4"/>
  <c r="BT370" i="4"/>
  <c r="BT371" i="4"/>
  <c r="BT372" i="4"/>
  <c r="BT373" i="4"/>
  <c r="BT374" i="4"/>
  <c r="BT375" i="4"/>
  <c r="BT376" i="4"/>
  <c r="BT377" i="4"/>
  <c r="BT378" i="4"/>
  <c r="BT379" i="4"/>
  <c r="BT380" i="4"/>
  <c r="BT381" i="4"/>
  <c r="BT382" i="4"/>
  <c r="BT383" i="4"/>
  <c r="BT384" i="4"/>
  <c r="BT385" i="4"/>
  <c r="BT386" i="4"/>
  <c r="BT387" i="4"/>
  <c r="BT388" i="4"/>
  <c r="BT389" i="4"/>
  <c r="BT390" i="4"/>
  <c r="BT391" i="4"/>
  <c r="BT392" i="4"/>
  <c r="BT393" i="4"/>
  <c r="BT394" i="4"/>
  <c r="BT395" i="4"/>
  <c r="BT396" i="4"/>
  <c r="BT397" i="4"/>
  <c r="BT398" i="4"/>
  <c r="BT399" i="4"/>
  <c r="BT400" i="4"/>
  <c r="BT401" i="4"/>
  <c r="BT402" i="4"/>
  <c r="BT403" i="4"/>
  <c r="BT404" i="4"/>
  <c r="BT405" i="4"/>
  <c r="BT406" i="4"/>
  <c r="BT407" i="4"/>
  <c r="BT408" i="4"/>
  <c r="BT409" i="4"/>
  <c r="BT410" i="4"/>
  <c r="BT411" i="4"/>
  <c r="BT412" i="4"/>
  <c r="BT413" i="4"/>
  <c r="BT414" i="4"/>
  <c r="BT415" i="4"/>
  <c r="BT416" i="4"/>
  <c r="BT417" i="4"/>
  <c r="BT418" i="4"/>
  <c r="BT419" i="4"/>
  <c r="BT420" i="4"/>
  <c r="BT421" i="4"/>
  <c r="BT422" i="4"/>
  <c r="BT423" i="4"/>
  <c r="BT424" i="4"/>
  <c r="BT425" i="4"/>
  <c r="BT426" i="4"/>
  <c r="BT427" i="4"/>
  <c r="BT428" i="4"/>
  <c r="BT429" i="4"/>
  <c r="BT430" i="4"/>
  <c r="BT431" i="4"/>
  <c r="BT432" i="4"/>
  <c r="BT433" i="4"/>
  <c r="BT434" i="4"/>
  <c r="BT435" i="4"/>
  <c r="BT436" i="4"/>
  <c r="BT437" i="4"/>
  <c r="BT438" i="4"/>
  <c r="BT439" i="4"/>
  <c r="BT440" i="4"/>
  <c r="BT441" i="4"/>
  <c r="BT442" i="4"/>
  <c r="BT443" i="4"/>
  <c r="BT444" i="4"/>
  <c r="BT445" i="4"/>
  <c r="BT446" i="4"/>
  <c r="BT447" i="4"/>
  <c r="BT448" i="4"/>
  <c r="BT449" i="4"/>
  <c r="BT450" i="4"/>
  <c r="BT451" i="4"/>
  <c r="BT452" i="4"/>
  <c r="BT453" i="4"/>
  <c r="BT454" i="4"/>
  <c r="BT455" i="4"/>
  <c r="BT456" i="4"/>
  <c r="BT457" i="4"/>
  <c r="BT458" i="4"/>
  <c r="BT459" i="4"/>
  <c r="BT460" i="4"/>
  <c r="BT461" i="4"/>
  <c r="BT462" i="4"/>
  <c r="BT463" i="4"/>
  <c r="BT464" i="4"/>
  <c r="BT465" i="4"/>
  <c r="BT466" i="4"/>
  <c r="BT467" i="4"/>
  <c r="BT468" i="4"/>
  <c r="BT469" i="4"/>
  <c r="BT470" i="4"/>
  <c r="BT471" i="4"/>
  <c r="BT472" i="4"/>
  <c r="BT473" i="4"/>
  <c r="BT474" i="4"/>
  <c r="BT475" i="4"/>
  <c r="BT476" i="4"/>
  <c r="BT477" i="4"/>
  <c r="BT478" i="4"/>
  <c r="BT479" i="4"/>
  <c r="BT480" i="4"/>
  <c r="BT481" i="4"/>
  <c r="BT482" i="4"/>
  <c r="BT483" i="4"/>
  <c r="BT484" i="4"/>
  <c r="BT485" i="4"/>
  <c r="BT486" i="4"/>
  <c r="BT487" i="4"/>
  <c r="BT488" i="4"/>
  <c r="BT489" i="4"/>
  <c r="BT490" i="4"/>
  <c r="BT491" i="4"/>
  <c r="BT492" i="4"/>
  <c r="BT493" i="4"/>
  <c r="BT494" i="4"/>
  <c r="BT495" i="4"/>
  <c r="BT496" i="4"/>
  <c r="BT497" i="4"/>
  <c r="BT498" i="4"/>
  <c r="BT499" i="4"/>
  <c r="BT500" i="4"/>
  <c r="BT501" i="4"/>
  <c r="BT502" i="4"/>
  <c r="BT503" i="4"/>
  <c r="BT504" i="4"/>
  <c r="BT505" i="4"/>
  <c r="BT506" i="4"/>
  <c r="BT507" i="4"/>
  <c r="BT508" i="4"/>
  <c r="BT509" i="4"/>
  <c r="BT510" i="4"/>
  <c r="BT511" i="4"/>
  <c r="BT512" i="4"/>
  <c r="BT513" i="4"/>
  <c r="BT514" i="4"/>
  <c r="BT515" i="4"/>
  <c r="BT516" i="4"/>
  <c r="BT517" i="4"/>
  <c r="BT518" i="4"/>
  <c r="BT519" i="4"/>
  <c r="BT520" i="4"/>
  <c r="BT521" i="4"/>
  <c r="BT522" i="4"/>
  <c r="BT523" i="4"/>
  <c r="BT524" i="4"/>
  <c r="BT525" i="4"/>
  <c r="BT526" i="4"/>
  <c r="BT527" i="4"/>
  <c r="BT528" i="4"/>
  <c r="BT529" i="4"/>
  <c r="BT530" i="4"/>
  <c r="BT531" i="4"/>
  <c r="BT532" i="4"/>
  <c r="BT533" i="4"/>
  <c r="BT534" i="4"/>
  <c r="BT535" i="4"/>
  <c r="BT536" i="4"/>
  <c r="BT537" i="4"/>
  <c r="BT538" i="4"/>
  <c r="BT539" i="4"/>
  <c r="BT540" i="4"/>
  <c r="BT541" i="4"/>
  <c r="BT542" i="4"/>
  <c r="BT543" i="4"/>
  <c r="BT544" i="4"/>
  <c r="BT545" i="4"/>
  <c r="BT546" i="4"/>
  <c r="BT547" i="4"/>
  <c r="BT548" i="4"/>
  <c r="BT549" i="4"/>
  <c r="BT550" i="4"/>
  <c r="BT551" i="4"/>
  <c r="BT552" i="4"/>
  <c r="BT553" i="4"/>
  <c r="BT554" i="4"/>
  <c r="BT555" i="4"/>
  <c r="BT556" i="4"/>
  <c r="BT557" i="4"/>
  <c r="BT558" i="4"/>
  <c r="BT559" i="4"/>
  <c r="BT560" i="4"/>
  <c r="BT561" i="4"/>
  <c r="BT562" i="4"/>
  <c r="BT563" i="4"/>
  <c r="BT564" i="4"/>
  <c r="BT565" i="4"/>
  <c r="BT566" i="4"/>
  <c r="BT567" i="4"/>
  <c r="BT568" i="4"/>
  <c r="BT569" i="4"/>
  <c r="BT570" i="4"/>
  <c r="BT571" i="4"/>
  <c r="BT572" i="4"/>
  <c r="BT573" i="4"/>
  <c r="BT574" i="4"/>
  <c r="BT575" i="4"/>
  <c r="BT576" i="4"/>
  <c r="BT577" i="4"/>
  <c r="BT578" i="4"/>
  <c r="BT579" i="4"/>
  <c r="BT580" i="4"/>
  <c r="BT581" i="4"/>
  <c r="BT582" i="4"/>
  <c r="BT583" i="4"/>
  <c r="BT584" i="4"/>
  <c r="BT585" i="4"/>
  <c r="BT586" i="4"/>
  <c r="BT587" i="4"/>
  <c r="BT588" i="4"/>
  <c r="BT589" i="4"/>
  <c r="BT590" i="4"/>
  <c r="BT591" i="4"/>
  <c r="BT592" i="4"/>
  <c r="BT593" i="4"/>
  <c r="BT594" i="4"/>
  <c r="BT595" i="4"/>
  <c r="BT596" i="4"/>
  <c r="BT597" i="4"/>
  <c r="BT598" i="4"/>
  <c r="BT599" i="4"/>
  <c r="BT600" i="4"/>
  <c r="BT601" i="4"/>
  <c r="BT602" i="4"/>
  <c r="BT603" i="4"/>
  <c r="BT604" i="4"/>
  <c r="BT605" i="4"/>
  <c r="BT606" i="4"/>
  <c r="BT607" i="4"/>
  <c r="BT608" i="4"/>
  <c r="BT609" i="4"/>
  <c r="BT610" i="4"/>
  <c r="BT611" i="4"/>
  <c r="BT612" i="4"/>
  <c r="BT613" i="4"/>
  <c r="BT614" i="4"/>
  <c r="BT615" i="4"/>
  <c r="BT616" i="4"/>
  <c r="BT617" i="4"/>
  <c r="BT618" i="4"/>
  <c r="BT619" i="4"/>
  <c r="BT620" i="4"/>
  <c r="BT621" i="4"/>
  <c r="BT622" i="4"/>
  <c r="BT623" i="4"/>
  <c r="BT624" i="4"/>
  <c r="BT625" i="4"/>
  <c r="BT626" i="4"/>
  <c r="BT627" i="4"/>
  <c r="BT628" i="4"/>
  <c r="BT4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</calcChain>
</file>

<file path=xl/sharedStrings.xml><?xml version="1.0" encoding="utf-8"?>
<sst xmlns="http://schemas.openxmlformats.org/spreadsheetml/2006/main" count="52907" uniqueCount="5344">
  <si>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</si>
  <si>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</si>
  <si>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</si>
  <si>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</si>
  <si>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</si>
  <si>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</si>
  <si>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</si>
  <si>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</si>
  <si>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</si>
  <si>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</si>
  <si>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</si>
  <si>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</si>
  <si>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</si>
  <si>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</si>
  <si>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</si>
  <si>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</si>
  <si>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</si>
  <si>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</si>
  <si>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</si>
  <si>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</si>
  <si>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</si>
  <si>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</si>
  <si>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</si>
  <si>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</si>
  <si>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</si>
  <si>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</si>
  <si>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</si>
  <si>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</si>
  <si>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</si>
  <si>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</si>
  <si>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</si>
  <si>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</si>
  <si>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</si>
  <si>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</si>
  <si>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</si>
  <si>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</si>
  <si>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</si>
  <si>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</si>
  <si>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</si>
  <si>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</si>
  <si>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</si>
  <si>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</si>
  <si>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</si>
  <si>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</si>
  <si>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</si>
  <si>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Districts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</si>
  <si>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</si>
  <si>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</si>
  <si>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</si>
  <si>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</si>
  <si>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</si>
  <si>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</si>
  <si>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</si>
  <si>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</si>
  <si>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</si>
  <si>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Request Tax Invoice</t>
  </si>
  <si>
    <t>Tax Info - Buyer Tax ID</t>
  </si>
  <si>
    <t>Tax Info - Type</t>
  </si>
  <si>
    <t>Tax Info - Full Name of Buyer</t>
  </si>
  <si>
    <t>Tax Info - Email</t>
  </si>
  <si>
    <t>Tax Info - Phone Number</t>
  </si>
  <si>
    <t>Tax Info - Registered Address</t>
  </si>
  <si>
    <t>Tax Info - Address Type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</si>
  <si>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</si>
  <si>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</si>
  <si>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</si>
  <si>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</si>
  <si>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</si>
  <si>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</si>
  <si>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</si>
  <si>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</si>
  <si>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</si>
  <si>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</si>
  <si>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</si>
  <si>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</si>
  <si>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</si>
  <si>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</si>
  <si>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</si>
  <si>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</si>
  <si>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</si>
  <si>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</si>
  <si>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</si>
  <si>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</si>
  <si>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</si>
  <si>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</si>
  <si>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</si>
  <si>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</si>
  <si>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</si>
  <si>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</si>
  <si>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</si>
  <si>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</si>
  <si>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</si>
  <si>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</si>
  <si>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</si>
  <si>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</si>
  <si>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</si>
  <si>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</si>
  <si>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</si>
  <si>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Yes - buyer requested tax invoice for the order. If no, the tax information will be blank</t>
  </si>
  <si>
    <t>Buyer Tax ID for tax invoice</t>
  </si>
  <si>
    <t>Personal or Company</t>
  </si>
  <si>
    <t>Name of the tax invoice issued to</t>
  </si>
  <si>
    <t>Email address for tax invoice</t>
  </si>
  <si>
    <t>Phone number for tax invoice</t>
  </si>
  <si>
    <t>Registered address for tax invoice</t>
  </si>
  <si>
    <t>Address type if the tax receiver type is business (Branch or Head Office)</t>
  </si>
  <si>
    <t>584291454044701716</t>
  </si>
  <si>
    <t>已完成</t>
  </si>
  <si>
    <t>Normal</t>
  </si>
  <si>
    <t>1735839617581417968</t>
  </si>
  <si>
    <t>N-706</t>
  </si>
  <si>
    <t>【KINBATA】Oxygen Bleach ผงขจัดคราบ1100gขจัดคราบเหงื่อ ผงชักผ้าขาว น้ํายาฟอกผ้าขาว ผงขจัดคราบซักผ้า คราบน้ํายาฟอกผ้าขาวเหลืองก็หาย คราบหนักก็ออก เสื้อขาวสะอาดเหมือนใหม่ ใช้ง่าย</t>
  </si>
  <si>
    <t>1 PC （550g）</t>
  </si>
  <si>
    <t>1</t>
  </si>
  <si>
    <t>0</t>
  </si>
  <si>
    <t>318</t>
  </si>
  <si>
    <t>189</t>
  </si>
  <si>
    <t>129</t>
  </si>
  <si>
    <t>88</t>
  </si>
  <si>
    <t>31/05/2026 19:57:33</t>
  </si>
  <si>
    <t>03/06/2026 15:58:14</t>
  </si>
  <si>
    <t>31/05/2026 20:05:19</t>
  </si>
  <si>
    <t>01/06/2026 16:45:25</t>
  </si>
  <si>
    <t>Fulfillment by seller</t>
  </si>
  <si>
    <t>TH</t>
  </si>
  <si>
    <t>THT68055AHNS58Z</t>
  </si>
  <si>
    <t>标准运输</t>
  </si>
  <si>
    <t>Flash Express Thailand</t>
  </si>
  <si>
    <t>s***a59887</t>
  </si>
  <si>
    <t>ศ******* ศ********</t>
  </si>
  <si>
    <t>(+66)938****85</t>
  </si>
  <si>
    <t>*****</t>
  </si>
  <si>
    <t>ไทย</t>
  </si>
  <si>
    <t>สุราษฎร์ธานี</t>
  </si>
  <si>
    <t>เกาะพะงัน</t>
  </si>
  <si>
    <t>***********************************************</t>
  </si>
  <si>
    <t>Cash on delivery</t>
  </si>
  <si>
    <t>0.55</t>
  </si>
  <si>
    <t>洗衣粉</t>
  </si>
  <si>
    <t>1198253294900511764</t>
  </si>
  <si>
    <t>Unchecked</t>
  </si>
  <si>
    <t>584291097749587433</t>
  </si>
  <si>
    <t>29</t>
  </si>
  <si>
    <t>31/05/2026 19:36:03</t>
  </si>
  <si>
    <t>31/05/2026 19:36:25</t>
  </si>
  <si>
    <t>31/05/2026 19:40:22</t>
  </si>
  <si>
    <t>01/06/2026 16:45:09</t>
  </si>
  <si>
    <t>02/06/2026 13:11:55</t>
  </si>
  <si>
    <t>THT01325AHGFT5Z</t>
  </si>
  <si>
    <t>u***4572971918728</t>
  </si>
  <si>
    <t>ด****** พ**********</t>
  </si>
  <si>
    <t>(+66)098*****10</t>
  </si>
  <si>
    <t>กรุงเทพฯ</t>
  </si>
  <si>
    <t>พระนคร</t>
  </si>
  <si>
    <t>****************************************************</t>
  </si>
  <si>
    <t>Mbanking</t>
  </si>
  <si>
    <t>1198251610882672105</t>
  </si>
  <si>
    <t>584290032192685323</t>
  </si>
  <si>
    <t>1734895208336950768</t>
  </si>
  <si>
    <t>N-545</t>
  </si>
  <si>
    <t>1 PC （1.1kg）</t>
  </si>
  <si>
    <t>459</t>
  </si>
  <si>
    <t>40</t>
  </si>
  <si>
    <t>268.01</t>
  </si>
  <si>
    <t>150.99</t>
  </si>
  <si>
    <t>31/05/2026 18:25:39</t>
  </si>
  <si>
    <t>31/05/2026 18:25:42</t>
  </si>
  <si>
    <t>31/05/2026 18:30:16</t>
  </si>
  <si>
    <t>01/06/2026 12:38:49</t>
  </si>
  <si>
    <t>02/06/2026 10:09:07</t>
  </si>
  <si>
    <t>THT01305AHEBE1Z</t>
  </si>
  <si>
    <t>n***noi</t>
  </si>
  <si>
    <t>น***** ว********</t>
  </si>
  <si>
    <t>(+66)891****00</t>
  </si>
  <si>
    <t>พญาไท</t>
  </si>
  <si>
    <t>************************************************</t>
  </si>
  <si>
    <t>Credit/debit card</t>
  </si>
  <si>
    <t>0.01</t>
  </si>
  <si>
    <t>1198246654998381835</t>
  </si>
  <si>
    <t>584289038823491266</t>
  </si>
  <si>
    <t>38</t>
  </si>
  <si>
    <t>31/05/2026 17:17:16</t>
  </si>
  <si>
    <t>03/06/2026 11:59:01</t>
  </si>
  <si>
    <t>31/05/2026 17:20:25</t>
  </si>
  <si>
    <t>01/06/2026 16:45:24</t>
  </si>
  <si>
    <t>THT68065AHCN27Z</t>
  </si>
  <si>
    <t>u***1340875373107</t>
  </si>
  <si>
    <t>น********</t>
  </si>
  <si>
    <t>(+66)889****25</t>
  </si>
  <si>
    <t>ไชยา</t>
  </si>
  <si>
    <t>****************</t>
  </si>
  <si>
    <t>*********</t>
  </si>
  <si>
    <t>1198241122257372866</t>
  </si>
  <si>
    <t>584289006173979752</t>
  </si>
  <si>
    <t>49</t>
  </si>
  <si>
    <t>31/05/2026 17:12:06</t>
  </si>
  <si>
    <t>02/06/2026 10:42:51</t>
  </si>
  <si>
    <t>01/06/2026 16:45:31</t>
  </si>
  <si>
    <t>THT27025AHHAF4Z</t>
  </si>
  <si>
    <t>u***2010467821818</t>
  </si>
  <si>
    <t>ท******** อ********</t>
  </si>
  <si>
    <t>(+66)083*****29</t>
  </si>
  <si>
    <t>นครราชสีมา</t>
  </si>
  <si>
    <t>ครบุรี</t>
  </si>
  <si>
    <t>***************************************************</t>
  </si>
  <si>
    <t>1198240705236272232</t>
  </si>
  <si>
    <t>584288969252243103</t>
  </si>
  <si>
    <t>9.55</t>
  </si>
  <si>
    <t>181.44</t>
  </si>
  <si>
    <t>31/05/2026 17:09:47</t>
  </si>
  <si>
    <t>03/06/2026 10:56:39</t>
  </si>
  <si>
    <t>31/05/2026 17:11:43</t>
  </si>
  <si>
    <t>01/06/2026 12:38:46</t>
  </si>
  <si>
    <t>THT37035AHGSK8Z</t>
  </si>
  <si>
    <t>y***prem225</t>
  </si>
  <si>
    <t>P******</t>
  </si>
  <si>
    <t>(+66)996****71</t>
  </si>
  <si>
    <t>ขอนแก่น</t>
  </si>
  <si>
    <t>พระยืน</t>
  </si>
  <si>
    <t>******************</t>
  </si>
  <si>
    <t>1198241073681630879</t>
  </si>
  <si>
    <t>584287760488695031</t>
  </si>
  <si>
    <t>66.85</t>
  </si>
  <si>
    <t>124.14</t>
  </si>
  <si>
    <t>31/05/2026 15:38:24</t>
  </si>
  <si>
    <t>31/05/2026 15:38:27</t>
  </si>
  <si>
    <t>31/05/2026 15:40:22</t>
  </si>
  <si>
    <t>01/06/2026 12:38:44</t>
  </si>
  <si>
    <t>02/06/2026 16:17:16</t>
  </si>
  <si>
    <t>THT01265AH9953Z</t>
  </si>
  <si>
    <t>e***44</t>
  </si>
  <si>
    <t>ร** เ*******</t>
  </si>
  <si>
    <t>(+66)813****15</t>
  </si>
  <si>
    <t>Thailand</t>
  </si>
  <si>
    <t>Bangkok</t>
  </si>
  <si>
    <t>Bueng Kum</t>
  </si>
  <si>
    <t>*********************************************</t>
  </si>
  <si>
    <t>******</t>
  </si>
  <si>
    <t>1198231344062235895</t>
  </si>
  <si>
    <t>584284337801496017</t>
  </si>
  <si>
    <t>190.99</t>
  </si>
  <si>
    <t>31/05/2026 11:47:14</t>
  </si>
  <si>
    <t>03/06/2026 13:51:32</t>
  </si>
  <si>
    <t>31/05/2026 11:52:47</t>
  </si>
  <si>
    <t>31/05/2026 15:39:53</t>
  </si>
  <si>
    <t>THT34045AH3U26Z</t>
  </si>
  <si>
    <t>u***9243618227216</t>
  </si>
  <si>
    <t>ว*******************</t>
  </si>
  <si>
    <t>(+66)081*****07</t>
  </si>
  <si>
    <t>อำนาจเจริญ</t>
  </si>
  <si>
    <t>พนา</t>
  </si>
  <si>
    <t>1198208608599705041</t>
  </si>
  <si>
    <t>584284141391808107</t>
  </si>
  <si>
    <t>31/05/2026 11:35:04</t>
  </si>
  <si>
    <t>31/05/2026 11:35:06</t>
  </si>
  <si>
    <t>31/05/2026 11:35:26</t>
  </si>
  <si>
    <t>31/05/2026 15:39:56</t>
  </si>
  <si>
    <t>02/06/2026 12:30:45</t>
  </si>
  <si>
    <t>THT67035AGYBB3Z</t>
  </si>
  <si>
    <t>m***t.petthai</t>
  </si>
  <si>
    <t>ม***** เ*******</t>
  </si>
  <si>
    <t>(+66)816****22</t>
  </si>
  <si>
    <t>ภูเก็ต</t>
  </si>
  <si>
    <t>ถลาง</t>
  </si>
  <si>
    <t>***************************************</t>
  </si>
  <si>
    <t>*************</t>
  </si>
  <si>
    <t>TrueMoney</t>
  </si>
  <si>
    <t>1198206935272752747</t>
  </si>
  <si>
    <t>1734899420555478512</t>
  </si>
  <si>
    <t>C-924</t>
  </si>
  <si>
    <t>KINBATA แผ่นดูดซับสีสำหรับซักผ้า นำเข้าจากญี่ปุ่น ดูดสี กันสีตก ซักผ้าคละสีได้ ไม่ต้องแยกผ้า ใช้แล้วทิ้ง ถนอมสีผ้า</t>
  </si>
  <si>
    <t>1 BOX</t>
  </si>
  <si>
    <t>0.005</t>
  </si>
  <si>
    <t>专业深度清洁</t>
  </si>
  <si>
    <t>584281410747205428</t>
  </si>
  <si>
    <t>167</t>
  </si>
  <si>
    <t>31/05/2026 08:07:17</t>
  </si>
  <si>
    <t>01/06/2026 14:47:44</t>
  </si>
  <si>
    <t>31/05/2026 08:10:47</t>
  </si>
  <si>
    <t>31/05/2026 12:52:40</t>
  </si>
  <si>
    <t>THT21015AGKVM9Z</t>
  </si>
  <si>
    <t>u***5611767051679</t>
  </si>
  <si>
    <t>น*** '**</t>
  </si>
  <si>
    <t>(+66)092*****20</t>
  </si>
  <si>
    <t>ระยอง</t>
  </si>
  <si>
    <t>เมืองระยอง</t>
  </si>
  <si>
    <t>**********************************************************************************************</t>
  </si>
  <si>
    <t>1198186492730443572</t>
  </si>
  <si>
    <t>584281249726563821</t>
  </si>
  <si>
    <t>31/05/2026 07:53:30</t>
  </si>
  <si>
    <t>02/06/2026 13:02:09</t>
  </si>
  <si>
    <t>31/05/2026 07:55:24</t>
  </si>
  <si>
    <t>31/05/2026 12:53:21</t>
  </si>
  <si>
    <t>THT64085AGQVR4Z</t>
  </si>
  <si>
    <t>.***euk</t>
  </si>
  <si>
    <t>จ**** ร**************</t>
  </si>
  <si>
    <t>(+66)093*****36</t>
  </si>
  <si>
    <t>นครศรีธรรมราช</t>
  </si>
  <si>
    <t>ท่าศาลา</t>
  </si>
  <si>
    <t>*************************</t>
  </si>
  <si>
    <t>*******************</t>
  </si>
  <si>
    <t>1198186241182959085</t>
  </si>
  <si>
    <t>584280992512312688</t>
  </si>
  <si>
    <t>11</t>
  </si>
  <si>
    <t>18</t>
  </si>
  <si>
    <t>117.42</t>
  </si>
  <si>
    <t>31/05/2026 07:29:37</t>
  </si>
  <si>
    <t>31/05/2026 07:30:30</t>
  </si>
  <si>
    <t>31/05/2026 07:35:27</t>
  </si>
  <si>
    <t>31/05/2026 12:52:49</t>
  </si>
  <si>
    <t>01/06/2026 12:59:41</t>
  </si>
  <si>
    <t>THT01425AGHK37Z</t>
  </si>
  <si>
    <t>u***9773377602707</t>
  </si>
  <si>
    <t>โ******* ว*********</t>
  </si>
  <si>
    <t>(+66)649****51</t>
  </si>
  <si>
    <t>วัฒนา</t>
  </si>
  <si>
    <t>***************************</t>
  </si>
  <si>
    <t>PromptPay</t>
  </si>
  <si>
    <t>1198184339024086384</t>
  </si>
  <si>
    <t>22.58</t>
  </si>
  <si>
    <t>106.42</t>
  </si>
  <si>
    <t>584280510230791804</t>
  </si>
  <si>
    <t>99</t>
  </si>
  <si>
    <t>31/05/2026 06:29:22</t>
  </si>
  <si>
    <t>02/06/2026 10:24:23</t>
  </si>
  <si>
    <t>31/05/2026 06:35:21</t>
  </si>
  <si>
    <t>31/05/2026 12:52:35</t>
  </si>
  <si>
    <t>THT54075AGG3G5Z</t>
  </si>
  <si>
    <t>u***140596547</t>
  </si>
  <si>
    <t>น******* ห********</t>
  </si>
  <si>
    <t>(+66)804****29</t>
  </si>
  <si>
    <t>เชียงราย</t>
  </si>
  <si>
    <t>แม่จัน</t>
  </si>
  <si>
    <t>1198180479892555388</t>
  </si>
  <si>
    <t>30</t>
  </si>
  <si>
    <t>584278116037133899</t>
  </si>
  <si>
    <t>已取消</t>
  </si>
  <si>
    <t>Cancel</t>
  </si>
  <si>
    <t>1734895209724151280</t>
  </si>
  <si>
    <t>N-847</t>
  </si>
  <si>
    <t>【Kinbata】สูตรใหม่!! ทิชชู่เปียกสำหรับทําความสะอาดรองเท้า ลบคราบสกปรก เสื้อผ้า กระเป๋า ไม่ต้องใช้น้ำ พกพาสะดวก 1 ห่อมี 12 แผ่น</t>
  </si>
  <si>
    <t>1 PC</t>
  </si>
  <si>
    <t>30/05/2026 23:11:25</t>
  </si>
  <si>
    <t>30/05/2026 23:11:37</t>
  </si>
  <si>
    <t>30/05/2026 23:15:23</t>
  </si>
  <si>
    <t>30/05/2026 23:15:54</t>
  </si>
  <si>
    <t>User</t>
  </si>
  <si>
    <t>不想要了</t>
  </si>
  <si>
    <t>THT20015AGE584Z</t>
  </si>
  <si>
    <t>t***un2073</t>
  </si>
  <si>
    <t>T*****</t>
  </si>
  <si>
    <t>(+66)850****71</t>
  </si>
  <si>
    <t>ชลบุรี</t>
  </si>
  <si>
    <t>เมืองชลบุรี</t>
  </si>
  <si>
    <t>********************************</t>
  </si>
  <si>
    <t>***************</t>
  </si>
  <si>
    <t>多功能清洁剂</t>
  </si>
  <si>
    <t>1198167384183113291</t>
  </si>
  <si>
    <t>1734898591554831856</t>
  </si>
  <si>
    <t>C-034</t>
  </si>
  <si>
    <t>KINBATA สเปรย์ดับกลิ่นรองเท้า ฆ่าเชื้อแบคทีเรีย ลดกลิ่นเท้า แห้งไว ใช้ได้ทุกประเภท</t>
  </si>
  <si>
    <t>233</t>
  </si>
  <si>
    <t>7</t>
  </si>
  <si>
    <t>127</t>
  </si>
  <si>
    <t>清洁与保养</t>
  </si>
  <si>
    <t>584275425603650779</t>
  </si>
  <si>
    <t>30/05/2026 20:16:36</t>
  </si>
  <si>
    <t>01/06/2026 14:14:33</t>
  </si>
  <si>
    <t>30/05/2026 20:20:24</t>
  </si>
  <si>
    <t>31/05/2026 12:53:50</t>
  </si>
  <si>
    <t>THT20045AG40K9Z</t>
  </si>
  <si>
    <t>u***zvre0fp94g</t>
  </si>
  <si>
    <t>ค***  พ*****</t>
  </si>
  <si>
    <t>(+66)971****56</t>
  </si>
  <si>
    <t>บางละมุง</t>
  </si>
  <si>
    <t>********************</t>
  </si>
  <si>
    <t>1198156363501831387</t>
  </si>
  <si>
    <t>584274949317821765</t>
  </si>
  <si>
    <t>30/05/2026 19:43:56</t>
  </si>
  <si>
    <t>30/05/2026 19:44:18</t>
  </si>
  <si>
    <t>30/05/2026 19:50:23</t>
  </si>
  <si>
    <t>31/05/2026 12:53:46</t>
  </si>
  <si>
    <t>01/06/2026 16:36:27</t>
  </si>
  <si>
    <t>THT03035AG3JH1Z</t>
  </si>
  <si>
    <t>i***olf60</t>
  </si>
  <si>
    <t>น****** ศ******</t>
  </si>
  <si>
    <t>(+66)083*****64</t>
  </si>
  <si>
    <t>นนทบุรี</t>
  </si>
  <si>
    <t>บางใหญ่</t>
  </si>
  <si>
    <t>***********************</t>
  </si>
  <si>
    <t>1198153571574908229</t>
  </si>
  <si>
    <t>584271817417786759</t>
  </si>
  <si>
    <t>21.51</t>
  </si>
  <si>
    <t>220.01</t>
  </si>
  <si>
    <t>217.48</t>
  </si>
  <si>
    <t>30/05/2026 15:55:19</t>
  </si>
  <si>
    <t>02/06/2026 13:15:11</t>
  </si>
  <si>
    <t>30/05/2026 16:00:21</t>
  </si>
  <si>
    <t>31/05/2026 12:53:20</t>
  </si>
  <si>
    <t>THT51075AG1GB2Z</t>
  </si>
  <si>
    <t>n***398</t>
  </si>
  <si>
    <t>ส******  ช****</t>
  </si>
  <si>
    <t>(+66)093*****73</t>
  </si>
  <si>
    <t>ราชอาณาจักรไทย</t>
  </si>
  <si>
    <t>แพร่</t>
  </si>
  <si>
    <t>วังชิ้น</t>
  </si>
  <si>
    <t>**********************************</t>
  </si>
  <si>
    <t>1198131685705876871</t>
  </si>
  <si>
    <t>584268765373564361</t>
  </si>
  <si>
    <t>19.12</t>
  </si>
  <si>
    <t>219.87</t>
  </si>
  <si>
    <t>30/05/2026 12:15:19</t>
  </si>
  <si>
    <t>01/06/2026 14:51:17</t>
  </si>
  <si>
    <t>30/05/2026 12:15:26</t>
  </si>
  <si>
    <t>30/05/2026 17:35:24</t>
  </si>
  <si>
    <t>THT54085AFNYU8Z</t>
  </si>
  <si>
    <t>k***pa61</t>
  </si>
  <si>
    <t>ค***</t>
  </si>
  <si>
    <t>(+66)083*****89</t>
  </si>
  <si>
    <t>เชียงแสน</t>
  </si>
  <si>
    <t>1198105130496198089</t>
  </si>
  <si>
    <t>584265352614348260</t>
  </si>
  <si>
    <t>143.39</t>
  </si>
  <si>
    <t>30/05/2026 08:13:28</t>
  </si>
  <si>
    <t>30/05/2026 08:13:56</t>
  </si>
  <si>
    <t>30/05/2026 08:15:37</t>
  </si>
  <si>
    <t>30/05/2026 13:40:48</t>
  </si>
  <si>
    <t>31/05/2026 10:10:26</t>
  </si>
  <si>
    <t>THT16025AEV293Z</t>
  </si>
  <si>
    <t>l***jibb</t>
  </si>
  <si>
    <t>ธ*** ช******</t>
  </si>
  <si>
    <t>(+66)092*****66</t>
  </si>
  <si>
    <t>สมุทรสาคร</t>
  </si>
  <si>
    <t>กระทุ่มแบน</t>
  </si>
  <si>
    <t>*****************************************</t>
  </si>
  <si>
    <t>1198074478515226084</t>
  </si>
  <si>
    <t>95.6</t>
  </si>
  <si>
    <t>584263783800931881</t>
  </si>
  <si>
    <t>60</t>
  </si>
  <si>
    <t>178.99</t>
  </si>
  <si>
    <t>30/05/2026 04:53:07</t>
  </si>
  <si>
    <t>31/05/2026 14:22:33</t>
  </si>
  <si>
    <t>30/05/2026 05:00:20</t>
  </si>
  <si>
    <t>30/05/2026 13:40:42</t>
  </si>
  <si>
    <t>THT39055AENUV2Z</t>
  </si>
  <si>
    <t>b***bat</t>
  </si>
  <si>
    <t>b******</t>
  </si>
  <si>
    <t>(+66)936****18</t>
  </si>
  <si>
    <t>เลย</t>
  </si>
  <si>
    <t>ด่านซ้าย</t>
  </si>
  <si>
    <t>*************************************************************************</t>
  </si>
  <si>
    <t>1198061256222017065</t>
  </si>
  <si>
    <t>584261040377530332</t>
  </si>
  <si>
    <t>1735802672744007152</t>
  </si>
  <si>
    <t>KINBATA OXI Powder 550g ผงซักผ้าขจัดคราบ ผงออกซิเจนแอคทีฟ ขจัดคราบฝังแน่น คราบเหลือง คราบมัน ลดกลิ่นอับ ใช้ได้ทั้งผ้าขาวและผ้าสี</t>
  </si>
  <si>
    <t>330</t>
  </si>
  <si>
    <t>171</t>
  </si>
  <si>
    <t>159</t>
  </si>
  <si>
    <t>29/05/2026 21:59:17</t>
  </si>
  <si>
    <t>01/06/2026 11:54:25</t>
  </si>
  <si>
    <t>29/05/2026 22:00:18</t>
  </si>
  <si>
    <t>30/05/2026 13:40:31</t>
  </si>
  <si>
    <t>THT02015AE9A93Z</t>
  </si>
  <si>
    <t>u***6801655132737</t>
  </si>
  <si>
    <t>ส*****</t>
  </si>
  <si>
    <t>(+66)096*****54</t>
  </si>
  <si>
    <t>สมุทรปราการ</t>
  </si>
  <si>
    <t>เมืองสมุทรปราการ</t>
  </si>
  <si>
    <t>1198046421638612956</t>
  </si>
  <si>
    <t>584259857570563943</t>
  </si>
  <si>
    <t>29/05/2026 20:48:11</t>
  </si>
  <si>
    <t>29/05/2026 20:51:14</t>
  </si>
  <si>
    <t>30/05/2026 13:40:45</t>
  </si>
  <si>
    <t>02/06/2026 16:31:38</t>
  </si>
  <si>
    <t>System</t>
  </si>
  <si>
    <t>包裹送达失败</t>
  </si>
  <si>
    <t>THT01335AEBFK8Z</t>
  </si>
  <si>
    <t>e***treatment</t>
  </si>
  <si>
    <t>ก*****  ธ*********</t>
  </si>
  <si>
    <t>(+66)994****57</t>
  </si>
  <si>
    <t>ภาษีเจริญ</t>
  </si>
  <si>
    <t>******************************************************************************</t>
  </si>
  <si>
    <t>1198041940407519079</t>
  </si>
  <si>
    <t>584257192911930387</t>
  </si>
  <si>
    <t>1735160344132879856</t>
  </si>
  <si>
    <t>【KINBATA】ผงชักผ้าขาว แถมฟรี แผ่นดูดสี 1 กล่อง น้ํายาฟอกผ้าขาว ผงขจัดคราบซักผ้า 1100g ผงขจัดคราบสำหรับเสื้อผ้า ช่วยสลายคราบฝังแน่น พร้อมถนอมสีผ้าให้สดใสเหมือนใหม่ คราบหนักแค่ไหนก็เอาอยู่</t>
  </si>
  <si>
    <t>29/05/2026 17:59:11</t>
  </si>
  <si>
    <t>29/05/2026 18:00:21</t>
  </si>
  <si>
    <t>30/05/2026 13:38:20</t>
  </si>
  <si>
    <t>31/05/2026 19:35:18</t>
  </si>
  <si>
    <t>THT01175AE6FG4Z</t>
  </si>
  <si>
    <t>m***kar.p</t>
  </si>
  <si>
    <t>เ***** เ*****</t>
  </si>
  <si>
    <t>(+66)859****25</t>
  </si>
  <si>
    <t>บางขุนเทียน</t>
  </si>
  <si>
    <t>**************************************</t>
  </si>
  <si>
    <t>******************************************************************</t>
  </si>
  <si>
    <t>1198026727752172563</t>
  </si>
  <si>
    <t>584255012755178955</t>
  </si>
  <si>
    <t>1734897848975066608</t>
  </si>
  <si>
    <t>N-150</t>
  </si>
  <si>
    <t>KINBATA สเปรย์กำจัดไรฝุ่น 500ml สำหรับสยบกลิ่นอับที่นอน ฉีดปุ๊บสะอาดปั๊บ ไม่ทิ้งคราบ ใช้งานง่าย ปลอดภัย ไม่ระคายเคืองผิว บอกลาไรฝุ่น!</t>
  </si>
  <si>
    <t>348</t>
  </si>
  <si>
    <t>4.7</t>
  </si>
  <si>
    <t>209</t>
  </si>
  <si>
    <t>134.3</t>
  </si>
  <si>
    <t>29/05/2026 14:53:26</t>
  </si>
  <si>
    <t>31/05/2026 15:13:23</t>
  </si>
  <si>
    <t>29/05/2026 14:55:34</t>
  </si>
  <si>
    <t>29/05/2026 17:09:46</t>
  </si>
  <si>
    <t>THT41095ADVUT1Z</t>
  </si>
  <si>
    <t>l***loveunarak</t>
  </si>
  <si>
    <t>พ**** อ********</t>
  </si>
  <si>
    <t>(+66)951****44</t>
  </si>
  <si>
    <t>มหาสารคาม</t>
  </si>
  <si>
    <t>วาปีปทุม</t>
  </si>
  <si>
    <t>******************************************</t>
  </si>
  <si>
    <t>臭虫、跳蚤和螨虫</t>
  </si>
  <si>
    <t>1198007196402091467</t>
  </si>
  <si>
    <t>584254704884811511</t>
  </si>
  <si>
    <t>29/05/2026 14:38:18</t>
  </si>
  <si>
    <t>29/05/2026 14:51:08</t>
  </si>
  <si>
    <t>29/05/2026 17:06:45</t>
  </si>
  <si>
    <t>31/05/2026 17:27:15</t>
  </si>
  <si>
    <t>THT31105ADVNW1Z</t>
  </si>
  <si>
    <t>a***ya4iaa</t>
  </si>
  <si>
    <t>อ***** แ******</t>
  </si>
  <si>
    <t>(+66)091*****60</t>
  </si>
  <si>
    <t>เทศบาลนครอุบลราชธานี</t>
  </si>
  <si>
    <t>ตระการพืชผล</t>
  </si>
  <si>
    <t>***********************************************************************</t>
  </si>
  <si>
    <t>1198004713028880119</t>
  </si>
  <si>
    <t>584254690884552403</t>
  </si>
  <si>
    <t>1735424502453077488</t>
  </si>
  <si>
    <t>D-155</t>
  </si>
  <si>
    <t>KINBATA โฟมทําความสะอาดรองเท้า ไม่ต้องล้างน้ำ เอาคราบออกได้เร็ว สูตรพิเศษ กำจัดคราบดิน น้ำมัน ฝุ่น และคราบสกปรกทุกชนิด</t>
  </si>
  <si>
    <t>ค่าเริ่มต้น</t>
  </si>
  <si>
    <t>29/05/2026 14:38:16</t>
  </si>
  <si>
    <t>29/05/2026 14:51:14</t>
  </si>
  <si>
    <t>29/05/2026 17:09:44</t>
  </si>
  <si>
    <t>30/05/2026 13:59:19</t>
  </si>
  <si>
    <t>THT27125AE0MQ0Z</t>
  </si>
  <si>
    <t>j***.ava4289</t>
  </si>
  <si>
    <t>ณ******* พ*****</t>
  </si>
  <si>
    <t>(+66)935****33</t>
  </si>
  <si>
    <t>บัวใหญ่</t>
  </si>
  <si>
    <t>********************************************************************************</t>
  </si>
  <si>
    <t>0.001</t>
  </si>
  <si>
    <t>1198005683256002259</t>
  </si>
  <si>
    <t>584252681126512076</t>
  </si>
  <si>
    <t>29/05/2026 12:07:10</t>
  </si>
  <si>
    <t>01/06/2026 16:29:04</t>
  </si>
  <si>
    <t>29/05/2026 12:10:28</t>
  </si>
  <si>
    <t>29/05/2026 17:09:29</t>
  </si>
  <si>
    <t>THT15065ADQRZ6Z</t>
  </si>
  <si>
    <t>u***8613105962386</t>
  </si>
  <si>
    <t>ย******</t>
  </si>
  <si>
    <t>(+66)656****27</t>
  </si>
  <si>
    <t>นครปฐม</t>
  </si>
  <si>
    <t>สามพราน</t>
  </si>
  <si>
    <t>1197986127287846348</t>
  </si>
  <si>
    <t>584252084733379719</t>
  </si>
  <si>
    <t>105</t>
  </si>
  <si>
    <t>29/05/2026 11:23:50</t>
  </si>
  <si>
    <t>31/05/2026 15:10:45</t>
  </si>
  <si>
    <t>29/05/2026 11:37:00</t>
  </si>
  <si>
    <t>29/05/2026 17:09:32</t>
  </si>
  <si>
    <t>THT67015ADMU06Z</t>
  </si>
  <si>
    <t>p***y4268</t>
  </si>
  <si>
    <t>พ*****</t>
  </si>
  <si>
    <t>(+66)992****35</t>
  </si>
  <si>
    <t>เมืองภูเก็ต</t>
  </si>
  <si>
    <t>*******************************************************</t>
  </si>
  <si>
    <t>*****************************************************************************</t>
  </si>
  <si>
    <t>1197981898600580231</t>
  </si>
  <si>
    <t>584251473737385671</t>
  </si>
  <si>
    <t>29/05/2026 10:44:11</t>
  </si>
  <si>
    <t>29/05/2026 10:45:27</t>
  </si>
  <si>
    <t>29/05/2026 17:08:00</t>
  </si>
  <si>
    <t>30/05/2026 15:52:55</t>
  </si>
  <si>
    <t>THT02035ADD1M9Z</t>
  </si>
  <si>
    <t>h***wingspan</t>
  </si>
  <si>
    <t>ส****** จ**** อ**************</t>
  </si>
  <si>
    <t>(+66)866****57</t>
  </si>
  <si>
    <t>บางพลี</t>
  </si>
  <si>
    <t>*******************************************************************</t>
  </si>
  <si>
    <t>1197976987228145351</t>
  </si>
  <si>
    <t>584251383943825064</t>
  </si>
  <si>
    <t>29/05/2026 10:43:26</t>
  </si>
  <si>
    <t>29/05/2026 10:50:29</t>
  </si>
  <si>
    <t>29/05/2026 17:08:18</t>
  </si>
  <si>
    <t>30/05/2026 12:08:32</t>
  </si>
  <si>
    <t>THT33085ADDDX3Z</t>
  </si>
  <si>
    <t>u***76519318353901</t>
  </si>
  <si>
    <t>ไ****** ม******</t>
  </si>
  <si>
    <t>(+66)815****75</t>
  </si>
  <si>
    <t>ชัยภูมิ</t>
  </si>
  <si>
    <t>หนองบัวระเหว</t>
  </si>
  <si>
    <t>1197977148319172264</t>
  </si>
  <si>
    <t>584251473684038762</t>
  </si>
  <si>
    <t>29/05/2026 10:42:24</t>
  </si>
  <si>
    <t>29/05/2026 10:42:23</t>
  </si>
  <si>
    <t>29/05/2026 10:51:02</t>
  </si>
  <si>
    <t>29/05/2026 17:08:17</t>
  </si>
  <si>
    <t>30/05/2026 18:25:29</t>
  </si>
  <si>
    <t>THT01165ADDEB9Z</t>
  </si>
  <si>
    <t>u***9707930594025</t>
  </si>
  <si>
    <t>น*** ไ************</t>
  </si>
  <si>
    <t>(+66)098*****14</t>
  </si>
  <si>
    <t>บางกะปิ</t>
  </si>
  <si>
    <t>*******************************************************************************</t>
  </si>
  <si>
    <t>1197976769717699690</t>
  </si>
  <si>
    <t>584251383897753217</t>
  </si>
  <si>
    <t>1734898004440876528</t>
  </si>
  <si>
    <t>N-180</t>
  </si>
  <si>
    <t>KINBATA คินบาตะ ก้อนฟ้าดับกลิ่น ชุดทำความสะอาดและดับกลิ่นชักโครก แพ็ค 4 ชิ้น ฆ่าเชื้อโรค ขจัดคราบ-กลิ่นเหม็น ใช้งานง่าย ห้องน้ำหอมสะอาด ใช้ได้นาน 30 วัน</t>
  </si>
  <si>
    <t>29/05/2026 10:42:15</t>
  </si>
  <si>
    <t>29/05/2026 17:08:13</t>
  </si>
  <si>
    <t>31/05/2026 11:08:21</t>
  </si>
  <si>
    <t>THT60055ADHPZ6Z</t>
  </si>
  <si>
    <t>p***jai_pmm</t>
  </si>
  <si>
    <t>พ***** ย****</t>
  </si>
  <si>
    <t>(+66)623****08</t>
  </si>
  <si>
    <t>สุโขทัย</t>
  </si>
  <si>
    <t>ศรีสัชนาลัย</t>
  </si>
  <si>
    <t>**************</t>
  </si>
  <si>
    <t>****************************************************************************</t>
  </si>
  <si>
    <t>马桶清洁剂</t>
  </si>
  <si>
    <t>1197977328063448705</t>
  </si>
  <si>
    <t>584251473651402681</t>
  </si>
  <si>
    <t>29/05/2026 10:51:09</t>
  </si>
  <si>
    <t>29/05/2026 17:08:11</t>
  </si>
  <si>
    <t>30/05/2026 15:19:44</t>
  </si>
  <si>
    <t>THT01105ADJ120Z</t>
  </si>
  <si>
    <t>b***kyna.official</t>
  </si>
  <si>
    <t>ป***** ศ********</t>
  </si>
  <si>
    <t>(+66)863****17</t>
  </si>
  <si>
    <t>ตลิ่งชัน</t>
  </si>
  <si>
    <t>************************************</t>
  </si>
  <si>
    <t>***************************************************************</t>
  </si>
  <si>
    <t>1197977127349028793</t>
  </si>
  <si>
    <t>584249539419080041</t>
  </si>
  <si>
    <t>238.99</t>
  </si>
  <si>
    <t>29/05/2026 08:13:38</t>
  </si>
  <si>
    <t>29/05/2026 08:13:40</t>
  </si>
  <si>
    <t>29/05/2026 08:15:26</t>
  </si>
  <si>
    <t>29/05/2026 12:55:59</t>
  </si>
  <si>
    <t>30/05/2026 13:55:52</t>
  </si>
  <si>
    <t>THT50015AD19M6Z</t>
  </si>
  <si>
    <t>j***sawangrat</t>
  </si>
  <si>
    <t>ส********* เ*******</t>
  </si>
  <si>
    <t>(+66)095*****79</t>
  </si>
  <si>
    <t>อุตรดิตถ์</t>
  </si>
  <si>
    <t>เมืองอุตรดิตถ์</t>
  </si>
  <si>
    <t>**********************************************************</t>
  </si>
  <si>
    <t>PayLater</t>
  </si>
  <si>
    <t>1197958602241049961</t>
  </si>
  <si>
    <t>584246656444564876</t>
  </si>
  <si>
    <t>28/05/2026 23:51:47</t>
  </si>
  <si>
    <t>28/05/2026 23:52:07</t>
  </si>
  <si>
    <t>28/05/2026 23:55:26</t>
  </si>
  <si>
    <t>29/05/2026 12:55:56</t>
  </si>
  <si>
    <t>30/05/2026 13:05:59</t>
  </si>
  <si>
    <t>THT20075ACDPZ1Z</t>
  </si>
  <si>
    <t>u***5362013265496</t>
  </si>
  <si>
    <t>ม*** น********</t>
  </si>
  <si>
    <t>(+66)083*****12</t>
  </si>
  <si>
    <t>ศรีราชา</t>
  </si>
  <si>
    <t>*********************</t>
  </si>
  <si>
    <t>****************************</t>
  </si>
  <si>
    <t>1197936069960435084</t>
  </si>
  <si>
    <t>584246620825749351</t>
  </si>
  <si>
    <t>110</t>
  </si>
  <si>
    <t>128.99</t>
  </si>
  <si>
    <t>28/05/2026 23:45:38</t>
  </si>
  <si>
    <t>30/05/2026 16:32:31</t>
  </si>
  <si>
    <t>28/05/2026 23:50:42</t>
  </si>
  <si>
    <t>29/05/2026 12:55:49</t>
  </si>
  <si>
    <t>THT01335ACDGB3Z</t>
  </si>
  <si>
    <t>1197935853232424807</t>
  </si>
  <si>
    <t>584246263727556256</t>
  </si>
  <si>
    <t>28/05/2026 23:09:54</t>
  </si>
  <si>
    <t>30/05/2026 18:04:44</t>
  </si>
  <si>
    <t>28/05/2026 23:10:27</t>
  </si>
  <si>
    <t>29/05/2026 12:55:52</t>
  </si>
  <si>
    <t>THT01185ACCP17Z</t>
  </si>
  <si>
    <t>p***eetamarat</t>
  </si>
  <si>
    <t>พ**** ท********</t>
  </si>
  <si>
    <t>(+66)890****43</t>
  </si>
  <si>
    <t>บางเขน</t>
  </si>
  <si>
    <t>**************************************************************</t>
  </si>
  <si>
    <t>1197933910158509728</t>
  </si>
  <si>
    <t>584245907625182881</t>
  </si>
  <si>
    <t>28/05/2026 22:38:37</t>
  </si>
  <si>
    <t>30/05/2026 16:14:46</t>
  </si>
  <si>
    <t>28/05/2026 22:40:27</t>
  </si>
  <si>
    <t>29/05/2026 12:52:24</t>
  </si>
  <si>
    <t>THT02015ACBN79Z</t>
  </si>
  <si>
    <t>n***1193</t>
  </si>
  <si>
    <t>น******</t>
  </si>
  <si>
    <t>(+66)889****53</t>
  </si>
  <si>
    <t>************************************************************************************************************************</t>
  </si>
  <si>
    <t>1197932394388031137</t>
  </si>
  <si>
    <t>584243624051246540</t>
  </si>
  <si>
    <t>28/05/2026 20:12:09</t>
  </si>
  <si>
    <t>30/05/2026 14:50:13</t>
  </si>
  <si>
    <t>28/05/2026 20:20:20</t>
  </si>
  <si>
    <t>29/05/2026 12:53:28</t>
  </si>
  <si>
    <t>THT15065AC72W3Z</t>
  </si>
  <si>
    <t>1197922369286604236</t>
  </si>
  <si>
    <t>584243141386536135</t>
  </si>
  <si>
    <t>35</t>
  </si>
  <si>
    <t>28/05/2026 19:43:27</t>
  </si>
  <si>
    <t>30/05/2026 13:24:25</t>
  </si>
  <si>
    <t>28/05/2026 19:45:51</t>
  </si>
  <si>
    <t>29/05/2026 12:53:30</t>
  </si>
  <si>
    <t>THT04015AC5RH7Z</t>
  </si>
  <si>
    <t>t***kata898</t>
  </si>
  <si>
    <t>ต***</t>
  </si>
  <si>
    <t>(+66)899****94</t>
  </si>
  <si>
    <t>ปทุมธานี</t>
  </si>
  <si>
    <t>เมืองปทุมธานี</t>
  </si>
  <si>
    <t>1197919669814396103</t>
  </si>
  <si>
    <t>584240063262918130</t>
  </si>
  <si>
    <t>28/05/2026 16:04:19</t>
  </si>
  <si>
    <t>28/05/2026 16:05:31</t>
  </si>
  <si>
    <t>29/05/2026 12:55:36</t>
  </si>
  <si>
    <t>30/05/2026 14:47:17</t>
  </si>
  <si>
    <t>THT20015AC6TC4Z</t>
  </si>
  <si>
    <t>k***p643</t>
  </si>
  <si>
    <t>น****** เ******</t>
  </si>
  <si>
    <t>(+66)994****74</t>
  </si>
  <si>
    <t>*****************************************************************************************</t>
  </si>
  <si>
    <t>1197898636277417458</t>
  </si>
  <si>
    <t>584240062812096300</t>
  </si>
  <si>
    <t>28/05/2026 16:02:12</t>
  </si>
  <si>
    <t>28/05/2026 16:05:29</t>
  </si>
  <si>
    <t>29/05/2026 12:53:26</t>
  </si>
  <si>
    <t>30/05/2026 14:28:44</t>
  </si>
  <si>
    <t>THT24055ABZZ95Z</t>
  </si>
  <si>
    <t>p***.review8</t>
  </si>
  <si>
    <t>พ****** จ*******</t>
  </si>
  <si>
    <t>(+66)615****73</t>
  </si>
  <si>
    <t>ฉะเชิงเทรา</t>
  </si>
  <si>
    <t>บ้านโพธิ์</t>
  </si>
  <si>
    <t>************************************************************************************************************</t>
  </si>
  <si>
    <t>1197897708955600684</t>
  </si>
  <si>
    <t>584239731549833144</t>
  </si>
  <si>
    <t>28/05/2026 15:26:21</t>
  </si>
  <si>
    <t>28/05/2026 15:30:33</t>
  </si>
  <si>
    <t>28/05/2026 16:44:06</t>
  </si>
  <si>
    <t>30/05/2026 15:56:06</t>
  </si>
  <si>
    <t>THT47125AC5RV2Z</t>
  </si>
  <si>
    <t>m***onice</t>
  </si>
  <si>
    <t>ช******* ก******</t>
  </si>
  <si>
    <t>(+66)992****69</t>
  </si>
  <si>
    <t>เชียงใหม่</t>
  </si>
  <si>
    <t>สันป่าตอง</t>
  </si>
  <si>
    <t>*****************************</t>
  </si>
  <si>
    <t>***********************************</t>
  </si>
  <si>
    <t>1197894182519539640</t>
  </si>
  <si>
    <t>584238319258732452</t>
  </si>
  <si>
    <t>71.7</t>
  </si>
  <si>
    <t>167.29</t>
  </si>
  <si>
    <t>28/05/2026 13:32:36</t>
  </si>
  <si>
    <t>28/05/2026 13:32:38</t>
  </si>
  <si>
    <t>28/05/2026 13:35:25</t>
  </si>
  <si>
    <t>28/05/2026 16:44:10</t>
  </si>
  <si>
    <t>29/05/2026 13:10:44</t>
  </si>
  <si>
    <t>THT01165AC0112Z</t>
  </si>
  <si>
    <t>u***1eefxktod3</t>
  </si>
  <si>
    <t>ฟ****</t>
  </si>
  <si>
    <t>(+66)650****90</t>
  </si>
  <si>
    <t>************************************************************</t>
  </si>
  <si>
    <t>1197879818958112676</t>
  </si>
  <si>
    <t>584237868181718450</t>
  </si>
  <si>
    <t>28/05/2026 13:17:16</t>
  </si>
  <si>
    <t>28/05/2026 13:25:32</t>
  </si>
  <si>
    <t>28/05/2026 16:44:12</t>
  </si>
  <si>
    <t>29/05/2026 11:49:46</t>
  </si>
  <si>
    <t>THT01425ABZJQ8Z</t>
  </si>
  <si>
    <t>d***roplet</t>
  </si>
  <si>
    <t>N******* K***********</t>
  </si>
  <si>
    <t>(+66)999****55</t>
  </si>
  <si>
    <t>Vadhana</t>
  </si>
  <si>
    <t>*******************************************************************************************************</t>
  </si>
  <si>
    <t>1197877553781245362</t>
  </si>
  <si>
    <t>584237868141021040</t>
  </si>
  <si>
    <t>28/05/2026 13:16:17</t>
  </si>
  <si>
    <t>28/05/2026 13:20:36</t>
  </si>
  <si>
    <t>28/05/2026 16:51:01</t>
  </si>
  <si>
    <t>30/05/2026 16:28:39</t>
  </si>
  <si>
    <t>THT73065ABT5Y3Z</t>
  </si>
  <si>
    <t>a***aipimsook</t>
  </si>
  <si>
    <t>อ***** พ*******</t>
  </si>
  <si>
    <t>(+66)647****13</t>
  </si>
  <si>
    <t>ตรัง</t>
  </si>
  <si>
    <t>ห้วยยอด</t>
  </si>
  <si>
    <t>*************************************</t>
  </si>
  <si>
    <t>1197877531494549360</t>
  </si>
  <si>
    <t>584236247496295432</t>
  </si>
  <si>
    <t>28/05/2026 11:37:16</t>
  </si>
  <si>
    <t>28/05/2026 11:40:27</t>
  </si>
  <si>
    <t>28/05/2026 16:47:55</t>
  </si>
  <si>
    <t>29/05/2026 16:54:39</t>
  </si>
  <si>
    <t>THT01485ABR3N8Z</t>
  </si>
  <si>
    <t>m***onkt</t>
  </si>
  <si>
    <t>ว******</t>
  </si>
  <si>
    <t>(+66)635****24</t>
  </si>
  <si>
    <t>หนองแขม</t>
  </si>
  <si>
    <t>*****************</t>
  </si>
  <si>
    <t>1197865544855946248</t>
  </si>
  <si>
    <t>584235258605045635</t>
  </si>
  <si>
    <t>28/05/2026 10:04:19</t>
  </si>
  <si>
    <t>28/05/2026 10:05:24</t>
  </si>
  <si>
    <t>28/05/2026 12:59:32</t>
  </si>
  <si>
    <t>29/05/2026 08:54:32</t>
  </si>
  <si>
    <t>THT02045ABHY96Z</t>
  </si>
  <si>
    <t>p***a_lookhin15</t>
  </si>
  <si>
    <t>พ*** ป***********</t>
  </si>
  <si>
    <t>(+66)095*****49</t>
  </si>
  <si>
    <t>พระประแดง</t>
  </si>
  <si>
    <t>1197853841954736003</t>
  </si>
  <si>
    <t>584235040646923501</t>
  </si>
  <si>
    <t>28/05/2026 09:51:20</t>
  </si>
  <si>
    <t>28/05/2026 09:55:24</t>
  </si>
  <si>
    <t>28/05/2026 12:59:36</t>
  </si>
  <si>
    <t>29/05/2026 17:28:19</t>
  </si>
  <si>
    <t>THT01425ABH0W8Z</t>
  </si>
  <si>
    <t>w***p24hr</t>
  </si>
  <si>
    <t>ซ**** เ*******</t>
  </si>
  <si>
    <t>(+66)657****06</t>
  </si>
  <si>
    <t>1197851869454501101</t>
  </si>
  <si>
    <t>584234728355432421</t>
  </si>
  <si>
    <t>28/05/2026 09:16:36</t>
  </si>
  <si>
    <t>28/05/2026 09:16:48</t>
  </si>
  <si>
    <t>s***esanjareon</t>
  </si>
  <si>
    <t>เ***** ส*******</t>
  </si>
  <si>
    <t>(+66)815****16</t>
  </si>
  <si>
    <t>สงขลา</t>
  </si>
  <si>
    <t>หาดใหญ่</t>
  </si>
  <si>
    <t>1197848232147519461</t>
  </si>
  <si>
    <t>584234378667853329</t>
  </si>
  <si>
    <t>47.9</t>
  </si>
  <si>
    <t>191.09</t>
  </si>
  <si>
    <t>28/05/2026 08:45:39</t>
  </si>
  <si>
    <t>28/05/2026 08:46:01</t>
  </si>
  <si>
    <t>28/05/2026 08:52:14</t>
  </si>
  <si>
    <t>28/05/2026 12:59:30</t>
  </si>
  <si>
    <t>29/05/2026 16:43:45</t>
  </si>
  <si>
    <t>THT01395AB4Q75Z</t>
  </si>
  <si>
    <t>n***ayaa</t>
  </si>
  <si>
    <t>น****</t>
  </si>
  <si>
    <t>(+66)090*****64</t>
  </si>
  <si>
    <t>ลาดกระบัง</t>
  </si>
  <si>
    <t>1197843475121604113</t>
  </si>
  <si>
    <t>584233368845976680</t>
  </si>
  <si>
    <t>218</t>
  </si>
  <si>
    <t>109</t>
  </si>
  <si>
    <t>28/05/2026 07:14:35</t>
  </si>
  <si>
    <t>28/05/2026 07:14:49</t>
  </si>
  <si>
    <t>28/05/2026 07:15:24</t>
  </si>
  <si>
    <t>28/05/2026 07:16:56</t>
  </si>
  <si>
    <t>THT76015AAYZF2Z</t>
  </si>
  <si>
    <t>f***feelinggood</t>
  </si>
  <si>
    <t>ธ***** เ*******</t>
  </si>
  <si>
    <t>(+66)842****07</t>
  </si>
  <si>
    <t>ยะลา</t>
  </si>
  <si>
    <t>เมืองยะลา</t>
  </si>
  <si>
    <t>1197830573837943912</t>
  </si>
  <si>
    <t>584232839386400613</t>
  </si>
  <si>
    <t>28/05/2026 06:07:05</t>
  </si>
  <si>
    <t>28/05/2026 06:07:10</t>
  </si>
  <si>
    <t>28/05/2026 06:10:25</t>
  </si>
  <si>
    <t>28/05/2026 12:54:41</t>
  </si>
  <si>
    <t>01/06/2026 18:27:46</t>
  </si>
  <si>
    <t>THT22025AARN83Z</t>
  </si>
  <si>
    <t>m***ang1396</t>
  </si>
  <si>
    <t>ม**** ร***********</t>
  </si>
  <si>
    <t>(+66)098*****82</t>
  </si>
  <si>
    <t>จันทบุรี</t>
  </si>
  <si>
    <t>ขลุง</t>
  </si>
  <si>
    <t>1197826017691600741</t>
  </si>
  <si>
    <t>584232362975266491</t>
  </si>
  <si>
    <t>28/05/2026 04:30:42</t>
  </si>
  <si>
    <t>29/05/2026 16:32:36</t>
  </si>
  <si>
    <t>28/05/2026 04:35:25</t>
  </si>
  <si>
    <t>28/05/2026 12:54:45</t>
  </si>
  <si>
    <t>THT20045AAVYG6Z</t>
  </si>
  <si>
    <t>.***anta.thongon</t>
  </si>
  <si>
    <t>น***** ส****** ท******</t>
  </si>
  <si>
    <t>(+66)933****42</t>
  </si>
  <si>
    <t>*********************************************************************</t>
  </si>
  <si>
    <t>1197822710472607419</t>
  </si>
  <si>
    <t>584231264923387667</t>
  </si>
  <si>
    <t>139</t>
  </si>
  <si>
    <t>168</t>
  </si>
  <si>
    <t>28/05/2026 00:04:01</t>
  </si>
  <si>
    <t>28/05/2026 00:04:14</t>
  </si>
  <si>
    <t>28/05/2026 00:05:27</t>
  </si>
  <si>
    <t>28/05/2026 13:00:06</t>
  </si>
  <si>
    <t>29/05/2026 18:01:44</t>
  </si>
  <si>
    <t>THT04015AAR5Z2Z</t>
  </si>
  <si>
    <t>o***yamonkorn</t>
  </si>
  <si>
    <t>ย**** ก*********</t>
  </si>
  <si>
    <t>(+66)924****64</t>
  </si>
  <si>
    <t>**********************************************************************************************************************</t>
  </si>
  <si>
    <t>1197815464381613843</t>
  </si>
  <si>
    <t>584226014529947426</t>
  </si>
  <si>
    <t>27/05/2026 17:52:10</t>
  </si>
  <si>
    <t>27/05/2026 17:55:27</t>
  </si>
  <si>
    <t>28/05/2026 13:00:03</t>
  </si>
  <si>
    <t>30/05/2026 11:01:36</t>
  </si>
  <si>
    <t>THT39035AA6WW7Z</t>
  </si>
  <si>
    <t>p***y_22</t>
  </si>
  <si>
    <t>ร****** โ**** พ***</t>
  </si>
  <si>
    <t>(+66)098*****97</t>
  </si>
  <si>
    <t>เชียงคาน</t>
  </si>
  <si>
    <t>************</t>
  </si>
  <si>
    <t>1197790434975254306</t>
  </si>
  <si>
    <t>584225865871820042</t>
  </si>
  <si>
    <t>27/05/2026 17:51:11</t>
  </si>
  <si>
    <t>28/05/2026 12:59:54</t>
  </si>
  <si>
    <t>29/05/2026 15:56:04</t>
  </si>
  <si>
    <t>THT01205AACRH4Z</t>
  </si>
  <si>
    <t>n***ira20</t>
  </si>
  <si>
    <t>ณ****** ศ*****</t>
  </si>
  <si>
    <t>(+66)080*****35</t>
  </si>
  <si>
    <t>บางแค</t>
  </si>
  <si>
    <t>1197789784821105930</t>
  </si>
  <si>
    <t>584223505155589500</t>
  </si>
  <si>
    <t>27/05/2026 14:33:20</t>
  </si>
  <si>
    <t>27/05/2026 14:33:19</t>
  </si>
  <si>
    <t>27/05/2026 14:35:28</t>
  </si>
  <si>
    <t>27/05/2026 17:03:21</t>
  </si>
  <si>
    <t>29/05/2026 15:41:06</t>
  </si>
  <si>
    <t>THT71155AA0B23Z</t>
  </si>
  <si>
    <t>n***areekaewsri</t>
  </si>
  <si>
    <t>(+66)082*****92</t>
  </si>
  <si>
    <t>สิงหนคร</t>
  </si>
  <si>
    <t>************************</t>
  </si>
  <si>
    <t>1197770466337195388</t>
  </si>
  <si>
    <t>584223240499332434</t>
  </si>
  <si>
    <t>27/05/2026 14:16:23</t>
  </si>
  <si>
    <t>28/05/2026 10:51:02</t>
  </si>
  <si>
    <t>28/05/2026 12:56:39</t>
  </si>
  <si>
    <t>29/05/2026 12:14:24</t>
  </si>
  <si>
    <t>THT01475ABETW9Z</t>
  </si>
  <si>
    <t>e***445</t>
  </si>
  <si>
    <t>พ***********</t>
  </si>
  <si>
    <t>(+66)089*****83</t>
  </si>
  <si>
    <t>สายไหม</t>
  </si>
  <si>
    <t>******************************************************</t>
  </si>
  <si>
    <t>1197768235687183698</t>
  </si>
  <si>
    <t>584223379995395652</t>
  </si>
  <si>
    <t>27/05/2026 14:16:10</t>
  </si>
  <si>
    <t>27/05/2026 14:20:23</t>
  </si>
  <si>
    <t>27/05/2026 17:03:52</t>
  </si>
  <si>
    <t>28/05/2026 17:28:30</t>
  </si>
  <si>
    <t>THT24015AA59D8Z</t>
  </si>
  <si>
    <t>p***oykwan</t>
  </si>
  <si>
    <t>P K</t>
  </si>
  <si>
    <t>(+66)945****68</t>
  </si>
  <si>
    <t>Chachoengsao</t>
  </si>
  <si>
    <t>Mueang Chachoengsao</t>
  </si>
  <si>
    <t>****************************************</t>
  </si>
  <si>
    <t>1197769396731151940</t>
  </si>
  <si>
    <t>584219808384124466</t>
  </si>
  <si>
    <t>27/05/2026 09:46:23</t>
  </si>
  <si>
    <t>27/05/2026 09:46:57</t>
  </si>
  <si>
    <t>27/05/2026 09:51:32</t>
  </si>
  <si>
    <t>27/05/2026 13:05:44</t>
  </si>
  <si>
    <t>29/05/2026 15:35:30</t>
  </si>
  <si>
    <t>THT22025A9E9E1Z</t>
  </si>
  <si>
    <t>g***erchristmas</t>
  </si>
  <si>
    <t>แ**</t>
  </si>
  <si>
    <t>(+66)092*****79</t>
  </si>
  <si>
    <t>1197740279451977266</t>
  </si>
  <si>
    <t>584218525312648832</t>
  </si>
  <si>
    <t>28.68</t>
  </si>
  <si>
    <t>210.31</t>
  </si>
  <si>
    <t>27/05/2026 07:59:19</t>
  </si>
  <si>
    <t>29/05/2026 13:29:18</t>
  </si>
  <si>
    <t>27/05/2026 08:00:17</t>
  </si>
  <si>
    <t>27/05/2026 13:02:54</t>
  </si>
  <si>
    <t>THT59065A8YQW9Z</t>
  </si>
  <si>
    <t>o***aranya</t>
  </si>
  <si>
    <t>ค********</t>
  </si>
  <si>
    <t>(+66)063*****92</t>
  </si>
  <si>
    <t>ตาก</t>
  </si>
  <si>
    <t>แม่สอด</t>
  </si>
  <si>
    <t>********************************************</t>
  </si>
  <si>
    <t>1197730187545577088</t>
  </si>
  <si>
    <t>584215113615115572</t>
  </si>
  <si>
    <t>20</t>
  </si>
  <si>
    <t>218.99</t>
  </si>
  <si>
    <t>8</t>
  </si>
  <si>
    <t>80</t>
  </si>
  <si>
    <t>226.99</t>
  </si>
  <si>
    <t>26/05/2026 22:44:18</t>
  </si>
  <si>
    <t>29/05/2026 13:03:10</t>
  </si>
  <si>
    <t>26/05/2026 22:45:22</t>
  </si>
  <si>
    <t>27/05/2026 13:03:57</t>
  </si>
  <si>
    <t>THT67025A8HFV7Z</t>
  </si>
  <si>
    <t>l***ana03</t>
  </si>
  <si>
    <t>ต** ล***********</t>
  </si>
  <si>
    <t>(+66)802****11</t>
  </si>
  <si>
    <t>กะทู้</t>
  </si>
  <si>
    <t>1197709565443999028</t>
  </si>
  <si>
    <t>584214025551382406</t>
  </si>
  <si>
    <t>16.74</t>
  </si>
  <si>
    <t>222.25</t>
  </si>
  <si>
    <t>26/05/2026 21:26:55</t>
  </si>
  <si>
    <t>26/05/2026 21:26:57</t>
  </si>
  <si>
    <t>26/05/2026 21:30:29</t>
  </si>
  <si>
    <t>27/05/2026 13:04:03</t>
  </si>
  <si>
    <t>29/05/2026 13:18:46</t>
  </si>
  <si>
    <t>THT41115A8NJ60Z</t>
  </si>
  <si>
    <t>s***rataim_54</t>
  </si>
  <si>
    <t>ศ******** ป*****</t>
  </si>
  <si>
    <t>(+66)614****44</t>
  </si>
  <si>
    <t>ยางสีสุราช</t>
  </si>
  <si>
    <t>1197704746618488710</t>
  </si>
  <si>
    <t>584213292620941246</t>
  </si>
  <si>
    <t>23</t>
  </si>
  <si>
    <t>26/05/2026 20:43:15</t>
  </si>
  <si>
    <t>29/05/2026 14:04:41</t>
  </si>
  <si>
    <t>26/05/2026 20:45:19</t>
  </si>
  <si>
    <t>27/05/2026 13:04:08</t>
  </si>
  <si>
    <t>THT71105A8K1X8Z</t>
  </si>
  <si>
    <t>p***bs</t>
  </si>
  <si>
    <t>ป**** บ******</t>
  </si>
  <si>
    <t>(+66)083*****60</t>
  </si>
  <si>
    <t>สะเดา</t>
  </si>
  <si>
    <t>1197702296217356222</t>
  </si>
  <si>
    <t>584212422411847321</t>
  </si>
  <si>
    <t>26/05/2026 19:42:37</t>
  </si>
  <si>
    <t>28/05/2026 12:13:57</t>
  </si>
  <si>
    <t>26/05/2026 19:46:34</t>
  </si>
  <si>
    <t>27/05/2026 13:04:23</t>
  </si>
  <si>
    <t>THT03025A8A773Z</t>
  </si>
  <si>
    <t>_***24</t>
  </si>
  <si>
    <t>พ****** ก*******</t>
  </si>
  <si>
    <t>(+66)863****29</t>
  </si>
  <si>
    <t>บางกรวย</t>
  </si>
  <si>
    <t>**************************************************</t>
  </si>
  <si>
    <t>1197697107645597337</t>
  </si>
  <si>
    <t>584210395320910865</t>
  </si>
  <si>
    <t>26/05/2026 17:28:12</t>
  </si>
  <si>
    <t>26/05/2026 17:30:34</t>
  </si>
  <si>
    <t>27/05/2026 13:01:46</t>
  </si>
  <si>
    <t>28/05/2026 15:01:48</t>
  </si>
  <si>
    <t>THT10035A86DQ5Z</t>
  </si>
  <si>
    <t>h***ysstar</t>
  </si>
  <si>
    <t>น****** ร**************************</t>
  </si>
  <si>
    <t>(+66)065*****53</t>
  </si>
  <si>
    <t>สระบุรี</t>
  </si>
  <si>
    <t>หนองแค</t>
  </si>
  <si>
    <t>********************************************************************</t>
  </si>
  <si>
    <t>****************************************************************************************************</t>
  </si>
  <si>
    <t>1197685427777405969</t>
  </si>
  <si>
    <t>584210425689048952</t>
  </si>
  <si>
    <t>26/05/2026 17:15:51</t>
  </si>
  <si>
    <t>29/05/2026 10:08:17</t>
  </si>
  <si>
    <t>26/05/2026 17:20:32</t>
  </si>
  <si>
    <t>27/05/2026 13:04:21</t>
  </si>
  <si>
    <t>THT70035A8CTE0Z</t>
  </si>
  <si>
    <t>u***81587283991244</t>
  </si>
  <si>
    <t>เ*******  เ***************</t>
  </si>
  <si>
    <t>(+66)897****12</t>
  </si>
  <si>
    <t>ชุมพร</t>
  </si>
  <si>
    <t>ปะทิว</t>
  </si>
  <si>
    <t>**********************</t>
  </si>
  <si>
    <t>1197684319452759928</t>
  </si>
  <si>
    <t>584209245032908049</t>
  </si>
  <si>
    <t>26/05/2026 15:42:16</t>
  </si>
  <si>
    <t>26/05/2026 15:52:12</t>
  </si>
  <si>
    <t>27/05/2026 13:01:47</t>
  </si>
  <si>
    <t>29/05/2026 13:34:29</t>
  </si>
  <si>
    <t>THT37015A83CK3Z</t>
  </si>
  <si>
    <t>p***ychobkaikong</t>
  </si>
  <si>
    <t>ย****** ค***</t>
  </si>
  <si>
    <t>(+66)971****74</t>
  </si>
  <si>
    <t>เมืองขอนแก่น</t>
  </si>
  <si>
    <t>1197674441110029585</t>
  </si>
  <si>
    <t>584208623593752016</t>
  </si>
  <si>
    <t>26/05/2026 14:52:21</t>
  </si>
  <si>
    <t>26/05/2026 14:55:30</t>
  </si>
  <si>
    <t>26/05/2026 15:48:13</t>
  </si>
  <si>
    <t>28/05/2026 16:46:44</t>
  </si>
  <si>
    <t>THT76035A87QS2Z</t>
  </si>
  <si>
    <t>u***_1</t>
  </si>
  <si>
    <t>เ********</t>
  </si>
  <si>
    <t>(+66)925****03</t>
  </si>
  <si>
    <t>บันนังสตา</t>
  </si>
  <si>
    <t>**********</t>
  </si>
  <si>
    <t>1197667882361259472</t>
  </si>
  <si>
    <t>584207516275737625</t>
  </si>
  <si>
    <t>26/05/2026 13:40:14</t>
  </si>
  <si>
    <t>26/05/2026 13:40:40</t>
  </si>
  <si>
    <t>26/05/2026 15:47:58</t>
  </si>
  <si>
    <t>28/05/2026 14:23:28</t>
  </si>
  <si>
    <t>THT10025A7XFP7Z</t>
  </si>
  <si>
    <t>p***61597</t>
  </si>
  <si>
    <t>ว**** ร*****************************</t>
  </si>
  <si>
    <t>(+66)064*****39</t>
  </si>
  <si>
    <t>แก่งคอย</t>
  </si>
  <si>
    <t>*******</t>
  </si>
  <si>
    <t>1197660120373494809</t>
  </si>
  <si>
    <t>584207213318604066</t>
  </si>
  <si>
    <t>220</t>
  </si>
  <si>
    <t>239</t>
  </si>
  <si>
    <t>26/05/2026 13:04:22</t>
  </si>
  <si>
    <t>28/05/2026 18:44:24</t>
  </si>
  <si>
    <t>26/05/2026 13:05:34</t>
  </si>
  <si>
    <t>26/05/2026 15:51:38</t>
  </si>
  <si>
    <t>THT65025A7UGZ7Z</t>
  </si>
  <si>
    <t>g***ornkeadsiri</t>
  </si>
  <si>
    <t>เ*** เ*******</t>
  </si>
  <si>
    <t>(+66)095*****76</t>
  </si>
  <si>
    <t>กระบี่</t>
  </si>
  <si>
    <t>เขาพนม</t>
  </si>
  <si>
    <t>1197654783404967202</t>
  </si>
  <si>
    <t>584205304374920289</t>
  </si>
  <si>
    <t>26/05/2026 11:05:17</t>
  </si>
  <si>
    <t>26/05/2026 11:05:16</t>
  </si>
  <si>
    <t>26/05/2026 11:05:29</t>
  </si>
  <si>
    <t>26/05/2026 12:59:14</t>
  </si>
  <si>
    <t>28/05/2026 17:16:12</t>
  </si>
  <si>
    <t>THT38195A7K015Z</t>
  </si>
  <si>
    <t>b***824801</t>
  </si>
  <si>
    <t>ค**** อ******</t>
  </si>
  <si>
    <t>(+66)080*****32</t>
  </si>
  <si>
    <t>อุดรธานี</t>
  </si>
  <si>
    <t>กู่แก้ว</t>
  </si>
  <si>
    <t>******************************</t>
  </si>
  <si>
    <t>1197641260363187297</t>
  </si>
  <si>
    <t>584205157178967834</t>
  </si>
  <si>
    <t>26/05/2026 10:50:20</t>
  </si>
  <si>
    <t>26/05/2026 10:52:12</t>
  </si>
  <si>
    <t>26/05/2026 12:56:51</t>
  </si>
  <si>
    <t>27/05/2026 15:42:32</t>
  </si>
  <si>
    <t>THT13065A7HRM3Z</t>
  </si>
  <si>
    <t>k***hakan06</t>
  </si>
  <si>
    <t>โ*******</t>
  </si>
  <si>
    <t>(+66)655****56</t>
  </si>
  <si>
    <t>กาญจนบุรี</t>
  </si>
  <si>
    <t>บ่อพลอย</t>
  </si>
  <si>
    <t>*********************************************************</t>
  </si>
  <si>
    <t>1197639296041125658</t>
  </si>
  <si>
    <t>584204769889715240</t>
  </si>
  <si>
    <t>219</t>
  </si>
  <si>
    <t>26/05/2026 10:18:26</t>
  </si>
  <si>
    <t>27/05/2026 14:23:17</t>
  </si>
  <si>
    <t>26/05/2026 10:25:30</t>
  </si>
  <si>
    <t>26/05/2026 12:59:15</t>
  </si>
  <si>
    <t>THT24065A7QB06Z</t>
  </si>
  <si>
    <t>b***iee889</t>
  </si>
  <si>
    <t>(+66)085*****99</t>
  </si>
  <si>
    <t>พนมสารคาม</t>
  </si>
  <si>
    <t>1197635827363906600</t>
  </si>
  <si>
    <t>584204678372165259</t>
  </si>
  <si>
    <t>26/05/2026 10:07:40</t>
  </si>
  <si>
    <t>27/05/2026 17:56:26</t>
  </si>
  <si>
    <t>26/05/2026 10:10:32</t>
  </si>
  <si>
    <t>26/05/2026 12:59:10</t>
  </si>
  <si>
    <t>THT27215A7PEG0Z</t>
  </si>
  <si>
    <t>t***ngla</t>
  </si>
  <si>
    <t>t*******</t>
  </si>
  <si>
    <t>(+66)825****59</t>
  </si>
  <si>
    <t>ปากช่อง</t>
  </si>
  <si>
    <t>1197635682634401419</t>
  </si>
  <si>
    <t>584204638576412357</t>
  </si>
  <si>
    <t>26/05/2026 10:03:42</t>
  </si>
  <si>
    <t>28/05/2026 19:23:12</t>
  </si>
  <si>
    <t>26/05/2026 10:05:30</t>
  </si>
  <si>
    <t>26/05/2026 12:59:11</t>
  </si>
  <si>
    <t>THT40015A7P0V4Z</t>
  </si>
  <si>
    <t>.***506</t>
  </si>
  <si>
    <t>ป*****  โ******</t>
  </si>
  <si>
    <t>(+66)081*****43</t>
  </si>
  <si>
    <t>หนองคาย</t>
  </si>
  <si>
    <t>ท่าบ่อ</t>
  </si>
  <si>
    <t>**********************************************</t>
  </si>
  <si>
    <t>1197634056383792837</t>
  </si>
  <si>
    <t>584204510250763989</t>
  </si>
  <si>
    <t>26/05/2026 09:56:39</t>
  </si>
  <si>
    <t>28/05/2026 15:31:31</t>
  </si>
  <si>
    <t>26/05/2026 10:00:33</t>
  </si>
  <si>
    <t>26/05/2026 12:59:18</t>
  </si>
  <si>
    <t>THT21035A7E041Z</t>
  </si>
  <si>
    <t>p***1002</t>
  </si>
  <si>
    <t>น***** ป******* อ********</t>
  </si>
  <si>
    <t>(+66)084*****16</t>
  </si>
  <si>
    <t>แกลง</t>
  </si>
  <si>
    <t>*******************************</t>
  </si>
  <si>
    <t>1197633540547708629</t>
  </si>
  <si>
    <t>584203876613195457</t>
  </si>
  <si>
    <t>26/05/2026 09:06:55</t>
  </si>
  <si>
    <t>27/05/2026 14:48:16</t>
  </si>
  <si>
    <t>26/05/2026 09:10:35</t>
  </si>
  <si>
    <t>THT02045A7HJX6Z</t>
  </si>
  <si>
    <t>d***dzsgqu25</t>
  </si>
  <si>
    <t>(+66)092*****27</t>
  </si>
  <si>
    <t>1197627052291032769</t>
  </si>
  <si>
    <t>584201902251017341</t>
  </si>
  <si>
    <t>199</t>
  </si>
  <si>
    <t>26/05/2026 05:39:13</t>
  </si>
  <si>
    <t>26/05/2026 05:39:29</t>
  </si>
  <si>
    <t>26/05/2026 05:40:28</t>
  </si>
  <si>
    <t>26/05/2026 13:02:48</t>
  </si>
  <si>
    <t>27/05/2026 11:36:39</t>
  </si>
  <si>
    <t>THT02015A70A86Z</t>
  </si>
  <si>
    <t>o***.boonchuay</t>
  </si>
  <si>
    <t>O*** B********</t>
  </si>
  <si>
    <t>(+66)910****03</t>
  </si>
  <si>
    <t>*********************************************************************************************</t>
  </si>
  <si>
    <t>1197607189938406525</t>
  </si>
  <si>
    <t>584201767164937424</t>
  </si>
  <si>
    <t>59.75</t>
  </si>
  <si>
    <t>179.25</t>
  </si>
  <si>
    <t>34</t>
  </si>
  <si>
    <t>54</t>
  </si>
  <si>
    <t>213.25</t>
  </si>
  <si>
    <t>26/05/2026 05:18:31</t>
  </si>
  <si>
    <t>29/05/2026 18:55:22</t>
  </si>
  <si>
    <t>26/05/2026 05:20:34</t>
  </si>
  <si>
    <t>26/05/2026 13:02:51</t>
  </si>
  <si>
    <t>THT73025A706Q8Z</t>
  </si>
  <si>
    <t>u***5815154904076</t>
  </si>
  <si>
    <t>ส****</t>
  </si>
  <si>
    <t>(+66)089*****22</t>
  </si>
  <si>
    <t>กันตัง</t>
  </si>
  <si>
    <t>1197606595279422672</t>
  </si>
  <si>
    <t>584201709739410640</t>
  </si>
  <si>
    <t>253</t>
  </si>
  <si>
    <t>26/05/2026 05:09:50</t>
  </si>
  <si>
    <t>29/05/2026 18:55:28</t>
  </si>
  <si>
    <t>26/05/2026 05:10:25</t>
  </si>
  <si>
    <t>26/05/2026 13:02:56</t>
  </si>
  <si>
    <t>THT73025A702C0Z</t>
  </si>
  <si>
    <t>1197606161774970064</t>
  </si>
  <si>
    <t>584201701948622399</t>
  </si>
  <si>
    <t>27</t>
  </si>
  <si>
    <t>26/05/2026 05:01:50</t>
  </si>
  <si>
    <t>27/05/2026 12:55:13</t>
  </si>
  <si>
    <t>26/05/2026 05:05:31</t>
  </si>
  <si>
    <t>26/05/2026 13:02:54</t>
  </si>
  <si>
    <t>THT21055A70354Z</t>
  </si>
  <si>
    <t>s***1211</t>
  </si>
  <si>
    <t>น******* ส**********</t>
  </si>
  <si>
    <t>(+66)063*****32</t>
  </si>
  <si>
    <t>บ้านค่าย</t>
  </si>
  <si>
    <t>1197605894787335743</t>
  </si>
  <si>
    <t>584201408233964594</t>
  </si>
  <si>
    <t>14.88</t>
  </si>
  <si>
    <t>224.12</t>
  </si>
  <si>
    <t>262.12</t>
  </si>
  <si>
    <t>26/05/2026 03:50:43</t>
  </si>
  <si>
    <t>26/05/2026 03:50:46</t>
  </si>
  <si>
    <t>26/05/2026 03:55:26</t>
  </si>
  <si>
    <t>26/05/2026 13:02:59</t>
  </si>
  <si>
    <t>29/05/2026 19:08:14</t>
  </si>
  <si>
    <t>THT45115A6RNP9Z</t>
  </si>
  <si>
    <t>p***tharin_1411</t>
  </si>
  <si>
    <t>เ******* โ*****</t>
  </si>
  <si>
    <t>(+66)652****06</t>
  </si>
  <si>
    <t>นครพนม</t>
  </si>
  <si>
    <t>นาทม</t>
  </si>
  <si>
    <t>TikTok Shop Balance + TrueMoney</t>
  </si>
  <si>
    <t>1197603941445043250</t>
  </si>
  <si>
    <t>584201208110352146</t>
  </si>
  <si>
    <t>26/05/2026 02:49:55</t>
  </si>
  <si>
    <t>28/05/2026 13:58:07</t>
  </si>
  <si>
    <t>26/05/2026 02:55:28</t>
  </si>
  <si>
    <t>26/05/2026 12:56:59</t>
  </si>
  <si>
    <t>THT31015A6ZFW6Z</t>
  </si>
  <si>
    <t>b***08909</t>
  </si>
  <si>
    <t>l***</t>
  </si>
  <si>
    <t>(+66)825****88</t>
  </si>
  <si>
    <t>อุบลราชธานี</t>
  </si>
  <si>
    <t>เมืองอุบลราชธานี</t>
  </si>
  <si>
    <t>1197602570784900882</t>
  </si>
  <si>
    <t>584200385087506340</t>
  </si>
  <si>
    <t>26/05/2026 00:05:54</t>
  </si>
  <si>
    <t>28/05/2026 14:33:53</t>
  </si>
  <si>
    <t>26/05/2026 00:10:29</t>
  </si>
  <si>
    <t>26/05/2026 13:02:46</t>
  </si>
  <si>
    <t>THT51015A6MPC1Z</t>
  </si>
  <si>
    <t>w***animal2559</t>
  </si>
  <si>
    <t>ท******* ว***********</t>
  </si>
  <si>
    <t>(+66)819****81</t>
  </si>
  <si>
    <t>เมืองแพร่</t>
  </si>
  <si>
    <t>1197597528641275812</t>
  </si>
  <si>
    <t>584199237241898048</t>
  </si>
  <si>
    <t>9</t>
  </si>
  <si>
    <t>77</t>
  </si>
  <si>
    <t>68</t>
  </si>
  <si>
    <t>114</t>
  </si>
  <si>
    <t>25/05/2026 22:22:01</t>
  </si>
  <si>
    <t>28/05/2026 18:04:50</t>
  </si>
  <si>
    <t>25/05/2026 22:25:29</t>
  </si>
  <si>
    <t>26/05/2026 12:58:43</t>
  </si>
  <si>
    <t>THT65085A6H2Z9Z</t>
  </si>
  <si>
    <t>1***tee7</t>
  </si>
  <si>
    <t>ค******</t>
  </si>
  <si>
    <t>(+66)087*****65</t>
  </si>
  <si>
    <t>เหนือคลอง</t>
  </si>
  <si>
    <t>1197591294517281856</t>
  </si>
  <si>
    <t>584198995121047474</t>
  </si>
  <si>
    <t>25/05/2026 22:02:50</t>
  </si>
  <si>
    <t>27/05/2026 13:12:13</t>
  </si>
  <si>
    <t>25/05/2026 22:05:29</t>
  </si>
  <si>
    <t>26/05/2026 13:02:43</t>
  </si>
  <si>
    <t>THT23015A6R044Z</t>
  </si>
  <si>
    <t>a***mamudtanee</t>
  </si>
  <si>
    <t>อ****  ม******</t>
  </si>
  <si>
    <t>(+66)081*****88</t>
  </si>
  <si>
    <t>ตราด</t>
  </si>
  <si>
    <t>เมืองตราด</t>
  </si>
  <si>
    <t>1197589838584448946</t>
  </si>
  <si>
    <t>584197027733472785</t>
  </si>
  <si>
    <t>50</t>
  </si>
  <si>
    <t>25/05/2026 20:06:04</t>
  </si>
  <si>
    <t>25/05/2026 20:09:21</t>
  </si>
  <si>
    <t>付款方式不可用</t>
  </si>
  <si>
    <t>584195388742206947</t>
  </si>
  <si>
    <t>25/05/2026 18:20:52</t>
  </si>
  <si>
    <t>28/05/2026 17:19:24</t>
  </si>
  <si>
    <t>25/05/2026 18:25:24</t>
  </si>
  <si>
    <t>26/05/2026 13:02:44</t>
  </si>
  <si>
    <t>THT63045A6FQT6Z</t>
  </si>
  <si>
    <t>u***87615954846325</t>
  </si>
  <si>
    <t>น******** บ*****</t>
  </si>
  <si>
    <t>(+66)098*****16</t>
  </si>
  <si>
    <t>เพชรบูรณ์</t>
  </si>
  <si>
    <t>หล่มเก่า</t>
  </si>
  <si>
    <t>1197570184574305763</t>
  </si>
  <si>
    <t>584194813977134634</t>
  </si>
  <si>
    <t>25/05/2026 17:58:16</t>
  </si>
  <si>
    <t>25/05/2026 18:05:27</t>
  </si>
  <si>
    <t>26/05/2026 12:58:42</t>
  </si>
  <si>
    <t>28/05/2026 12:10:05</t>
  </si>
  <si>
    <t>THT01095A6F5F2Z</t>
  </si>
  <si>
    <t>m***am891</t>
  </si>
  <si>
    <t>ม******</t>
  </si>
  <si>
    <t>(+66)628****96</t>
  </si>
  <si>
    <t>ดุสิต</t>
  </si>
  <si>
    <t>1197568386176419370</t>
  </si>
  <si>
    <t>584194647731504607</t>
  </si>
  <si>
    <t>25/05/2026 17:58:14</t>
  </si>
  <si>
    <t>25/05/2026 17:58:13</t>
  </si>
  <si>
    <t>25/05/2026 18:00:19</t>
  </si>
  <si>
    <t>26/05/2026 13:01:57</t>
  </si>
  <si>
    <t>27/05/2026 10:24:22</t>
  </si>
  <si>
    <t>THT01185A6EWF8Z</t>
  </si>
  <si>
    <t>j***pwn</t>
  </si>
  <si>
    <t>(+66)816****91</t>
  </si>
  <si>
    <t>Bang Khen</t>
  </si>
  <si>
    <t>1197567575631234527</t>
  </si>
  <si>
    <t>584194601774843267</t>
  </si>
  <si>
    <t>25/05/2026 17:38:14</t>
  </si>
  <si>
    <t>25/05/2026 17:40:28</t>
  </si>
  <si>
    <t>26/05/2026 13:02:04</t>
  </si>
  <si>
    <t>27/05/2026 13:10:35</t>
  </si>
  <si>
    <t>THT25025A6EEC0Z</t>
  </si>
  <si>
    <t>n***.22y</t>
  </si>
  <si>
    <t>ท******</t>
  </si>
  <si>
    <t>(+66)910****88</t>
  </si>
  <si>
    <t>ปราจีนบุรี</t>
  </si>
  <si>
    <t>กบินทร์บุรี</t>
  </si>
  <si>
    <t>1197566105266455939</t>
  </si>
  <si>
    <t>584194601677063599</t>
  </si>
  <si>
    <t>25/05/2026 17:35:14</t>
  </si>
  <si>
    <t>26/05/2026 12:56:53</t>
  </si>
  <si>
    <t>27/05/2026 14:32:31</t>
  </si>
  <si>
    <t>THT14075A6EM30Z</t>
  </si>
  <si>
    <t>u***o.me_style</t>
  </si>
  <si>
    <t>ม*******</t>
  </si>
  <si>
    <t>(+66)807****64</t>
  </si>
  <si>
    <t>สุพรรณบุรี</t>
  </si>
  <si>
    <t>สองพี่น้อง</t>
  </si>
  <si>
    <t>1197565383893288367</t>
  </si>
  <si>
    <t>584194300441036691</t>
  </si>
  <si>
    <t>25/05/2026 16:59:40</t>
  </si>
  <si>
    <t>27/05/2026 15:18:04</t>
  </si>
  <si>
    <t>25/05/2026 17:00:20</t>
  </si>
  <si>
    <t>26/05/2026 13:01:52</t>
  </si>
  <si>
    <t>THT20075A65ZQ1Z</t>
  </si>
  <si>
    <t>u***6522211486430</t>
  </si>
  <si>
    <t>น** น******* โ********</t>
  </si>
  <si>
    <t>(+66)092*****54</t>
  </si>
  <si>
    <t>1197561720521262995</t>
  </si>
  <si>
    <t>584193981233071868</t>
  </si>
  <si>
    <t>25/05/2026 16:39:24</t>
  </si>
  <si>
    <t>25/05/2026 16:40:21</t>
  </si>
  <si>
    <t>26/05/2026 13:01:32</t>
  </si>
  <si>
    <t>27/05/2026 11:00:37</t>
  </si>
  <si>
    <t>THT04075A657S1Z</t>
  </si>
  <si>
    <t>k***nzendsv</t>
  </si>
  <si>
    <t>บ************</t>
  </si>
  <si>
    <t>(+66)095*****65</t>
  </si>
  <si>
    <t>สามโคก</t>
  </si>
  <si>
    <t>********************************************************</t>
  </si>
  <si>
    <t>1197559097153718012</t>
  </si>
  <si>
    <t>584194034807047368</t>
  </si>
  <si>
    <t>25/05/2026 16:36:38</t>
  </si>
  <si>
    <t>25/05/2026 16:45:49</t>
  </si>
  <si>
    <t>THT14095A65725Z</t>
  </si>
  <si>
    <t>t***aneekumpannar</t>
  </si>
  <si>
    <t>ว**</t>
  </si>
  <si>
    <t>(+66)812****74</t>
  </si>
  <si>
    <t>อู่ทอง</t>
  </si>
  <si>
    <t>1197559387226866888</t>
  </si>
  <si>
    <t>584194075149370568</t>
  </si>
  <si>
    <t>25/05/2026 16:36:14</t>
  </si>
  <si>
    <t>25/05/2026 22:35:56</t>
  </si>
  <si>
    <t>THT14095A6CD98Z</t>
  </si>
  <si>
    <t>1197560130303198408</t>
  </si>
  <si>
    <t>584194022913836232</t>
  </si>
  <si>
    <t>25/05/2026 16:35:54</t>
  </si>
  <si>
    <t>27/05/2026 18:22:19</t>
  </si>
  <si>
    <t>25/05/2026 16:41:38</t>
  </si>
  <si>
    <t>26/05/2026 13:01:34</t>
  </si>
  <si>
    <t>THT14095A657B1Z</t>
  </si>
  <si>
    <t>1197559737754354888</t>
  </si>
  <si>
    <t>584194075777139912</t>
  </si>
  <si>
    <t>25/05/2026 16:35:43</t>
  </si>
  <si>
    <t>25/05/2026 16:46:06</t>
  </si>
  <si>
    <t>THT14095A6CG04Z</t>
  </si>
  <si>
    <t>1197559208773453000</t>
  </si>
  <si>
    <t>584193792853116030</t>
  </si>
  <si>
    <t>25/05/2026 16:23:21</t>
  </si>
  <si>
    <t>25/05/2026 16:25:26</t>
  </si>
  <si>
    <t>26/05/2026 12:58:40</t>
  </si>
  <si>
    <t>27/05/2026 20:09:31</t>
  </si>
  <si>
    <t>THT01165A6BUD6Z</t>
  </si>
  <si>
    <t>o***.shop</t>
  </si>
  <si>
    <t>เ******* เ*********</t>
  </si>
  <si>
    <t>(+66)859****94</t>
  </si>
  <si>
    <t>กรุงเทพมหานคร</t>
  </si>
  <si>
    <t>***************************************************************************************************</t>
  </si>
  <si>
    <t>1197558076233909374</t>
  </si>
  <si>
    <t>584193568540231419</t>
  </si>
  <si>
    <t>25/05/2026 16:20:13</t>
  </si>
  <si>
    <t>25/05/2026 16:20:20</t>
  </si>
  <si>
    <t>26/05/2026 12:56:49</t>
  </si>
  <si>
    <t>27/05/2026 13:02:20</t>
  </si>
  <si>
    <t>THT58015A6C9K0Z</t>
  </si>
  <si>
    <t>m***aass</t>
  </si>
  <si>
    <t>แ*** ม******** ม**</t>
  </si>
  <si>
    <t>(+66)096*****07</t>
  </si>
  <si>
    <t>กำแพงเพชร</t>
  </si>
  <si>
    <t>เมืองกำแพงเพชร</t>
  </si>
  <si>
    <t>1197557445437130491</t>
  </si>
  <si>
    <t>584193649869292561</t>
  </si>
  <si>
    <t>25/05/2026 16:09:15</t>
  </si>
  <si>
    <t>25/05/2026 16:10:30</t>
  </si>
  <si>
    <t>25/05/2026 18:17:12</t>
  </si>
  <si>
    <t>27/05/2026 18:17:23</t>
  </si>
  <si>
    <t>THT43015A6BKR6Z</t>
  </si>
  <si>
    <t>f***oii123</t>
  </si>
  <si>
    <t>ฟ** ฐ*****</t>
  </si>
  <si>
    <t>(+66)986****36</t>
  </si>
  <si>
    <t>กาฬสินธุ์</t>
  </si>
  <si>
    <t>เมืองกาฬสินธุ์</t>
  </si>
  <si>
    <t>**************************************************************************</t>
  </si>
  <si>
    <t>1197556305712022545</t>
  </si>
  <si>
    <t>584193362262262908</t>
  </si>
  <si>
    <t>25/05/2026 15:50:20</t>
  </si>
  <si>
    <t>25/05/2026 16:00:20</t>
  </si>
  <si>
    <t>25/05/2026 18:17:48</t>
  </si>
  <si>
    <t>26/05/2026 15:35:23</t>
  </si>
  <si>
    <t>THT01435A642N5Z</t>
  </si>
  <si>
    <t>k***ad1</t>
  </si>
  <si>
    <t>P*******</t>
  </si>
  <si>
    <t>(+66)644****34</t>
  </si>
  <si>
    <t>สวนหลวง</t>
  </si>
  <si>
    <t>***************************************************************************</t>
  </si>
  <si>
    <t>1197553620439041148</t>
  </si>
  <si>
    <t>584193362111137398</t>
  </si>
  <si>
    <t>25/05/2026 15:46:19</t>
  </si>
  <si>
    <t>25/05/2026 15:52:29</t>
  </si>
  <si>
    <t>25/05/2026 18:18:28</t>
  </si>
  <si>
    <t>26/05/2026 12:01:43</t>
  </si>
  <si>
    <t>THT27015A63X75Z</t>
  </si>
  <si>
    <t>m***_panthita</t>
  </si>
  <si>
    <t>ป********</t>
  </si>
  <si>
    <t>(+66)091*****84</t>
  </si>
  <si>
    <t>เมืองนครราชสีมา</t>
  </si>
  <si>
    <t>**********************************************************************</t>
  </si>
  <si>
    <t>1197553743280572022</t>
  </si>
  <si>
    <t>584193360828204068</t>
  </si>
  <si>
    <t>25/05/2026 15:43:20</t>
  </si>
  <si>
    <t>25/05/2026 15:46:04</t>
  </si>
  <si>
    <t>25/05/2026 18:18:30</t>
  </si>
  <si>
    <t>27/05/2026 14:06:39</t>
  </si>
  <si>
    <t>THT52075A63UY5Z</t>
  </si>
  <si>
    <t>t***baepboy</t>
  </si>
  <si>
    <t>ธ***** ส*****</t>
  </si>
  <si>
    <t>(+66)093*****88</t>
  </si>
  <si>
    <t>น่าน</t>
  </si>
  <si>
    <t>เวียงสา</t>
  </si>
  <si>
    <t>1197553497795167268</t>
  </si>
  <si>
    <t>584193360809854225</t>
  </si>
  <si>
    <t>25/05/2026 15:43:17</t>
  </si>
  <si>
    <t>25/05/2026 15:45:23</t>
  </si>
  <si>
    <t>26/05/2026 15:31:38</t>
  </si>
  <si>
    <t>THT03045A63UE5Z</t>
  </si>
  <si>
    <t>p***55555555</t>
  </si>
  <si>
    <t>ณ**** ร********</t>
  </si>
  <si>
    <t>(+66)083*****57</t>
  </si>
  <si>
    <t>บางบัวทอง</t>
  </si>
  <si>
    <t>1197552578419393809</t>
  </si>
  <si>
    <t>584193123393177070</t>
  </si>
  <si>
    <t>25/05/2026 15:42:17</t>
  </si>
  <si>
    <t>25/05/2026 18:18:17</t>
  </si>
  <si>
    <t>26/05/2026 15:20:09</t>
  </si>
  <si>
    <t>THT01395A63XZ1Z</t>
  </si>
  <si>
    <t>p***nc</t>
  </si>
  <si>
    <t>ช*****</t>
  </si>
  <si>
    <t>(+66)081*****51</t>
  </si>
  <si>
    <t>เขตลาดกระบัง</t>
  </si>
  <si>
    <t>1197553479147226606</t>
  </si>
  <si>
    <t>584193123346842634</t>
  </si>
  <si>
    <t>25/05/2026 15:41:17</t>
  </si>
  <si>
    <t>25/05/2026 18:18:02</t>
  </si>
  <si>
    <t>27/05/2026 19:04:10</t>
  </si>
  <si>
    <t>THT46015A6ASH0Z</t>
  </si>
  <si>
    <t>s***e_hengg</t>
  </si>
  <si>
    <t>เ**</t>
  </si>
  <si>
    <t>(+66)831****91</t>
  </si>
  <si>
    <t>มุกดาหาร</t>
  </si>
  <si>
    <t>เมืองมุกดาหาร</t>
  </si>
  <si>
    <t>***********</t>
  </si>
  <si>
    <t>1197553125619893258</t>
  </si>
  <si>
    <t>584193286483707562</t>
  </si>
  <si>
    <t>25/05/2026 15:37:01</t>
  </si>
  <si>
    <t>25/05/2026 15:37:16</t>
  </si>
  <si>
    <t>25/05/2026 15:40:41</t>
  </si>
  <si>
    <t>25/05/2026 18:18:27</t>
  </si>
  <si>
    <t>27/05/2026 15:47:12</t>
  </si>
  <si>
    <t>THT47065A63MV1Z</t>
  </si>
  <si>
    <t>o***ay_ned</t>
  </si>
  <si>
    <t>(+66)931****96</t>
  </si>
  <si>
    <t>แม่แตง</t>
  </si>
  <si>
    <t>1197552841028306602</t>
  </si>
  <si>
    <t>584192367615706796</t>
  </si>
  <si>
    <t>2</t>
  </si>
  <si>
    <t>918</t>
  </si>
  <si>
    <t>440</t>
  </si>
  <si>
    <t>458</t>
  </si>
  <si>
    <t>25/05/2026 14:30:04</t>
  </si>
  <si>
    <t>26/05/2026 13:40:06</t>
  </si>
  <si>
    <t>25/05/2026 14:35:31</t>
  </si>
  <si>
    <t>25/05/2026 18:15:49</t>
  </si>
  <si>
    <t>THT57015A616N3Z</t>
  </si>
  <si>
    <t>a***.wongsrisoont</t>
  </si>
  <si>
    <t>A*** W**************</t>
  </si>
  <si>
    <t>(+66)867****90</t>
  </si>
  <si>
    <t>อุทัยธานี</t>
  </si>
  <si>
    <t>เมืองอุทัยธานี</t>
  </si>
  <si>
    <t>0.02</t>
  </si>
  <si>
    <t>1197544020711868076</t>
  </si>
  <si>
    <t>584192303977367413</t>
  </si>
  <si>
    <t>25/05/2026 14:22:58</t>
  </si>
  <si>
    <t>27/05/2026 17:41:36</t>
  </si>
  <si>
    <t>25/05/2026 14:27:01</t>
  </si>
  <si>
    <t>25/05/2026 18:15:48</t>
  </si>
  <si>
    <t>THT59065A67GU8Z</t>
  </si>
  <si>
    <t>g***unez</t>
  </si>
  <si>
    <t>น******* ส*****</t>
  </si>
  <si>
    <t>(+66)095*****74</t>
  </si>
  <si>
    <t>1197542897808672629</t>
  </si>
  <si>
    <t>584190409672197478</t>
  </si>
  <si>
    <t>167.3</t>
  </si>
  <si>
    <t>25/05/2026 12:11:38</t>
  </si>
  <si>
    <t>26/05/2026 15:25:18</t>
  </si>
  <si>
    <t>25/05/2026 12:16:49</t>
  </si>
  <si>
    <t>25/05/2026 18:15:18</t>
  </si>
  <si>
    <t>THT01065A5ZF30Z</t>
  </si>
  <si>
    <t>w***ndeeyae</t>
  </si>
  <si>
    <t>W**** n*****</t>
  </si>
  <si>
    <t>(+66)614****83</t>
  </si>
  <si>
    <t>จอมทอง</t>
  </si>
  <si>
    <t>1197525699691119974</t>
  </si>
  <si>
    <t>584189084123301531</t>
  </si>
  <si>
    <t>25/05/2026 10:42:20</t>
  </si>
  <si>
    <t>26/05/2026 10:57:07</t>
  </si>
  <si>
    <t>25/05/2026 10:47:35</t>
  </si>
  <si>
    <t>25/05/2026 18:17:44</t>
  </si>
  <si>
    <t>THT16025A5S5N2Z</t>
  </si>
  <si>
    <t>s***erat.chaijoho</t>
  </si>
  <si>
    <t>ส******** ช******</t>
  </si>
  <si>
    <t>(+66)093*****51</t>
  </si>
  <si>
    <t>1197514366384375451</t>
  </si>
  <si>
    <t>584187518408557981</t>
  </si>
  <si>
    <t>25/05/2026 08:40:09</t>
  </si>
  <si>
    <t>26/05/2026 13:54:37</t>
  </si>
  <si>
    <t>25/05/2026 08:43:04</t>
  </si>
  <si>
    <t>25/05/2026 12:50:41</t>
  </si>
  <si>
    <t>THT17015A517H1Z</t>
  </si>
  <si>
    <t>u***37665071576952</t>
  </si>
  <si>
    <t>ส****** น*******</t>
  </si>
  <si>
    <t>(+66)083*****19</t>
  </si>
  <si>
    <t>สมุทรสงคราม</t>
  </si>
  <si>
    <t>เมืองสมุทรสงคราม</t>
  </si>
  <si>
    <t>*********************************************************************************</t>
  </si>
  <si>
    <t>1197497540858971549</t>
  </si>
  <si>
    <t>584187085310755972</t>
  </si>
  <si>
    <t>25/05/2026 07:55:21</t>
  </si>
  <si>
    <t>27/05/2026 20:40:16</t>
  </si>
  <si>
    <t>25/05/2026 07:57:02</t>
  </si>
  <si>
    <t>25/05/2026 12:50:39</t>
  </si>
  <si>
    <t>THT22025A4QWY9Z</t>
  </si>
  <si>
    <t>u***7797128792077</t>
  </si>
  <si>
    <t>u****************</t>
  </si>
  <si>
    <t>(+66)089*****81</t>
  </si>
  <si>
    <t>1197487455799772292</t>
  </si>
  <si>
    <t>584186535362135140</t>
  </si>
  <si>
    <t>227</t>
  </si>
  <si>
    <t>25/05/2026 07:03:40</t>
  </si>
  <si>
    <t>25/05/2026 07:06:33</t>
  </si>
  <si>
    <t>25/05/2026 12:50:43</t>
  </si>
  <si>
    <t>01/06/2026 16:22:20</t>
  </si>
  <si>
    <t>THT67015A4UMN6Z</t>
  </si>
  <si>
    <t>l***u101</t>
  </si>
  <si>
    <t>เ***  เ********</t>
  </si>
  <si>
    <t>(+66)943****04</t>
  </si>
  <si>
    <t>1197481207292200036</t>
  </si>
  <si>
    <t>584185758148888182</t>
  </si>
  <si>
    <t>25/05/2026 05:21:29</t>
  </si>
  <si>
    <t>25/05/2026 05:21:33</t>
  </si>
  <si>
    <t>25/05/2026 05:36:46</t>
  </si>
  <si>
    <t>25/05/2026 12:50:09</t>
  </si>
  <si>
    <t>27/05/2026 14:16:34</t>
  </si>
  <si>
    <t>THT44175A4F9T3Z</t>
  </si>
  <si>
    <t>b***siri8199</t>
  </si>
  <si>
    <t>บ****** จ*****</t>
  </si>
  <si>
    <t>(+66)093*****99</t>
  </si>
  <si>
    <t>สกลนคร</t>
  </si>
  <si>
    <t>โพนนาแก้ว</t>
  </si>
  <si>
    <t>1197475332427974262</t>
  </si>
  <si>
    <t>584185721102501367</t>
  </si>
  <si>
    <t>28</t>
  </si>
  <si>
    <t>279</t>
  </si>
  <si>
    <t>25/05/2026 05:12:44</t>
  </si>
  <si>
    <t>27/05/2026 12:51:50</t>
  </si>
  <si>
    <t>25/05/2026 05:16:46</t>
  </si>
  <si>
    <t>25/05/2026 12:50:37</t>
  </si>
  <si>
    <t>THT67015A4F9G7Z</t>
  </si>
  <si>
    <t>m***ey.aq59</t>
  </si>
  <si>
    <t>ศ***** เ******</t>
  </si>
  <si>
    <t>(+66)080*****96</t>
  </si>
  <si>
    <t>1197475155857868279</t>
  </si>
  <si>
    <t>584185452732253463</t>
  </si>
  <si>
    <t>25/05/2026 04:10:15</t>
  </si>
  <si>
    <t>26/05/2026 13:20:24</t>
  </si>
  <si>
    <t>25/05/2026 04:16:19</t>
  </si>
  <si>
    <t>25/05/2026 12:50:03</t>
  </si>
  <si>
    <t>THT04025A4QUB0Z</t>
  </si>
  <si>
    <t>u***6849819819355</t>
  </si>
  <si>
    <t>ภ**</t>
  </si>
  <si>
    <t>(+66)080*****69</t>
  </si>
  <si>
    <t>คลองหลวง</t>
  </si>
  <si>
    <t>********</t>
  </si>
  <si>
    <t>1197473287465436439</t>
  </si>
  <si>
    <t>584181729112261639</t>
  </si>
  <si>
    <t>24/05/2026 20:50:16</t>
  </si>
  <si>
    <t>24/05/2026 20:50:30</t>
  </si>
  <si>
    <t>24/05/2026 20:51:32</t>
  </si>
  <si>
    <t>25/05/2026 12:50:47</t>
  </si>
  <si>
    <t>27/05/2026 13:01:12</t>
  </si>
  <si>
    <t>THT51075A432U1Z</t>
  </si>
  <si>
    <t>j***68</t>
  </si>
  <si>
    <t>จ****** ต*****</t>
  </si>
  <si>
    <t>(+66)089*****55</t>
  </si>
  <si>
    <t>1197455077151179783</t>
  </si>
  <si>
    <t>584177514960619327</t>
  </si>
  <si>
    <t>83.65</t>
  </si>
  <si>
    <t>155.35</t>
  </si>
  <si>
    <t>24/05/2026 15:51:33</t>
  </si>
  <si>
    <t>24/05/2026 15:52:19</t>
  </si>
  <si>
    <t>24/05/2026 16:01:34</t>
  </si>
  <si>
    <t>25/05/2026 12:50:46</t>
  </si>
  <si>
    <t>26/05/2026 13:56:14</t>
  </si>
  <si>
    <t>THT27145A41WB4Z</t>
  </si>
  <si>
    <t>a***76513</t>
  </si>
  <si>
    <t>อ*****  ท********</t>
  </si>
  <si>
    <t>(+66)826****73</t>
  </si>
  <si>
    <t>ปักธงชัย</t>
  </si>
  <si>
    <t>1197431737411209023</t>
  </si>
  <si>
    <t>584175448280303363</t>
  </si>
  <si>
    <t>24/05/2026 13:31:46</t>
  </si>
  <si>
    <t>24/05/2026 13:31:47</t>
  </si>
  <si>
    <t>24/05/2026 13:36:55</t>
  </si>
  <si>
    <t>24/05/2026 16:03:30</t>
  </si>
  <si>
    <t>25/05/2026 12:11:24</t>
  </si>
  <si>
    <t>THT01415A3VYX6Z</t>
  </si>
  <si>
    <t>n***_oat</t>
  </si>
  <si>
    <t>เ****** แ******</t>
  </si>
  <si>
    <t>(+66)859****66</t>
  </si>
  <si>
    <t>วังทองหลาง</t>
  </si>
  <si>
    <t>*************************************************</t>
  </si>
  <si>
    <t>1197417638922848003</t>
  </si>
  <si>
    <t>584175439395522307</t>
  </si>
  <si>
    <t>24/05/2026 13:26:58</t>
  </si>
  <si>
    <t>24/05/2026 13:26:59</t>
  </si>
  <si>
    <t>24/05/2026 13:28:21</t>
  </si>
  <si>
    <t>1197416933687396099</t>
  </si>
  <si>
    <t>584172587344365345</t>
  </si>
  <si>
    <t>24/05/2026 10:15:56</t>
  </si>
  <si>
    <t>26/05/2026 15:44:10</t>
  </si>
  <si>
    <t>24/05/2026 10:16:48</t>
  </si>
  <si>
    <t>24/05/2026 12:48:40</t>
  </si>
  <si>
    <t>THT65065A3AY29Z</t>
  </si>
  <si>
    <t>s***a8357</t>
  </si>
  <si>
    <t>โ***  ท****</t>
  </si>
  <si>
    <t>(+66)098*****60</t>
  </si>
  <si>
    <t>ปลายพระยา</t>
  </si>
  <si>
    <t>1197398652986689313</t>
  </si>
  <si>
    <t>584172536357488405</t>
  </si>
  <si>
    <t>24/05/2026 10:14:00</t>
  </si>
  <si>
    <t>25/05/2026 17:57:48</t>
  </si>
  <si>
    <t>24/05/2026 10:21:39</t>
  </si>
  <si>
    <t>24/05/2026 12:46:03</t>
  </si>
  <si>
    <t>THT01375A3JF06Z</t>
  </si>
  <si>
    <t>d***j1u98dhz</t>
  </si>
  <si>
    <t>ส******* ก*******</t>
  </si>
  <si>
    <t>(+66)083*****07</t>
  </si>
  <si>
    <t>ราชเทวี</t>
  </si>
  <si>
    <t>1197398758897518357</t>
  </si>
  <si>
    <t>584172407845390327</t>
  </si>
  <si>
    <t>24/05/2026 10:01:49</t>
  </si>
  <si>
    <t>24/05/2026 10:02:39</t>
  </si>
  <si>
    <t>24/05/2026 10:06:44</t>
  </si>
  <si>
    <t>24/05/2026 12:46:04</t>
  </si>
  <si>
    <t>25/05/2026 15:54:10</t>
  </si>
  <si>
    <t>THT03055A3HWJ0Z</t>
  </si>
  <si>
    <t>n***onfon559</t>
  </si>
  <si>
    <t>น**** ผ******</t>
  </si>
  <si>
    <t>(+66)649****11</t>
  </si>
  <si>
    <t>ไทรน้อย</t>
  </si>
  <si>
    <t>1197396877501499383</t>
  </si>
  <si>
    <t>584171602372822293</t>
  </si>
  <si>
    <t>24/05/2026 09:00:23</t>
  </si>
  <si>
    <t>24/05/2026 09:01:10</t>
  </si>
  <si>
    <t>24/05/2026 09:11:38</t>
  </si>
  <si>
    <t>24/05/2026 12:46:05</t>
  </si>
  <si>
    <t>26/05/2026 12:20:23</t>
  </si>
  <si>
    <t>THT19015A37DX5Z</t>
  </si>
  <si>
    <t>j***jeab790</t>
  </si>
  <si>
    <t>ส***** อ***********</t>
  </si>
  <si>
    <t>(+66)098*****50</t>
  </si>
  <si>
    <t>ประจวบคีรีขันธ์</t>
  </si>
  <si>
    <t>เมืองประจวบคีรีขันธ์</t>
  </si>
  <si>
    <t>1197391553959527701</t>
  </si>
  <si>
    <t>584170965852324898</t>
  </si>
  <si>
    <t>24/05/2026 08:06:15</t>
  </si>
  <si>
    <t>25/05/2026 12:01:40</t>
  </si>
  <si>
    <t>24/05/2026 08:11:27</t>
  </si>
  <si>
    <t>24/05/2026 12:48:43</t>
  </si>
  <si>
    <t>THT20015A331F9Z</t>
  </si>
  <si>
    <t>u***15888621700011</t>
  </si>
  <si>
    <t>u*****************</t>
  </si>
  <si>
    <t>(+66)849****44</t>
  </si>
  <si>
    <t>***********************************************************</t>
  </si>
  <si>
    <t>1197386049640694818</t>
  </si>
  <si>
    <t>584164540913517570</t>
  </si>
  <si>
    <t>23/05/2026 19:20:08</t>
  </si>
  <si>
    <t>25/05/2026 15:33:09</t>
  </si>
  <si>
    <t>23/05/2026 19:21:32</t>
  </si>
  <si>
    <t>24/05/2026 12:44:50</t>
  </si>
  <si>
    <t>THT18075A2KRB7Z</t>
  </si>
  <si>
    <t>u***38380013878054</t>
  </si>
  <si>
    <t>ส*******</t>
  </si>
  <si>
    <t>(+66)654****11</t>
  </si>
  <si>
    <t>เพชรบุรี</t>
  </si>
  <si>
    <t>บ้านแหลม</t>
  </si>
  <si>
    <t>1197353703370490882</t>
  </si>
  <si>
    <t>584163509470069760</t>
  </si>
  <si>
    <t>23/05/2026 18:22:12</t>
  </si>
  <si>
    <t>23/05/2026 18:26:32</t>
  </si>
  <si>
    <t>24/05/2026 12:46:09</t>
  </si>
  <si>
    <t>25/05/2026 18:00:17</t>
  </si>
  <si>
    <t>THT15065A2SYM8Z</t>
  </si>
  <si>
    <t>l***lena_ne</t>
  </si>
  <si>
    <t>ป******* เ**********</t>
  </si>
  <si>
    <t>(+66)643****03</t>
  </si>
  <si>
    <t>เทศบาลนครนครปฐม</t>
  </si>
  <si>
    <t>1197349240908645376</t>
  </si>
  <si>
    <t>584158823046350703</t>
  </si>
  <si>
    <t>23/05/2026 12:14:37</t>
  </si>
  <si>
    <t>25/05/2026 13:40:08</t>
  </si>
  <si>
    <t>23/05/2026 12:16:38</t>
  </si>
  <si>
    <t>23/05/2026 17:42:56</t>
  </si>
  <si>
    <t>THT29075A221H9Z</t>
  </si>
  <si>
    <t>u***8370552617122</t>
  </si>
  <si>
    <t>(+66)898****01</t>
  </si>
  <si>
    <t>Surin</t>
  </si>
  <si>
    <t>Rattanaburi</t>
  </si>
  <si>
    <t>1197308257700054895</t>
  </si>
  <si>
    <t>584158507122394976</t>
  </si>
  <si>
    <t>23/05/2026 11:49:05</t>
  </si>
  <si>
    <t>26/05/2026 11:53:43</t>
  </si>
  <si>
    <t>23/05/2026 11:56:47</t>
  </si>
  <si>
    <t>23/05/2026 17:41:39</t>
  </si>
  <si>
    <t>THT22055A1ZV37Z</t>
  </si>
  <si>
    <t>u***1362927685900</t>
  </si>
  <si>
    <t>ไ***** ผ******</t>
  </si>
  <si>
    <t>(+66)817****19</t>
  </si>
  <si>
    <t>มะขาม</t>
  </si>
  <si>
    <t>1197305344490112864</t>
  </si>
  <si>
    <t>584154055903053471</t>
  </si>
  <si>
    <t>23/05/2026 05:00:05</t>
  </si>
  <si>
    <t>23/05/2026 05:00:40</t>
  </si>
  <si>
    <t>p***pannbourier</t>
  </si>
  <si>
    <t>พ***** โ*****</t>
  </si>
  <si>
    <t>(+66)094*****39</t>
  </si>
  <si>
    <t>เทศบาลนครพิษณุโลก</t>
  </si>
  <si>
    <t>วังทอง</t>
  </si>
  <si>
    <t>*****************************************************************</t>
  </si>
  <si>
    <t>1197266999746397855</t>
  </si>
  <si>
    <t>584150862108066997</t>
  </si>
  <si>
    <t>22/05/2026 21:29:13</t>
  </si>
  <si>
    <t>22/05/2026 21:31:42</t>
  </si>
  <si>
    <t>23/05/2026 13:10:08</t>
  </si>
  <si>
    <t>25/05/2026 11:46:27</t>
  </si>
  <si>
    <t>THT47015A0V001Z</t>
  </si>
  <si>
    <t>n***rocky</t>
  </si>
  <si>
    <t>ว******** ส******</t>
  </si>
  <si>
    <t>(+66)955****28</t>
  </si>
  <si>
    <t>เมืองเชียงใหม่</t>
  </si>
  <si>
    <t>1197251244036752565</t>
  </si>
  <si>
    <t>584150654559487172</t>
  </si>
  <si>
    <t>22/05/2026 21:03:31</t>
  </si>
  <si>
    <t>25/05/2026 16:47:07</t>
  </si>
  <si>
    <t>22/05/2026 21:06:27</t>
  </si>
  <si>
    <t>23/05/2026 13:12:00</t>
  </si>
  <si>
    <t>THT54095A134M8Z</t>
  </si>
  <si>
    <t>o***englar</t>
  </si>
  <si>
    <t>พ****  อ*</t>
  </si>
  <si>
    <t>(+66)942****10</t>
  </si>
  <si>
    <t>แม่สาย</t>
  </si>
  <si>
    <t>1197248938668557508</t>
  </si>
  <si>
    <t>584149032226489591</t>
  </si>
  <si>
    <t>22/05/2026 19:24:08</t>
  </si>
  <si>
    <t>22/05/2026 19:24:12</t>
  </si>
  <si>
    <t>22/05/2026 19:26:25</t>
  </si>
  <si>
    <t>23/05/2026 13:11:57</t>
  </si>
  <si>
    <t>24/05/2026 12:56:47</t>
  </si>
  <si>
    <t>THT01265A0R4W3Z</t>
  </si>
  <si>
    <t>1197241354367173879</t>
  </si>
  <si>
    <t>584147666295883037</t>
  </si>
  <si>
    <t>22/05/2026 17:57:13</t>
  </si>
  <si>
    <t>22/05/2026 18:01:26</t>
  </si>
  <si>
    <t>23/05/2026 13:08:58</t>
  </si>
  <si>
    <t>25/05/2026 16:01:47</t>
  </si>
  <si>
    <t>THT42165A0Y1P6Z</t>
  </si>
  <si>
    <t>t***mo.o00</t>
  </si>
  <si>
    <t>t*********</t>
  </si>
  <si>
    <t>(+66)832****52</t>
  </si>
  <si>
    <t>ร้อยเอ็ด</t>
  </si>
  <si>
    <t>ศรีสมเด็จ</t>
  </si>
  <si>
    <t>1197234685530703133</t>
  </si>
  <si>
    <t>584147741923771410</t>
  </si>
  <si>
    <t>22/05/2026 17:57:11</t>
  </si>
  <si>
    <t>23/05/2026 13:11:41</t>
  </si>
  <si>
    <t>25/05/2026 12:05:29</t>
  </si>
  <si>
    <t>THT42145A0XXN8Z</t>
  </si>
  <si>
    <t>p***yapat_307</t>
  </si>
  <si>
    <t>ป*********</t>
  </si>
  <si>
    <t>(+66)096*****75</t>
  </si>
  <si>
    <t>อาจสามารถ</t>
  </si>
  <si>
    <t>1197234111518049298</t>
  </si>
  <si>
    <t>584147354532414711</t>
  </si>
  <si>
    <t>143.4</t>
  </si>
  <si>
    <t>22/05/2026 17:17:37</t>
  </si>
  <si>
    <t>22/05/2026 17:17:40</t>
  </si>
  <si>
    <t>22/05/2026 17:21:59</t>
  </si>
  <si>
    <t>22/05/2026 19:24:37</t>
  </si>
  <si>
    <t>发现更优惠的价格</t>
  </si>
  <si>
    <t>THT01375A0MY05Z</t>
  </si>
  <si>
    <t>R*** R********</t>
  </si>
  <si>
    <t>Ratchathewi</t>
  </si>
  <si>
    <t>********************************************************************************************</t>
  </si>
  <si>
    <t>1197229794651112695</t>
  </si>
  <si>
    <t>584147034550994779</t>
  </si>
  <si>
    <t>22/05/2026 17:02:10</t>
  </si>
  <si>
    <t>22/05/2026 17:06:42</t>
  </si>
  <si>
    <t>23/05/2026 13:11:26</t>
  </si>
  <si>
    <t>24/05/2026 15:26:41</t>
  </si>
  <si>
    <t>THT02035A0WUK4Z</t>
  </si>
  <si>
    <t>k***gulisra</t>
  </si>
  <si>
    <t>ก***</t>
  </si>
  <si>
    <t>(+66)062*****89</t>
  </si>
  <si>
    <t>*****************************************************************************************************************************</t>
  </si>
  <si>
    <t>1197228215774447451</t>
  </si>
  <si>
    <t>584146748410922584</t>
  </si>
  <si>
    <t>22/05/2026 16:31:24</t>
  </si>
  <si>
    <t>22/05/2026 16:31:38</t>
  </si>
  <si>
    <t>23/05/2026 13:08:53</t>
  </si>
  <si>
    <t>25/05/2026 11:57:45</t>
  </si>
  <si>
    <t>THT47135A0VUE4Z</t>
  </si>
  <si>
    <t>n***oi5746</t>
  </si>
  <si>
    <t>(+66)928****99</t>
  </si>
  <si>
    <t>สันกำแพง</t>
  </si>
  <si>
    <t>1197225113339070040</t>
  </si>
  <si>
    <t>584146470768772562</t>
  </si>
  <si>
    <t>22/05/2026 16:13:13</t>
  </si>
  <si>
    <t>22/05/2026 16:16:48</t>
  </si>
  <si>
    <t>23/05/2026 13:09:08</t>
  </si>
  <si>
    <t>24/05/2026 12:30:32</t>
  </si>
  <si>
    <t>THT04025A0VDE8Z</t>
  </si>
  <si>
    <t>b***chanya</t>
  </si>
  <si>
    <t>ช**** ท********</t>
  </si>
  <si>
    <t>(+66)098*****85</t>
  </si>
  <si>
    <t>1197223003292599762</t>
  </si>
  <si>
    <t>584145603956409801</t>
  </si>
  <si>
    <t>22/05/2026 15:16:14</t>
  </si>
  <si>
    <t>22/05/2026 15:32:09</t>
  </si>
  <si>
    <t>22/05/2026 16:41:10</t>
  </si>
  <si>
    <t>23/05/2026 14:32:58</t>
  </si>
  <si>
    <t>THT01415A0TWV2Z</t>
  </si>
  <si>
    <t>c***ah_okioji</t>
  </si>
  <si>
    <t>พ******* ศ**************</t>
  </si>
  <si>
    <t>(+66)080*****54</t>
  </si>
  <si>
    <t>เขตวังทองหลาง</t>
  </si>
  <si>
    <t>*</t>
  </si>
  <si>
    <t>1197216812166317513</t>
  </si>
  <si>
    <t>584145603954771304</t>
  </si>
  <si>
    <t>22/05/2026 15:16:13</t>
  </si>
  <si>
    <t>22/05/2026 15:16:12</t>
  </si>
  <si>
    <t>22/05/2026 16:37:22</t>
  </si>
  <si>
    <t>23/05/2026 10:17:42</t>
  </si>
  <si>
    <t>THT01175A0HBF5Z</t>
  </si>
  <si>
    <t>r***bow264089</t>
  </si>
  <si>
    <t>เ******</t>
  </si>
  <si>
    <t>(+66)820****83</t>
  </si>
  <si>
    <t>1197216440114709864</t>
  </si>
  <si>
    <t>584142037343765523</t>
  </si>
  <si>
    <t>22/05/2026 10:58:16</t>
  </si>
  <si>
    <t>22/05/2026 11:01:36</t>
  </si>
  <si>
    <t>22/05/2026 16:36:46</t>
  </si>
  <si>
    <t>23/05/2026 16:42:38</t>
  </si>
  <si>
    <t>THT01215A0A0F0Z</t>
  </si>
  <si>
    <t>w***ngrong_waw</t>
  </si>
  <si>
    <t>ว*****</t>
  </si>
  <si>
    <t>(+66)809****50</t>
  </si>
  <si>
    <t>บางซื่อ</t>
  </si>
  <si>
    <t>1197185820927362067</t>
  </si>
  <si>
    <t>584142037311588019</t>
  </si>
  <si>
    <t>22/05/2026 10:57:18</t>
  </si>
  <si>
    <t>22/05/2026 11:11:47</t>
  </si>
  <si>
    <t>22/05/2026 16:34:42</t>
  </si>
  <si>
    <t>24/05/2026 16:39:47</t>
  </si>
  <si>
    <t>THT15015A00TH1Z</t>
  </si>
  <si>
    <t>j***naja45</t>
  </si>
  <si>
    <t>ณ********** เ********</t>
  </si>
  <si>
    <t>(+66)095*****71</t>
  </si>
  <si>
    <t>เมืองนครปฐม</t>
  </si>
  <si>
    <t>1197186452564510387</t>
  </si>
  <si>
    <t>584142037149647974</t>
  </si>
  <si>
    <t>22/05/2026 10:54:28</t>
  </si>
  <si>
    <t>22/05/2026 10:56:56</t>
  </si>
  <si>
    <t>22/05/2026 16:36:49</t>
  </si>
  <si>
    <t>23/05/2026 08:40:43</t>
  </si>
  <si>
    <t>THT01245A09RB0Z</t>
  </si>
  <si>
    <t>k***tanriderv1</t>
  </si>
  <si>
    <t>ข*******</t>
  </si>
  <si>
    <t>(+66)819****22</t>
  </si>
  <si>
    <t>บางพลัด</t>
  </si>
  <si>
    <t>1197185207083697254</t>
  </si>
  <si>
    <t>584142037111637359</t>
  </si>
  <si>
    <t>22/05/2026 10:54:12</t>
  </si>
  <si>
    <t>22/05/2026 10:56:57</t>
  </si>
  <si>
    <t>22/05/2026 16:36:45</t>
  </si>
  <si>
    <t>23/05/2026 13:07:59</t>
  </si>
  <si>
    <t>THT01035A09Z06Z</t>
  </si>
  <si>
    <t>m***anakan</t>
  </si>
  <si>
    <t>ช****** โ*****</t>
  </si>
  <si>
    <t>(+66)092*****38</t>
  </si>
  <si>
    <t>คลองสามวา</t>
  </si>
  <si>
    <t>1197185952734086511</t>
  </si>
  <si>
    <t>584138129473308129</t>
  </si>
  <si>
    <t>394</t>
  </si>
  <si>
    <t>155</t>
  </si>
  <si>
    <t>22/05/2026 03:49:30</t>
  </si>
  <si>
    <t>22/05/2026 03:49:31</t>
  </si>
  <si>
    <t>22/05/2026 04:01:30</t>
  </si>
  <si>
    <t>22/05/2026 13:03:53</t>
  </si>
  <si>
    <t>24/05/2026 12:08:33</t>
  </si>
  <si>
    <t>THT470159ZJ8H8Z</t>
  </si>
  <si>
    <t>s***ntaphatpipat</t>
  </si>
  <si>
    <t>ส************* ส******</t>
  </si>
  <si>
    <t>(+66)081*****08</t>
  </si>
  <si>
    <t>*******************************************************************************************</t>
  </si>
  <si>
    <t>TikTok Shop Balance</t>
  </si>
  <si>
    <t>1197150136608130529</t>
  </si>
  <si>
    <t>584131365701322373</t>
  </si>
  <si>
    <t>21/05/2026 16:57:12</t>
  </si>
  <si>
    <t>21/05/2026 17:07:08</t>
  </si>
  <si>
    <t>22/05/2026 13:10:32</t>
  </si>
  <si>
    <t>23/05/2026 14:06:43</t>
  </si>
  <si>
    <t>THT270159YNEE9Z</t>
  </si>
  <si>
    <t>j***ysrisanga1565</t>
  </si>
  <si>
    <t>พ******* ศ******</t>
  </si>
  <si>
    <t>(+66)062*****39</t>
  </si>
  <si>
    <t>**************************</t>
  </si>
  <si>
    <t>1197113408550110853</t>
  </si>
  <si>
    <t>584130645735605938</t>
  </si>
  <si>
    <t>21/05/2026 15:53:11</t>
  </si>
  <si>
    <t>21/05/2026 15:56:43</t>
  </si>
  <si>
    <t>22/05/2026 13:10:31</t>
  </si>
  <si>
    <t>23/05/2026 14:53:29</t>
  </si>
  <si>
    <t>THT030659YJPU3Z</t>
  </si>
  <si>
    <t>h***1219</t>
  </si>
  <si>
    <t>แ*****</t>
  </si>
  <si>
    <t>(+66)083*****95</t>
  </si>
  <si>
    <t>ปากเกร็ด</t>
  </si>
  <si>
    <t>1197107276441093810</t>
  </si>
  <si>
    <t>584130511860762360</t>
  </si>
  <si>
    <t>21/05/2026 15:32:21</t>
  </si>
  <si>
    <t>21/05/2026 15:32:40</t>
  </si>
  <si>
    <t>21/05/2026 15:36:42</t>
  </si>
  <si>
    <t>22/05/2026 13:10:43</t>
  </si>
  <si>
    <t>24/05/2026 12:23:04</t>
  </si>
  <si>
    <t>THT711159YVV54Z</t>
  </si>
  <si>
    <t>a***kns</t>
  </si>
  <si>
    <t>ค** ค********  อ********</t>
  </si>
  <si>
    <t>(+66)090*****13</t>
  </si>
  <si>
    <t>1197104978283431672</t>
  </si>
  <si>
    <t>584129589068399779</t>
  </si>
  <si>
    <t>21/05/2026 14:21:11</t>
  </si>
  <si>
    <t>21/05/2026 14:22:07</t>
  </si>
  <si>
    <t>21/05/2026 16:26:31</t>
  </si>
  <si>
    <t>23/05/2026 19:04:54</t>
  </si>
  <si>
    <t>THT640159YFMH7Z</t>
  </si>
  <si>
    <t>p***kab</t>
  </si>
  <si>
    <t>ค*********</t>
  </si>
  <si>
    <t>(+66)826****84</t>
  </si>
  <si>
    <t>เมืองนครศรีธรรมราช</t>
  </si>
  <si>
    <t>1197095897128600739</t>
  </si>
  <si>
    <t>584127354417480854</t>
  </si>
  <si>
    <t>21/05/2026 11:52:13</t>
  </si>
  <si>
    <t>21/05/2026 11:56:22</t>
  </si>
  <si>
    <t>21/05/2026 16:24:39</t>
  </si>
  <si>
    <t>23/05/2026 14:19:29</t>
  </si>
  <si>
    <t>THT370159YEZ10Z</t>
  </si>
  <si>
    <t>f***apat</t>
  </si>
  <si>
    <t>ฟ** ป***</t>
  </si>
  <si>
    <t>(+66)828****44</t>
  </si>
  <si>
    <t>Khon Kaen</t>
  </si>
  <si>
    <t>Mueang Khon Kaen</t>
  </si>
  <si>
    <t>1197077221743363222</t>
  </si>
  <si>
    <t>584126629823612878</t>
  </si>
  <si>
    <t>21/05/2026 11:00:20</t>
  </si>
  <si>
    <t>21/05/2026 11:00:19</t>
  </si>
  <si>
    <t>21/05/2026 11:11:27</t>
  </si>
  <si>
    <t>21/05/2026 16:26:23</t>
  </si>
  <si>
    <t>22/05/2026 12:18:34</t>
  </si>
  <si>
    <t>THT620959YBSB0Z</t>
  </si>
  <si>
    <t>u***73373841118723</t>
  </si>
  <si>
    <t>ร***********</t>
  </si>
  <si>
    <t>(+66)641****38</t>
  </si>
  <si>
    <t>พิจิตร</t>
  </si>
  <si>
    <t>สากเหล็ก</t>
  </si>
  <si>
    <t>1197071854959167438</t>
  </si>
  <si>
    <t>584126025837348844</t>
  </si>
  <si>
    <t>21/05/2026 10:01:18</t>
  </si>
  <si>
    <t>21/05/2026 10:11:30</t>
  </si>
  <si>
    <t>21/05/2026 16:24:45</t>
  </si>
  <si>
    <t>22/05/2026 12:57:44</t>
  </si>
  <si>
    <t>THT560859XYAD1Z</t>
  </si>
  <si>
    <t>n***_18qn</t>
  </si>
  <si>
    <t>(+66)954****67</t>
  </si>
  <si>
    <t>นครสวรรค์</t>
  </si>
  <si>
    <t>ท่าตะโก</t>
  </si>
  <si>
    <t>1197064678257166316</t>
  </si>
  <si>
    <t>584125800473592906</t>
  </si>
  <si>
    <t>144.4</t>
  </si>
  <si>
    <t>21/05/2026 09:41:21</t>
  </si>
  <si>
    <t>22/05/2026 11:09:00</t>
  </si>
  <si>
    <t>21/05/2026 09:42:43</t>
  </si>
  <si>
    <t>21/05/2026 16:24:46</t>
  </si>
  <si>
    <t>THT011059Y68Y4Z</t>
  </si>
  <si>
    <t>a***amsung567</t>
  </si>
  <si>
    <t>(+66)090*****94</t>
  </si>
  <si>
    <t>1197061809376166986</t>
  </si>
  <si>
    <t>584125472650266462</t>
  </si>
  <si>
    <t>21/05/2026 09:16:50</t>
  </si>
  <si>
    <t>22/05/2026 15:42:31</t>
  </si>
  <si>
    <t>21/05/2026 09:23:16</t>
  </si>
  <si>
    <t>21/05/2026 16:24:24</t>
  </si>
  <si>
    <t>THT030659XTZE7Z</t>
  </si>
  <si>
    <t>u***5481306374574</t>
  </si>
  <si>
    <t>(+66)962****65</t>
  </si>
  <si>
    <t>1197058519509600094</t>
  </si>
  <si>
    <t>584125394011915489</t>
  </si>
  <si>
    <t>21/05/2026 09:11:32</t>
  </si>
  <si>
    <t>22/05/2026 14:17:27</t>
  </si>
  <si>
    <t>21/05/2026 09:16:59</t>
  </si>
  <si>
    <t>21/05/2026 16:24:22</t>
  </si>
  <si>
    <t>THT080259XT7M9Z</t>
  </si>
  <si>
    <t>u***3359767037133</t>
  </si>
  <si>
    <t>จ******* เ**********</t>
  </si>
  <si>
    <t>(+66)094*****19</t>
  </si>
  <si>
    <t>สิงห์บุรี</t>
  </si>
  <si>
    <t>บางระจัน</t>
  </si>
  <si>
    <t>1197059594830709985</t>
  </si>
  <si>
    <t>584125134110492532</t>
  </si>
  <si>
    <t>21/05/2026 08:50:35</t>
  </si>
  <si>
    <t>21/05/2026 08:50:38</t>
  </si>
  <si>
    <t>21/05/2026 08:52:40</t>
  </si>
  <si>
    <t>21/05/2026 16:24:20</t>
  </si>
  <si>
    <t>22/05/2026 09:42:37</t>
  </si>
  <si>
    <t>THT010859Y0WC0Z</t>
  </si>
  <si>
    <t>s***janametha</t>
  </si>
  <si>
    <t>ส*** พ******</t>
  </si>
  <si>
    <t>(+66)813****06</t>
  </si>
  <si>
    <t>ดินแดง</t>
  </si>
  <si>
    <t>1197055957264664436</t>
  </si>
  <si>
    <t>584124719435384607</t>
  </si>
  <si>
    <t>696</t>
  </si>
  <si>
    <t>418</t>
  </si>
  <si>
    <t>276</t>
  </si>
  <si>
    <t>21/05/2026 08:17:31</t>
  </si>
  <si>
    <t>23/05/2026 12:49:00</t>
  </si>
  <si>
    <t>21/05/2026 08:21:58</t>
  </si>
  <si>
    <t>21/05/2026 12:45:40</t>
  </si>
  <si>
    <t>THT750159XHSD7Z</t>
  </si>
  <si>
    <t>m***e14</t>
  </si>
  <si>
    <t>ม********* ส***</t>
  </si>
  <si>
    <t>(+66)804****62</t>
  </si>
  <si>
    <t>ปัตตานี</t>
  </si>
  <si>
    <t>เมืองปัตตานี</t>
  </si>
  <si>
    <t>1197050058246358815</t>
  </si>
  <si>
    <t>584123433515779344</t>
  </si>
  <si>
    <t>21/05/2026 05:56:13</t>
  </si>
  <si>
    <t>23/05/2026 10:48:48</t>
  </si>
  <si>
    <t>21/05/2026 06:01:13</t>
  </si>
  <si>
    <t>21/05/2026 12:45:09</t>
  </si>
  <si>
    <t>THT280759X7GT9Z</t>
  </si>
  <si>
    <t>k***sak624</t>
  </si>
  <si>
    <t>ก*********</t>
  </si>
  <si>
    <t>(+66)080*****28</t>
  </si>
  <si>
    <t>บุรีรัมย์</t>
  </si>
  <si>
    <t>ประโคนชัย</t>
  </si>
  <si>
    <t>1197038994167792912</t>
  </si>
  <si>
    <t>584120459065853768</t>
  </si>
  <si>
    <t>55.6</t>
  </si>
  <si>
    <t>83.4</t>
  </si>
  <si>
    <t>20/05/2026 21:52:22</t>
  </si>
  <si>
    <t>20/05/2026 21:52:40</t>
  </si>
  <si>
    <t>20/05/2026 21:56:24</t>
  </si>
  <si>
    <t>21/05/2026 12:46:52</t>
  </si>
  <si>
    <t>22/05/2026 15:09:33</t>
  </si>
  <si>
    <t>THT013759X9V38Z</t>
  </si>
  <si>
    <t>l***2</t>
  </si>
  <si>
    <t>ก****</t>
  </si>
  <si>
    <t>(+66)959****95</t>
  </si>
  <si>
    <t>1197022024748533576</t>
  </si>
  <si>
    <t>584116826201556942</t>
  </si>
  <si>
    <t>20/05/2026 18:33:11</t>
  </si>
  <si>
    <t>20/05/2026 18:36:15</t>
  </si>
  <si>
    <t>21/05/2026 12:45:07</t>
  </si>
  <si>
    <t>23/05/2026 15:14:38</t>
  </si>
  <si>
    <t>THT760159WS4S9Z</t>
  </si>
  <si>
    <t>m***medah.yaha</t>
  </si>
  <si>
    <t>ฟ**</t>
  </si>
  <si>
    <t>(+66)950****80</t>
  </si>
  <si>
    <t>1197005917432154062</t>
  </si>
  <si>
    <t>584117107944686713</t>
  </si>
  <si>
    <t>20/05/2026 18:19:42</t>
  </si>
  <si>
    <t>20/05/2026 18:19:46</t>
  </si>
  <si>
    <t>20/05/2026 18:21:13</t>
  </si>
  <si>
    <t>21/05/2026 12:44:32</t>
  </si>
  <si>
    <t>22/05/2026 11:41:28</t>
  </si>
  <si>
    <t>THT013659WRWU5Z</t>
  </si>
  <si>
    <t>t***bachngot2000</t>
  </si>
  <si>
    <t>M****</t>
  </si>
  <si>
    <t>(+66)632****38</t>
  </si>
  <si>
    <t>Thái Lan</t>
  </si>
  <si>
    <t>Yan Nawa</t>
  </si>
  <si>
    <t>1197005070753170553</t>
  </si>
  <si>
    <t>584116255953224823</t>
  </si>
  <si>
    <t>20/05/2026 17:28:16</t>
  </si>
  <si>
    <t>20/05/2026 17:31:45</t>
  </si>
  <si>
    <t>21/05/2026 12:44:30</t>
  </si>
  <si>
    <t>23/05/2026 13:54:52</t>
  </si>
  <si>
    <t>THT642059WQDZ7Z</t>
  </si>
  <si>
    <t>j***ya_0305_</t>
  </si>
  <si>
    <t>จ** จ*****</t>
  </si>
  <si>
    <t>(+66)991****73</t>
  </si>
  <si>
    <t>พระพรหม</t>
  </si>
  <si>
    <t>*************************************************************</t>
  </si>
  <si>
    <t>1197000446981538935</t>
  </si>
  <si>
    <t>584115501022414674</t>
  </si>
  <si>
    <t>20/05/2026 16:05:22</t>
  </si>
  <si>
    <t>20/05/2026 16:05:43</t>
  </si>
  <si>
    <t>2***315420</t>
  </si>
  <si>
    <t>ค***  ป********</t>
  </si>
  <si>
    <t>(+66)080*****14</t>
  </si>
  <si>
    <t>บรรพตพิสัย</t>
  </si>
  <si>
    <t>1196992102754977618</t>
  </si>
  <si>
    <t>584114277472700085</t>
  </si>
  <si>
    <t>20/05/2026 14:48:12</t>
  </si>
  <si>
    <t>20/05/2026 14:51:52</t>
  </si>
  <si>
    <t>20/05/2026 17:07:20</t>
  </si>
  <si>
    <t>21/05/2026 12:40:21</t>
  </si>
  <si>
    <t>THT012159WJEM1Z</t>
  </si>
  <si>
    <t>j***_wsn</t>
  </si>
  <si>
    <t>ว**** ห*********</t>
  </si>
  <si>
    <t>(+66)926****50</t>
  </si>
  <si>
    <t>1196982690985182901</t>
  </si>
  <si>
    <t>584114055539492650</t>
  </si>
  <si>
    <t>20/05/2026 14:36:23</t>
  </si>
  <si>
    <t>20/05/2026 14:36:49</t>
  </si>
  <si>
    <t>20/05/2026 17:08:40</t>
  </si>
  <si>
    <t>22/05/2026 12:19:49</t>
  </si>
  <si>
    <t>THT730159WHQH9Z</t>
  </si>
  <si>
    <t>k***gki_mashop</t>
  </si>
  <si>
    <t>ป******** บ****</t>
  </si>
  <si>
    <t>(+66)943****93</t>
  </si>
  <si>
    <t>เมืองตรัง</t>
  </si>
  <si>
    <t>1196981025873823530</t>
  </si>
  <si>
    <t>584113374361782032</t>
  </si>
  <si>
    <t>20/05/2026 13:24:21</t>
  </si>
  <si>
    <t>21/05/2026 15:07:21</t>
  </si>
  <si>
    <t>20/05/2026 13:31:10</t>
  </si>
  <si>
    <t>20/05/2026 17:07:15</t>
  </si>
  <si>
    <t>THT200459WTT54Z</t>
  </si>
  <si>
    <t>0***21time</t>
  </si>
  <si>
    <t>ย***** ว*************</t>
  </si>
  <si>
    <t>(+66)917****77</t>
  </si>
  <si>
    <t>1196971649812629264</t>
  </si>
  <si>
    <t>584107536884205108</t>
  </si>
  <si>
    <t>20/05/2026 03:52:41</t>
  </si>
  <si>
    <t>21/05/2026 13:24:08</t>
  </si>
  <si>
    <t>20/05/2026 03:56:58</t>
  </si>
  <si>
    <t>20/05/2026 12:46:59</t>
  </si>
  <si>
    <t>THT013259VR5T0Z</t>
  </si>
  <si>
    <t>d***31579</t>
  </si>
  <si>
    <t>ด******</t>
  </si>
  <si>
    <t>(+66)095*****92</t>
  </si>
  <si>
    <t>1196918872879040052</t>
  </si>
  <si>
    <t>584107231022319398</t>
  </si>
  <si>
    <t>20/05/2026 02:14:46</t>
  </si>
  <si>
    <t>20/05/2026 02:14:49</t>
  </si>
  <si>
    <t>20/05/2026 02:26:21</t>
  </si>
  <si>
    <t>20/05/2026 12:46:55</t>
  </si>
  <si>
    <t>21/05/2026 14:19:51</t>
  </si>
  <si>
    <t>THT012159VQVU2Z</t>
  </si>
  <si>
    <t>t***tk</t>
  </si>
  <si>
    <t>ณ****** ส*****</t>
  </si>
  <si>
    <t>(+66)099*****95</t>
  </si>
  <si>
    <t>Bang Sue</t>
  </si>
  <si>
    <t>1196916731681343270</t>
  </si>
  <si>
    <t>584104683235542546</t>
  </si>
  <si>
    <t>19/05/2026 21:30:08</t>
  </si>
  <si>
    <t>22/05/2026 17:44:08</t>
  </si>
  <si>
    <t>19/05/2026 21:31:34</t>
  </si>
  <si>
    <t>20/05/2026 12:49:01</t>
  </si>
  <si>
    <t>THT430159V2X29Z</t>
  </si>
  <si>
    <t>k***i558899</t>
  </si>
  <si>
    <t>ช*********  ซ***</t>
  </si>
  <si>
    <t>(+66)979****91</t>
  </si>
  <si>
    <t>1196904171954538002</t>
  </si>
  <si>
    <t>KINBATA แผ่นดูดสีซักผ้า 50 แผ่น สำหรับผ้าสี-ผ้าขาว กันสีตก ใช้ง่าย แค่ใส่ตอนซัก</t>
  </si>
  <si>
    <t>584103937761642003</t>
  </si>
  <si>
    <t>19/05/2026 20:40:15</t>
  </si>
  <si>
    <t>21/05/2026 14:52:53</t>
  </si>
  <si>
    <t>19/05/2026 20:46:35</t>
  </si>
  <si>
    <t>20/05/2026 12:48:58</t>
  </si>
  <si>
    <t>THT011259V14N1Z</t>
  </si>
  <si>
    <t>n***jfnskx</t>
  </si>
  <si>
    <t>ม****** ม*******</t>
  </si>
  <si>
    <t>(+66)869****16</t>
  </si>
  <si>
    <t>ทุ่งครุ</t>
  </si>
  <si>
    <t>1196901046367323667</t>
  </si>
  <si>
    <t>584100105430205932</t>
  </si>
  <si>
    <t>19/05/2026 16:21:21</t>
  </si>
  <si>
    <t>19/05/2026 16:21:31</t>
  </si>
  <si>
    <t>20/05/2026 12:46:56</t>
  </si>
  <si>
    <t>21/05/2026 14:32:08</t>
  </si>
  <si>
    <t>THT180159UTHK9Z</t>
  </si>
  <si>
    <t>b***nessman..09</t>
  </si>
  <si>
    <t>B*********** 2</t>
  </si>
  <si>
    <t>(+66)655****51</t>
  </si>
  <si>
    <t>เมืองเพชรบุรี</t>
  </si>
  <si>
    <t>1196877448050214380</t>
  </si>
  <si>
    <t>584096001199998485</t>
  </si>
  <si>
    <t>19/05/2026 11:00:19</t>
  </si>
  <si>
    <t>19/05/2026 11:01:19</t>
  </si>
  <si>
    <t>19/05/2026 17:07:19</t>
  </si>
  <si>
    <t>21/05/2026 20:03:26</t>
  </si>
  <si>
    <t>THT610159U8DB9Z</t>
  </si>
  <si>
    <t>f***2244</t>
  </si>
  <si>
    <t>C*************</t>
  </si>
  <si>
    <t>(+66)933****26</t>
  </si>
  <si>
    <t>พิษณุโลก</t>
  </si>
  <si>
    <t>เมืองพิษณุโลก</t>
  </si>
  <si>
    <t>1196838543019247125</t>
  </si>
  <si>
    <t>584095703194240004</t>
  </si>
  <si>
    <t>19/05/2026 10:41:10</t>
  </si>
  <si>
    <t>19/05/2026 10:47:58</t>
  </si>
  <si>
    <t>19/05/2026 17:07:10</t>
  </si>
  <si>
    <t>21/05/2026 11:18:14</t>
  </si>
  <si>
    <t>THT290959U73B9Z</t>
  </si>
  <si>
    <t>m***_roiet</t>
  </si>
  <si>
    <t>น********** ม******</t>
  </si>
  <si>
    <t>(+66)903****99</t>
  </si>
  <si>
    <t>สุรินทร์</t>
  </si>
  <si>
    <t>ศีขรภูมิ</t>
  </si>
  <si>
    <t>1196836116644201476</t>
  </si>
  <si>
    <t>584095368573977977</t>
  </si>
  <si>
    <t>19/05/2026 10:25:15</t>
  </si>
  <si>
    <t>19/05/2026 10:26:33</t>
  </si>
  <si>
    <t>19/05/2026 17:07:17</t>
  </si>
  <si>
    <t>21/05/2026 14:52:37</t>
  </si>
  <si>
    <t>THT760159UJFA0Z</t>
  </si>
  <si>
    <t>n***icha.s</t>
  </si>
  <si>
    <t>S******* H* m****</t>
  </si>
  <si>
    <t>(+66)649****99</t>
  </si>
  <si>
    <t>1196834632127251833</t>
  </si>
  <si>
    <t>584095445895709713</t>
  </si>
  <si>
    <t>19/05/2026 10:25:14</t>
  </si>
  <si>
    <t>19/05/2026 10:36:28</t>
  </si>
  <si>
    <t>19/05/2026 17:07:07</t>
  </si>
  <si>
    <t>21/05/2026 11:49:04</t>
  </si>
  <si>
    <t>THT670359U64H5Z</t>
  </si>
  <si>
    <t>l***ar25</t>
  </si>
  <si>
    <t>เ***** ส***** ต** 2*</t>
  </si>
  <si>
    <t>(+66)629****71</t>
  </si>
  <si>
    <t>1196834248151761937</t>
  </si>
  <si>
    <t>584095027545081215</t>
  </si>
  <si>
    <t>19/05/2026 09:41:05</t>
  </si>
  <si>
    <t>19/05/2026 09:41:26</t>
  </si>
  <si>
    <t>19/05/2026 09:49:09</t>
  </si>
  <si>
    <t>19/05/2026 17:07:08</t>
  </si>
  <si>
    <t>20/05/2026 12:39:29</t>
  </si>
  <si>
    <t>THT040359UFH58Z</t>
  </si>
  <si>
    <t>f***oeiei</t>
  </si>
  <si>
    <t>ช***** ศ*******</t>
  </si>
  <si>
    <t>(+66)650****39</t>
  </si>
  <si>
    <t>ธัญบุรี</t>
  </si>
  <si>
    <t>1196829596070741375</t>
  </si>
  <si>
    <t>584092505505826295</t>
  </si>
  <si>
    <t>191.2</t>
  </si>
  <si>
    <t>19/05/2026 05:30:57</t>
  </si>
  <si>
    <t>20/05/2026 10:39:39</t>
  </si>
  <si>
    <t>19/05/2026 05:32:02</t>
  </si>
  <si>
    <t>19/05/2026 17:07:15</t>
  </si>
  <si>
    <t>THT010959TUP72Z</t>
  </si>
  <si>
    <t>d***890</t>
  </si>
  <si>
    <t>บ**************</t>
  </si>
  <si>
    <t>(+66)094*****56</t>
  </si>
  <si>
    <t>1196805765355963895</t>
  </si>
  <si>
    <t>47.8</t>
  </si>
  <si>
    <t>584086792766916093</t>
  </si>
  <si>
    <t>KINBATA เป็นเวอร์ชันจากญี่ปุ่น น้ํายาทําความสะอาดรองเท้า ไม่ต้องล้าง แค่เช็ดก็สะอาดแล้ว ส่วนผสมอ่อ เช็ดรองเท้า</t>
  </si>
  <si>
    <t>18/05/2026 19:13:10</t>
  </si>
  <si>
    <t>18/05/2026 19:15:29</t>
  </si>
  <si>
    <t>19/05/2026 17:07:13</t>
  </si>
  <si>
    <t>20/05/2026 14:44:23</t>
  </si>
  <si>
    <t>THT280159TBSN4Z</t>
  </si>
  <si>
    <t>l***y_ratchaneekorn</t>
  </si>
  <si>
    <t>ร********* ส**** ล*****</t>
  </si>
  <si>
    <t>(+66)634****10</t>
  </si>
  <si>
    <t>เมืองบุรีรัมย์</t>
  </si>
  <si>
    <t>1196775269634967037</t>
  </si>
  <si>
    <t>584084837376099757</t>
  </si>
  <si>
    <t>18/05/2026 16:29:27</t>
  </si>
  <si>
    <t>18/05/2026 16:30:31</t>
  </si>
  <si>
    <t>19/05/2026 17:07:09</t>
  </si>
  <si>
    <t>21/05/2026 11:07:44</t>
  </si>
  <si>
    <t>THT770359SWKG9Z</t>
  </si>
  <si>
    <t>p***shopp</t>
  </si>
  <si>
    <t>โ******* บ********</t>
  </si>
  <si>
    <t>(+66)818****50</t>
  </si>
  <si>
    <t>นราธิวาส</t>
  </si>
  <si>
    <t>บาเจาะ</t>
  </si>
  <si>
    <t>1196758231026468269</t>
  </si>
  <si>
    <t>584084521362163399</t>
  </si>
  <si>
    <t>18/05/2026 16:03:19</t>
  </si>
  <si>
    <t>18/05/2026 16:05:18</t>
  </si>
  <si>
    <t>19/05/2026 17:07:06</t>
  </si>
  <si>
    <t>21/05/2026 12:56:29</t>
  </si>
  <si>
    <t>THT750359SVF69Z</t>
  </si>
  <si>
    <t>_***a._a</t>
  </si>
  <si>
    <t>ร******* ย****</t>
  </si>
  <si>
    <t>(+66)098*****15</t>
  </si>
  <si>
    <t>หนองจิก</t>
  </si>
  <si>
    <t>1196755300405118663</t>
  </si>
  <si>
    <t>584083885231670508</t>
  </si>
  <si>
    <t>18/05/2026 15:20:25</t>
  </si>
  <si>
    <t>18/05/2026 15:26:02</t>
  </si>
  <si>
    <t>18/05/2026 17:22:19</t>
  </si>
  <si>
    <t>19/05/2026 10:18:46</t>
  </si>
  <si>
    <t>THT051259T4UT0Z</t>
  </si>
  <si>
    <t>s***n_srijan</t>
  </si>
  <si>
    <t>(+66)617****80</t>
  </si>
  <si>
    <t>พระนครศรีอยุธยา</t>
  </si>
  <si>
    <t>เสนา</t>
  </si>
  <si>
    <t>1196750398435394796</t>
  </si>
  <si>
    <t>584083913787868798</t>
  </si>
  <si>
    <t>18/05/2026 15:15:18</t>
  </si>
  <si>
    <t>18/05/2026 15:16:13</t>
  </si>
  <si>
    <t>18/05/2026 17:23:26</t>
  </si>
  <si>
    <t>20/05/2026 11:44:11</t>
  </si>
  <si>
    <t>THT451059T4DS6Z</t>
  </si>
  <si>
    <t>p***apon.1</t>
  </si>
  <si>
    <t>S********</t>
  </si>
  <si>
    <t>(+66)990****39</t>
  </si>
  <si>
    <t>โพนสวรรค์</t>
  </si>
  <si>
    <t>1196749440247563902</t>
  </si>
  <si>
    <t>584083913772664660</t>
  </si>
  <si>
    <t>18/05/2026 15:15:16</t>
  </si>
  <si>
    <t>18/05/2026 15:15:56</t>
  </si>
  <si>
    <t>18/05/2026 17:22:13</t>
  </si>
  <si>
    <t>19/05/2026 16:40:12</t>
  </si>
  <si>
    <t>THT030659STWY1Z</t>
  </si>
  <si>
    <t>a***yfindsomething</t>
  </si>
  <si>
    <t>พ***** ห*************</t>
  </si>
  <si>
    <t>(+66)897****45</t>
  </si>
  <si>
    <t>******************************************************************************************</t>
  </si>
  <si>
    <t>1196748659952486228</t>
  </si>
  <si>
    <t>584083884919718928</t>
  </si>
  <si>
    <t>18/05/2026 15:15:13</t>
  </si>
  <si>
    <t>18/05/2026 15:16:58</t>
  </si>
  <si>
    <t>18/05/2026 17:22:16</t>
  </si>
  <si>
    <t>19/05/2026 13:49:17</t>
  </si>
  <si>
    <t>THT270159SU2K9Z</t>
  </si>
  <si>
    <t>k***kwanykt</t>
  </si>
  <si>
    <t>ก****** ย*********</t>
  </si>
  <si>
    <t>(+66)927****50</t>
  </si>
  <si>
    <t>1196749437940630544</t>
  </si>
  <si>
    <t>584083913762309137</t>
  </si>
  <si>
    <t>18/05/2026 15:15:11</t>
  </si>
  <si>
    <t>18/05/2026 15:16:31</t>
  </si>
  <si>
    <t>18/05/2026 17:22:18</t>
  </si>
  <si>
    <t>20/05/2026 14:39:31</t>
  </si>
  <si>
    <t>THT580759SU199Z</t>
  </si>
  <si>
    <t>b***aifern1999</t>
  </si>
  <si>
    <t>พ******* เ********</t>
  </si>
  <si>
    <t>(+66)953****83</t>
  </si>
  <si>
    <t>ลานกระบือ</t>
  </si>
  <si>
    <t>1196750762107765777</t>
  </si>
  <si>
    <t>584083913733146032</t>
  </si>
  <si>
    <t>18/05/2026 15:14:23</t>
  </si>
  <si>
    <t>18/05/2026 15:20:31</t>
  </si>
  <si>
    <t>18/05/2026 17:25:40</t>
  </si>
  <si>
    <t>20/05/2026 15:05:46</t>
  </si>
  <si>
    <t>THT751059SU969Z</t>
  </si>
  <si>
    <t>n***ohwachi</t>
  </si>
  <si>
    <t>น******** ว***</t>
  </si>
  <si>
    <t>(+66)061*****10</t>
  </si>
  <si>
    <t>ยะรัง</t>
  </si>
  <si>
    <t>1196749421036012976</t>
  </si>
  <si>
    <t>584082869662483473</t>
  </si>
  <si>
    <t>18/05/2026 14:09:15</t>
  </si>
  <si>
    <t>18/05/2026 14:15:34</t>
  </si>
  <si>
    <t>18/05/2026 17:25:42</t>
  </si>
  <si>
    <t>20/05/2026 15:26:32</t>
  </si>
  <si>
    <t>THT740859T1F32Z</t>
  </si>
  <si>
    <t>k***inatshop</t>
  </si>
  <si>
    <t>ก**********</t>
  </si>
  <si>
    <t>(+66)085*****94</t>
  </si>
  <si>
    <t>พัทลุง</t>
  </si>
  <si>
    <t>ป่าบอน</t>
  </si>
  <si>
    <t>1196740532717519889</t>
  </si>
  <si>
    <t>584082443917690346</t>
  </si>
  <si>
    <t>18/05/2026 13:26:14</t>
  </si>
  <si>
    <t>18/05/2026 13:26:13</t>
  </si>
  <si>
    <t>18/05/2026 13:30:45</t>
  </si>
  <si>
    <t>18/05/2026 17:23:59</t>
  </si>
  <si>
    <t>20/05/2026 17:36:00</t>
  </si>
  <si>
    <t>THT291659SNMB5Z</t>
  </si>
  <si>
    <t>t***nyy</t>
  </si>
  <si>
    <t>ช******** พ*****</t>
  </si>
  <si>
    <t>(+66)918****49</t>
  </si>
  <si>
    <t>เขวาสินรินทร์</t>
  </si>
  <si>
    <t>1196736027923809770</t>
  </si>
  <si>
    <t>584082070227813392</t>
  </si>
  <si>
    <t>18/05/2026 12:58:32</t>
  </si>
  <si>
    <t>18/05/2026 12:58:33</t>
  </si>
  <si>
    <t>18/05/2026 13:01:55</t>
  </si>
  <si>
    <t>18/05/2026 17:23:21</t>
  </si>
  <si>
    <t>19/05/2026 15:53:07</t>
  </si>
  <si>
    <t>THT200759SWH50Z</t>
  </si>
  <si>
    <t>3***5068473</t>
  </si>
  <si>
    <t>ส***   ส*****</t>
  </si>
  <si>
    <t>(+66)917****25</t>
  </si>
  <si>
    <t>1196731993457329168</t>
  </si>
  <si>
    <t>584079719183451707</t>
  </si>
  <si>
    <t>18/05/2026 10:15:32</t>
  </si>
  <si>
    <t>18/05/2026 10:20:49</t>
  </si>
  <si>
    <t>18/05/2026 17:23:18</t>
  </si>
  <si>
    <t>20/05/2026 16:32:23</t>
  </si>
  <si>
    <t>THT450559S5KD9Z</t>
  </si>
  <si>
    <t>_***msuk.15</t>
  </si>
  <si>
    <t>K****</t>
  </si>
  <si>
    <t>(+66)096*****82</t>
  </si>
  <si>
    <t>ธาตุพนม</t>
  </si>
  <si>
    <t>1196709713732273723</t>
  </si>
  <si>
    <t>584079719138494031</t>
  </si>
  <si>
    <t>18/05/2026 10:15:20</t>
  </si>
  <si>
    <t>18/05/2026 10:20:58</t>
  </si>
  <si>
    <t>18/05/2026 17:23:58</t>
  </si>
  <si>
    <t>19/05/2026 12:36:50</t>
  </si>
  <si>
    <t>THT272159S5N83Z</t>
  </si>
  <si>
    <t>r***mommyuj</t>
  </si>
  <si>
    <t>ร***** ท********* น*******</t>
  </si>
  <si>
    <t>(+66)084*****00</t>
  </si>
  <si>
    <t>เทศบาลนครนครราชสีมา</t>
  </si>
  <si>
    <t>1196709877577713231</t>
  </si>
  <si>
    <t>584079339836901168</t>
  </si>
  <si>
    <t>18/05/2026 09:45:54</t>
  </si>
  <si>
    <t>18/05/2026 09:45:53</t>
  </si>
  <si>
    <t>18/05/2026 09:47:19</t>
  </si>
  <si>
    <t>18/05/2026 17:22:58</t>
  </si>
  <si>
    <t>19/05/2026 13:00:31</t>
  </si>
  <si>
    <t>THT014959SE2D4Z</t>
  </si>
  <si>
    <t>k***mishahmed</t>
  </si>
  <si>
    <t>F**** J*****</t>
  </si>
  <si>
    <t>(+66)091*****49</t>
  </si>
  <si>
    <t>Nong Chok</t>
  </si>
  <si>
    <t>1196706155479795504</t>
  </si>
  <si>
    <t>584079311929247371</t>
  </si>
  <si>
    <t>18/05/2026 09:45:20</t>
  </si>
  <si>
    <t>18/05/2026 09:47:33</t>
  </si>
  <si>
    <t>18/05/2026 17:23:29</t>
  </si>
  <si>
    <t>20/05/2026 13:10:34</t>
  </si>
  <si>
    <t>THT290559SE0V2Z</t>
  </si>
  <si>
    <t>s***an_lifestyle</t>
  </si>
  <si>
    <t>ย***********</t>
  </si>
  <si>
    <t>(+66)962****94</t>
  </si>
  <si>
    <t>ปราสาท</t>
  </si>
  <si>
    <t>1196705387591534219</t>
  </si>
  <si>
    <t>584079170184381457</t>
  </si>
  <si>
    <t>18/05/2026 09:42:16</t>
  </si>
  <si>
    <t>18/05/2026 09:47:48</t>
  </si>
  <si>
    <t>18/05/2026 17:23:01</t>
  </si>
  <si>
    <t>19/05/2026 14:58:24</t>
  </si>
  <si>
    <t>THT040259S2EW5Z</t>
  </si>
  <si>
    <t>n***iemsn</t>
  </si>
  <si>
    <t>ณ******** โ*************</t>
  </si>
  <si>
    <t>(+66)932****75</t>
  </si>
  <si>
    <t>1196704874665772049</t>
  </si>
  <si>
    <t>584078546353096417</t>
  </si>
  <si>
    <t>196</t>
  </si>
  <si>
    <t>118</t>
  </si>
  <si>
    <t>78</t>
  </si>
  <si>
    <t>96</t>
  </si>
  <si>
    <t>18/05/2026 08:37:50</t>
  </si>
  <si>
    <t>19/05/2026 18:19:08</t>
  </si>
  <si>
    <t>18/05/2026 08:41:52</t>
  </si>
  <si>
    <t>18/05/2026 17:22:59</t>
  </si>
  <si>
    <t>THT150159S34G2Z</t>
  </si>
  <si>
    <t>3***2263249</t>
  </si>
  <si>
    <t>ธ*** แ******</t>
  </si>
  <si>
    <t>(+66)092*****56</t>
  </si>
  <si>
    <t>1196693912394565345</t>
  </si>
  <si>
    <t>584077019100251647</t>
  </si>
  <si>
    <t>268</t>
  </si>
  <si>
    <t>18/05/2026 05:47:56</t>
  </si>
  <si>
    <t>19/05/2026 16:02:27</t>
  </si>
  <si>
    <t>18/05/2026 05:52:14</t>
  </si>
  <si>
    <t>18/05/2026 12:29:27</t>
  </si>
  <si>
    <t>THT011759RKTV2Z</t>
  </si>
  <si>
    <t>b***n0459</t>
  </si>
  <si>
    <t>U****</t>
  </si>
  <si>
    <t>(+66)817****64</t>
  </si>
  <si>
    <t>Bang Khun Thian</t>
  </si>
  <si>
    <t>1196676114124146175</t>
  </si>
  <si>
    <t>584076269533824713</t>
  </si>
  <si>
    <t>18/05/2026 02:20:48</t>
  </si>
  <si>
    <t>19/05/2026 13:07:12</t>
  </si>
  <si>
    <t>18/05/2026 02:26:22</t>
  </si>
  <si>
    <t>18/05/2026 12:29:22</t>
  </si>
  <si>
    <t>THT200459R5J75Z</t>
  </si>
  <si>
    <t>c***e6996</t>
  </si>
  <si>
    <t>ช******  ภ**********</t>
  </si>
  <si>
    <t>(+66)092*****62</t>
  </si>
  <si>
    <t>1196671107442247369</t>
  </si>
  <si>
    <t>584075986290771225</t>
  </si>
  <si>
    <t>18/05/2026 01:11:51</t>
  </si>
  <si>
    <t>19/05/2026 20:22:17</t>
  </si>
  <si>
    <t>18/05/2026 01:21:56</t>
  </si>
  <si>
    <t>18/05/2026 12:29:32</t>
  </si>
  <si>
    <t>THT200759RG3E4Z</t>
  </si>
  <si>
    <t>n***apanuphansri</t>
  </si>
  <si>
    <t>ณ******** อ*******</t>
  </si>
  <si>
    <t>(+66)091*****42</t>
  </si>
  <si>
    <t>1196669476961551641</t>
  </si>
  <si>
    <t>584074060508988624</t>
  </si>
  <si>
    <t>17/05/2026 21:57:06</t>
  </si>
  <si>
    <t>17/05/2026 21:57:08</t>
  </si>
  <si>
    <t>17/05/2026 22:02:02</t>
  </si>
  <si>
    <t>18/05/2026 12:29:17</t>
  </si>
  <si>
    <t>19/05/2026 13:01:45</t>
  </si>
  <si>
    <t>THT020359QWUG3Z</t>
  </si>
  <si>
    <t>o***a_owner</t>
  </si>
  <si>
    <t>อ******</t>
  </si>
  <si>
    <t>(+66)809****41</t>
  </si>
  <si>
    <t>Samut Prakan</t>
  </si>
  <si>
    <t>Bang Phli</t>
  </si>
  <si>
    <t>1196660460523062480</t>
  </si>
  <si>
    <t>584070211711042811</t>
  </si>
  <si>
    <t>17/05/2026 17:50:28</t>
  </si>
  <si>
    <t>17/05/2026 17:50:30</t>
  </si>
  <si>
    <t>17/05/2026 17:51:49</t>
  </si>
  <si>
    <t>18/05/2026 12:29:13</t>
  </si>
  <si>
    <t>20/05/2026 13:56:30</t>
  </si>
  <si>
    <t>THT720159QXYB4Z</t>
  </si>
  <si>
    <t>o***tthiphan</t>
  </si>
  <si>
    <t>o***********</t>
  </si>
  <si>
    <t>(+66)091*****87</t>
  </si>
  <si>
    <t>สตูล</t>
  </si>
  <si>
    <t>เมืองสตูล</t>
  </si>
  <si>
    <t>1196642557005366523</t>
  </si>
  <si>
    <t>584065591213065877</t>
  </si>
  <si>
    <t>181.4</t>
  </si>
  <si>
    <t>17/05/2026 12:14:46</t>
  </si>
  <si>
    <t>17/05/2026 12:15:17</t>
  </si>
  <si>
    <t>17/05/2026 12:21:19</t>
  </si>
  <si>
    <t>17/05/2026 15:50:27</t>
  </si>
  <si>
    <t>19/05/2026 15:11:57</t>
  </si>
  <si>
    <t>THT730159QGHD2Z</t>
  </si>
  <si>
    <t>d***wvx2avic</t>
  </si>
  <si>
    <t>จ****** แ******</t>
  </si>
  <si>
    <t>(+66)089*****17</t>
  </si>
  <si>
    <t>1196609454554711701</t>
  </si>
  <si>
    <t>584062806381659885</t>
  </si>
  <si>
    <t>17/05/2026 08:49:08</t>
  </si>
  <si>
    <t>18/05/2026 08:49:10</t>
  </si>
  <si>
    <t>客户超时支付</t>
  </si>
  <si>
    <t>u***1357135439113</t>
  </si>
  <si>
    <t>(+66)936****51</t>
  </si>
  <si>
    <t>584062328976803386</t>
  </si>
  <si>
    <t>17/05/2026 08:08:40</t>
  </si>
  <si>
    <t>18/05/2026 18:19:45</t>
  </si>
  <si>
    <t>17/05/2026 08:21:39</t>
  </si>
  <si>
    <t>17/05/2026 12:29:16</t>
  </si>
  <si>
    <t>THT370559PRVH9Z</t>
  </si>
  <si>
    <t>u***34916218577107</t>
  </si>
  <si>
    <t>ท*****</t>
  </si>
  <si>
    <t>(+66)639****17</t>
  </si>
  <si>
    <t>ชุมแพ</t>
  </si>
  <si>
    <t>1196586709111244346</t>
  </si>
  <si>
    <t>584061103425750180</t>
  </si>
  <si>
    <t>17/05/2026 05:30:21</t>
  </si>
  <si>
    <t>19/05/2026 11:18:34</t>
  </si>
  <si>
    <t>17/05/2026 05:31:57</t>
  </si>
  <si>
    <t>17/05/2026 12:29:18</t>
  </si>
  <si>
    <t>THT200459PVHN8Z</t>
  </si>
  <si>
    <t>s***van14</t>
  </si>
  <si>
    <t>ก******** โ***********</t>
  </si>
  <si>
    <t>(+66)959****58</t>
  </si>
  <si>
    <t>1196578118891570340</t>
  </si>
  <si>
    <t>584061039001569254</t>
  </si>
  <si>
    <t>247</t>
  </si>
  <si>
    <t>17/05/2026 05:11:36</t>
  </si>
  <si>
    <t>19/05/2026 18:36:17</t>
  </si>
  <si>
    <t>17/05/2026 05:17:00</t>
  </si>
  <si>
    <t>17/05/2026 12:29:14</t>
  </si>
  <si>
    <t>THT590559PVHH4Z</t>
  </si>
  <si>
    <t>u***939633054654</t>
  </si>
  <si>
    <t>ส***** ส*****</t>
  </si>
  <si>
    <t>(+66)828****04</t>
  </si>
  <si>
    <t>ท่าสองยาง</t>
  </si>
  <si>
    <t>1196577700834609126</t>
  </si>
  <si>
    <t>584057917661742816</t>
  </si>
  <si>
    <t>16/05/2026 21:34:54</t>
  </si>
  <si>
    <t>19/05/2026 10:40:26</t>
  </si>
  <si>
    <t>16/05/2026 21:36:43</t>
  </si>
  <si>
    <t>17/05/2026 12:28:46</t>
  </si>
  <si>
    <t>THT730559PAH37Z</t>
  </si>
  <si>
    <t>n***orn.young</t>
  </si>
  <si>
    <t>น******  ย********</t>
  </si>
  <si>
    <t>(+66)097*****58</t>
  </si>
  <si>
    <t>สิเกา</t>
  </si>
  <si>
    <t>1196562724006037216</t>
  </si>
  <si>
    <t>584055099700381151</t>
  </si>
  <si>
    <t>16/05/2026 18:52:10</t>
  </si>
  <si>
    <t>16/05/2026 18:56:47</t>
  </si>
  <si>
    <t>17/05/2026 15:50:49</t>
  </si>
  <si>
    <t>18/05/2026 10:46:34</t>
  </si>
  <si>
    <t>THT051559P6441Z</t>
  </si>
  <si>
    <t>j***_sujitra110206</t>
  </si>
  <si>
    <t>J*** S******</t>
  </si>
  <si>
    <t>(+66)800****11</t>
  </si>
  <si>
    <t>มหาราช</t>
  </si>
  <si>
    <t>1196551134647125471</t>
  </si>
  <si>
    <t>584054331960952111</t>
  </si>
  <si>
    <t>16/05/2026 18:04:10</t>
  </si>
  <si>
    <t>16/05/2026 18:07:18</t>
  </si>
  <si>
    <t>17/05/2026 15:52:41</t>
  </si>
  <si>
    <t>18/05/2026 13:22:31</t>
  </si>
  <si>
    <t>THT230159PDCU0Z</t>
  </si>
  <si>
    <t>k***kwan</t>
  </si>
  <si>
    <t>ว***** ถ*****</t>
  </si>
  <si>
    <t>(+66)096*****44</t>
  </si>
  <si>
    <t>1196546743990125871</t>
  </si>
  <si>
    <t>584053982498818024</t>
  </si>
  <si>
    <t>16/05/2026 17:26:11</t>
  </si>
  <si>
    <t>16/05/2026 17:27:14</t>
  </si>
  <si>
    <t>17/05/2026 15:52:47</t>
  </si>
  <si>
    <t>18/05/2026 09:35:49</t>
  </si>
  <si>
    <t>THT200259PC8W4Z</t>
  </si>
  <si>
    <t>z***aephoto</t>
  </si>
  <si>
    <t>อ***** อ******</t>
  </si>
  <si>
    <t>(+66)085*****26</t>
  </si>
  <si>
    <t>บ้านบึง</t>
  </si>
  <si>
    <t>1196543810542733288</t>
  </si>
  <si>
    <t>584053982498162533</t>
  </si>
  <si>
    <t>16/05/2026 17:26:10</t>
  </si>
  <si>
    <t>17/05/2026 15:50:55</t>
  </si>
  <si>
    <t>18/05/2026 15:02:30</t>
  </si>
  <si>
    <t>THT011659P3QK7Z</t>
  </si>
  <si>
    <t>m***_smile.2003</t>
  </si>
  <si>
    <t>โ* น***</t>
  </si>
  <si>
    <t>(+66)089*****52</t>
  </si>
  <si>
    <t>1196543496601044837</t>
  </si>
  <si>
    <t>584054322299504574</t>
  </si>
  <si>
    <t>42</t>
  </si>
  <si>
    <t>16/05/2026 17:22:29</t>
  </si>
  <si>
    <t>19/05/2026 18:19:21</t>
  </si>
  <si>
    <t>17/05/2026 12:28:50</t>
  </si>
  <si>
    <t>THT510159PC9X8Z</t>
  </si>
  <si>
    <t>p***yseller</t>
  </si>
  <si>
    <t>(+66)094*****97</t>
  </si>
  <si>
    <t>1196543278404044734</t>
  </si>
  <si>
    <t>584054019189671706</t>
  </si>
  <si>
    <t>16/05/2026 16:57:22</t>
  </si>
  <si>
    <t>16/05/2026 16:57:26</t>
  </si>
  <si>
    <t>16/05/2026 17:01:45</t>
  </si>
  <si>
    <t>17/05/2026 12:28:38</t>
  </si>
  <si>
    <t>18/05/2026 22:05:15</t>
  </si>
  <si>
    <t>THT013759P3179Z</t>
  </si>
  <si>
    <t>n***eauittipon</t>
  </si>
  <si>
    <t>n**** a********</t>
  </si>
  <si>
    <t>(+66)081*****60</t>
  </si>
  <si>
    <t>*********************************************************************************************************************</t>
  </si>
  <si>
    <t>1196540584658634522</t>
  </si>
  <si>
    <t>584053472353355075</t>
  </si>
  <si>
    <t>16/05/2026 16:29:13</t>
  </si>
  <si>
    <t>16/05/2026 16:32:49</t>
  </si>
  <si>
    <t>17/05/2026 15:50:17</t>
  </si>
  <si>
    <t>18/05/2026 10:52:53</t>
  </si>
  <si>
    <t>THT040759P2333Z</t>
  </si>
  <si>
    <t>n***126.shop</t>
  </si>
  <si>
    <t>m***</t>
  </si>
  <si>
    <t>(+66)065*****46</t>
  </si>
  <si>
    <t>1196537984493716803</t>
  </si>
  <si>
    <t>584052669909140598</t>
  </si>
  <si>
    <t>16/05/2026 15:11:26</t>
  </si>
  <si>
    <t>16/05/2026 15:11:31</t>
  </si>
  <si>
    <t>16/05/2026 15:12:03</t>
  </si>
  <si>
    <t>需要更改付款方式</t>
  </si>
  <si>
    <t>p***hip.porche.sr</t>
  </si>
  <si>
    <t>ป******* ก*********</t>
  </si>
  <si>
    <t>(+66)091*****89</t>
  </si>
  <si>
    <t>1196529736600093814</t>
  </si>
  <si>
    <t>584051087961851492</t>
  </si>
  <si>
    <t>16/05/2026 13:06:38</t>
  </si>
  <si>
    <t>18/05/2026 13:26:40</t>
  </si>
  <si>
    <t>16/05/2026 13:11:35</t>
  </si>
  <si>
    <t>16/05/2026 17:06:52</t>
  </si>
  <si>
    <t>THT711159P0ZQ8Z</t>
  </si>
  <si>
    <t>t***khaw73</t>
  </si>
  <si>
    <t>พ*********</t>
  </si>
  <si>
    <t>(+66)061*****12</t>
  </si>
  <si>
    <t>1196514457953142372</t>
  </si>
  <si>
    <t>584049026131068521</t>
  </si>
  <si>
    <t>16/05/2026 11:06:14</t>
  </si>
  <si>
    <t>16/05/2026 11:11:30</t>
  </si>
  <si>
    <t>16/05/2026 17:06:57</t>
  </si>
  <si>
    <t>17/05/2026 18:21:29</t>
  </si>
  <si>
    <t>THT140459NGU01Z</t>
  </si>
  <si>
    <t>e***orp1a</t>
  </si>
  <si>
    <t>W***</t>
  </si>
  <si>
    <t>(+66)932****12</t>
  </si>
  <si>
    <t>บางปลาม้า</t>
  </si>
  <si>
    <t>1196500554625222249</t>
  </si>
  <si>
    <t>584048585720628243</t>
  </si>
  <si>
    <t>16/05/2026 10:29:10</t>
  </si>
  <si>
    <t>16/05/2026 10:30:40</t>
  </si>
  <si>
    <t>16/05/2026 17:06:56</t>
  </si>
  <si>
    <t>17/05/2026 11:29:46</t>
  </si>
  <si>
    <t>THT200759NDY39Z</t>
  </si>
  <si>
    <t>s***tsara_a9</t>
  </si>
  <si>
    <t>อ***** พ******</t>
  </si>
  <si>
    <t>(+66)098*****57</t>
  </si>
  <si>
    <t>1196497417533621267</t>
  </si>
  <si>
    <t>584046340221011355</t>
  </si>
  <si>
    <t>430.2</t>
  </si>
  <si>
    <t>16/05/2026 06:51:03</t>
  </si>
  <si>
    <t>16/05/2026 06:51:23</t>
  </si>
  <si>
    <t>16/05/2026 06:56:38</t>
  </si>
  <si>
    <t>16/05/2026 12:59:08</t>
  </si>
  <si>
    <t>17/05/2026 11:33:19</t>
  </si>
  <si>
    <t>THT050159N1SS0Z</t>
  </si>
  <si>
    <t>p***pan872</t>
  </si>
  <si>
    <t>ภ***</t>
  </si>
  <si>
    <t>(+66)909****96</t>
  </si>
  <si>
    <t>1196471362733180315</t>
  </si>
  <si>
    <t>584046012057290300</t>
  </si>
  <si>
    <t>16/05/2026 06:07:17</t>
  </si>
  <si>
    <t>17/05/2026 11:36:57</t>
  </si>
  <si>
    <t>16/05/2026 06:11:38</t>
  </si>
  <si>
    <t>16/05/2026 12:58:31</t>
  </si>
  <si>
    <t>THT160359N0G32Z</t>
  </si>
  <si>
    <t>t***e.eat</t>
  </si>
  <si>
    <t>น***</t>
  </si>
  <si>
    <t>(+66)819****97</t>
  </si>
  <si>
    <t>บ้านแพ้ว</t>
  </si>
  <si>
    <t>1196469284619585084</t>
  </si>
  <si>
    <t>584045634370897283</t>
  </si>
  <si>
    <t>16/05/2026 04:52:01</t>
  </si>
  <si>
    <t>19/05/2026 18:12:41</t>
  </si>
  <si>
    <t>16/05/2026 04:56:52</t>
  </si>
  <si>
    <t>16/05/2026 12:56:36</t>
  </si>
  <si>
    <t>THT681459MR173Z</t>
  </si>
  <si>
    <t>u***3061790639784</t>
  </si>
  <si>
    <t>อ***** ท*****</t>
  </si>
  <si>
    <t>(+66)080*****76</t>
  </si>
  <si>
    <t>เคียนซา</t>
  </si>
  <si>
    <t>1196466670915913091</t>
  </si>
  <si>
    <t>584045537841284177</t>
  </si>
  <si>
    <t>16/05/2026 04:25:25</t>
  </si>
  <si>
    <t>17/05/2026 13:38:09</t>
  </si>
  <si>
    <t>16/05/2026 04:26:31</t>
  </si>
  <si>
    <t>16/05/2026 12:57:55</t>
  </si>
  <si>
    <t>THT210159MYY44Z</t>
  </si>
  <si>
    <t>g***pan</t>
  </si>
  <si>
    <t>จ***</t>
  </si>
  <si>
    <t>(+66)877****48</t>
  </si>
  <si>
    <t>1196465917696443473</t>
  </si>
  <si>
    <t>584044856688149640</t>
  </si>
  <si>
    <t>181</t>
  </si>
  <si>
    <t>16/05/2026 01:03:50</t>
  </si>
  <si>
    <t>16/05/2026 01:06:33</t>
  </si>
  <si>
    <t>16/05/2026 11:56:36</t>
  </si>
  <si>
    <t>THT690159MNYW9Z</t>
  </si>
  <si>
    <t>a***ong_zzz11</t>
  </si>
  <si>
    <t>ธ***** แ****</t>
  </si>
  <si>
    <t>(+66)092*****16</t>
  </si>
  <si>
    <t>ระนอง</t>
  </si>
  <si>
    <t>เมืองระนอง</t>
  </si>
  <si>
    <t>*******************************************</t>
  </si>
  <si>
    <t>1196461415278412936</t>
  </si>
  <si>
    <t>584044344441079172</t>
  </si>
  <si>
    <t>15/05/2026 23:50:49</t>
  </si>
  <si>
    <t>15/05/2026 23:51:27</t>
  </si>
  <si>
    <t>15/05/2026 23:51:47</t>
  </si>
  <si>
    <t>16/05/2026 12:57:18</t>
  </si>
  <si>
    <t>17/05/2026 09:23:48</t>
  </si>
  <si>
    <t>THT160159MK6B9Z</t>
  </si>
  <si>
    <t>t***5343</t>
  </si>
  <si>
    <t>ท**** จ*******</t>
  </si>
  <si>
    <t>(+66)831****33</t>
  </si>
  <si>
    <t>เมืองสมุทรสาคร</t>
  </si>
  <si>
    <t>1196458559367054724</t>
  </si>
  <si>
    <t>584040904028358191</t>
  </si>
  <si>
    <t>15/05/2026 19:43:57</t>
  </si>
  <si>
    <t>17/05/2026 12:19:02</t>
  </si>
  <si>
    <t>15/05/2026 19:46:33</t>
  </si>
  <si>
    <t>16/05/2026 12:58:01</t>
  </si>
  <si>
    <t>THT020159MBCH7Z</t>
  </si>
  <si>
    <t>d***dwesfuou</t>
  </si>
  <si>
    <t>จ***** พ******</t>
  </si>
  <si>
    <t>(+66)087*****46</t>
  </si>
  <si>
    <t>1196441970281121327</t>
  </si>
  <si>
    <t>584040534912239244</t>
  </si>
  <si>
    <t>15/05/2026 19:12:56</t>
  </si>
  <si>
    <t>15/05/2026 19:12:58</t>
  </si>
  <si>
    <t>15/05/2026 19:16:32</t>
  </si>
  <si>
    <t>16/05/2026 12:58:39</t>
  </si>
  <si>
    <t>17/05/2026 14:47:56</t>
  </si>
  <si>
    <t>THT200759MACC9Z</t>
  </si>
  <si>
    <t>u***86591917</t>
  </si>
  <si>
    <t>ว*********</t>
  </si>
  <si>
    <t>(+66)065*****64</t>
  </si>
  <si>
    <t>1196439418186598028</t>
  </si>
  <si>
    <t>584040216947754629</t>
  </si>
  <si>
    <t>478</t>
  </si>
  <si>
    <t>15/05/2026 19:01:18</t>
  </si>
  <si>
    <t>17/05/2026 11:50:49</t>
  </si>
  <si>
    <t>15/05/2026 19:06:44</t>
  </si>
  <si>
    <t>16/05/2026 13:00:35</t>
  </si>
  <si>
    <t>THT590359M9XH1Z</t>
  </si>
  <si>
    <t>u***5844304429276</t>
  </si>
  <si>
    <t>ณ***** ร*******</t>
  </si>
  <si>
    <t>(+66)098*****42</t>
  </si>
  <si>
    <t>สามเงา</t>
  </si>
  <si>
    <t>1196438021070947973</t>
  </si>
  <si>
    <t>584039949232931853</t>
  </si>
  <si>
    <t>15/05/2026 18:36:55</t>
  </si>
  <si>
    <t>18/05/2026 18:02:27</t>
  </si>
  <si>
    <t>15/05/2026 18:41:39</t>
  </si>
  <si>
    <t>16/05/2026 12:57:15</t>
  </si>
  <si>
    <t>THT350159MGUB4Z</t>
  </si>
  <si>
    <t>w***wann_2523</t>
  </si>
  <si>
    <t>น*********** ก**********</t>
  </si>
  <si>
    <t>(+66)094*****89</t>
  </si>
  <si>
    <t>ตำบล บึงกาฬ</t>
  </si>
  <si>
    <t>เซกา</t>
  </si>
  <si>
    <t>1196435865313772557</t>
  </si>
  <si>
    <t>584039819895408144</t>
  </si>
  <si>
    <t>15/05/2026 18:29:11</t>
  </si>
  <si>
    <t>15/05/2026 18:29:14</t>
  </si>
  <si>
    <t>15/05/2026 18:34:01</t>
  </si>
  <si>
    <t>16/05/2026 12:56:24</t>
  </si>
  <si>
    <t>17/05/2026 15:31:46</t>
  </si>
  <si>
    <t>THT150159M9FK7Z</t>
  </si>
  <si>
    <t>p***172</t>
  </si>
  <si>
    <t>ป******** อ*******</t>
  </si>
  <si>
    <t>(+66)089*****29</t>
  </si>
  <si>
    <t>Nakhon Pathom</t>
  </si>
  <si>
    <t>Mueang Nakhon Pathom</t>
  </si>
  <si>
    <t>1196435166102324752</t>
  </si>
  <si>
    <t>584039772596635276</t>
  </si>
  <si>
    <t>15/05/2026 18:21:33</t>
  </si>
  <si>
    <t>15/05/2026 18:21:35</t>
  </si>
  <si>
    <t>15/05/2026 18:22:43</t>
  </si>
  <si>
    <t>1196434162609129100</t>
  </si>
  <si>
    <t>584039644218033581</t>
  </si>
  <si>
    <t>100</t>
  </si>
  <si>
    <t>15/05/2026 18:17:45</t>
  </si>
  <si>
    <t>17/05/2026 12:28:22</t>
  </si>
  <si>
    <t>15/05/2026 18:21:16</t>
  </si>
  <si>
    <t>16/05/2026 12:59:14</t>
  </si>
  <si>
    <t>THT030659MGFP6Z</t>
  </si>
  <si>
    <t>u***6198871330463</t>
  </si>
  <si>
    <t>ส****** เ******</t>
  </si>
  <si>
    <t>(+66)092*****29</t>
  </si>
  <si>
    <t>1196434267198096813</t>
  </si>
  <si>
    <t>584038372945462970</t>
  </si>
  <si>
    <t>15</t>
  </si>
  <si>
    <t>158.4</t>
  </si>
  <si>
    <t>15/05/2026 16:38:35</t>
  </si>
  <si>
    <t>17/05/2026 13:26:35</t>
  </si>
  <si>
    <t>15/05/2026 16:41:19</t>
  </si>
  <si>
    <t>16/05/2026 12:58:40</t>
  </si>
  <si>
    <t>THT012659MCWE6Z</t>
  </si>
  <si>
    <t>u***5805526163997</t>
  </si>
  <si>
    <t>จ**</t>
  </si>
  <si>
    <t>(+66)612****16</t>
  </si>
  <si>
    <t>บึงกุ่ม</t>
  </si>
  <si>
    <t>1196423616114820794</t>
  </si>
  <si>
    <t>584038257898587337</t>
  </si>
  <si>
    <t>15/05/2026 16:30:05</t>
  </si>
  <si>
    <t>17/05/2026 10:49:45</t>
  </si>
  <si>
    <t>15/05/2026 16:31:48</t>
  </si>
  <si>
    <t>16/05/2026 12:59:15</t>
  </si>
  <si>
    <t>THT200159M5JG1Z</t>
  </si>
  <si>
    <t>l***yousomuch907</t>
  </si>
  <si>
    <t>บ** ม*******</t>
  </si>
  <si>
    <t>(+66)623****15</t>
  </si>
  <si>
    <t>1196422976941425865</t>
  </si>
  <si>
    <t>584037241593038283</t>
  </si>
  <si>
    <t>15/05/2026 15:10:30</t>
  </si>
  <si>
    <t>17/05/2026 16:23:24</t>
  </si>
  <si>
    <t>15/05/2026 15:11:40</t>
  </si>
  <si>
    <t>16/05/2026 12:57:22</t>
  </si>
  <si>
    <t>THT060159M26Y7Z</t>
  </si>
  <si>
    <t>s***nnar6</t>
  </si>
  <si>
    <t>ส**********  ท************</t>
  </si>
  <si>
    <t>(+66)085*****95</t>
  </si>
  <si>
    <t>อ่างทอง</t>
  </si>
  <si>
    <t>เมืองอ่างทอง</t>
  </si>
  <si>
    <t>1196414172521530827</t>
  </si>
  <si>
    <t>584037175339222415</t>
  </si>
  <si>
    <t>15/05/2026 15:04:54</t>
  </si>
  <si>
    <t>15/05/2026 15:04:55</t>
  </si>
  <si>
    <t>15/05/2026 15:07:52</t>
  </si>
  <si>
    <t>16/05/2026 12:58:06</t>
  </si>
  <si>
    <t>17/05/2026 19:05:38</t>
  </si>
  <si>
    <t>THT210159M9SR4Z</t>
  </si>
  <si>
    <t>a***apong</t>
  </si>
  <si>
    <t>ว******* ท********</t>
  </si>
  <si>
    <t>(+66)089*****99</t>
  </si>
  <si>
    <t>1196413023286166927</t>
  </si>
  <si>
    <t>584036724810483031</t>
  </si>
  <si>
    <t>15/05/2026 14:37:18</t>
  </si>
  <si>
    <t>15/05/2026 14:41:29</t>
  </si>
  <si>
    <t>15/05/2026 17:16:25</t>
  </si>
  <si>
    <t>16/05/2026 11:14:04</t>
  </si>
  <si>
    <t>THT131359M8AR0Z</t>
  </si>
  <si>
    <t>d***nds</t>
  </si>
  <si>
    <t>พ******* ส***</t>
  </si>
  <si>
    <t>(+66)061*****88</t>
  </si>
  <si>
    <t>ห้วยกระเจา</t>
  </si>
  <si>
    <t>1196409396032800087</t>
  </si>
  <si>
    <t>584036271800681865</t>
  </si>
  <si>
    <t>15/05/2026 13:53:52</t>
  </si>
  <si>
    <t>15/05/2026 13:53:56</t>
  </si>
  <si>
    <t>15/05/2026 13:57:01</t>
  </si>
  <si>
    <t>15/05/2026 17:13:30</t>
  </si>
  <si>
    <t>16/05/2026 09:34:59</t>
  </si>
  <si>
    <t>THT101159KZAV7Z</t>
  </si>
  <si>
    <t>d***65418</t>
  </si>
  <si>
    <t>พ**************** พ*****</t>
  </si>
  <si>
    <t>(+66)817****65</t>
  </si>
  <si>
    <t>มวกเหล็ก</t>
  </si>
  <si>
    <t>1196404042460136841</t>
  </si>
  <si>
    <t>584036260665001770</t>
  </si>
  <si>
    <t>15/05/2026 13:53:47</t>
  </si>
  <si>
    <t>15/05/2026 14:15:30</t>
  </si>
  <si>
    <t>15/05/2026 14:20:20</t>
  </si>
  <si>
    <t>15/05/2026 17:13:21</t>
  </si>
  <si>
    <t>16/05/2026 11:06:18</t>
  </si>
  <si>
    <t>THT020359M0525Z</t>
  </si>
  <si>
    <t>i***ra1918</t>
  </si>
  <si>
    <t>อ***********</t>
  </si>
  <si>
    <t>(+66)081*****62</t>
  </si>
  <si>
    <t>1196407363064203050</t>
  </si>
  <si>
    <t>584036073041659139</t>
  </si>
  <si>
    <t>15/05/2026 13:52:21</t>
  </si>
  <si>
    <t>15/05/2026 13:56:54</t>
  </si>
  <si>
    <t>15/05/2026 17:13:02</t>
  </si>
  <si>
    <t>16/05/2026 13:50:57</t>
  </si>
  <si>
    <t>THT011559M6GV8Z</t>
  </si>
  <si>
    <t>p***shop45</t>
  </si>
  <si>
    <t>ป*******</t>
  </si>
  <si>
    <t>(+66)061*****05</t>
  </si>
  <si>
    <t>บางกอกใหญ่</t>
  </si>
  <si>
    <t>1196403845286823171</t>
  </si>
  <si>
    <t>584036073013413680</t>
  </si>
  <si>
    <t>15/05/2026 13:52:13</t>
  </si>
  <si>
    <t>15/05/2026 14:01:45</t>
  </si>
  <si>
    <t>15/05/2026 17:16:22</t>
  </si>
  <si>
    <t>16/05/2026 12:35:47</t>
  </si>
  <si>
    <t>THT030159KZJA1Z</t>
  </si>
  <si>
    <t>a***yn_104</t>
  </si>
  <si>
    <t>อ***** ช******</t>
  </si>
  <si>
    <t>(+66)097*****43</t>
  </si>
  <si>
    <t>เมืองนนทบุรี</t>
  </si>
  <si>
    <t>1196404920650729264</t>
  </si>
  <si>
    <t>584035409682269532</t>
  </si>
  <si>
    <t>15/05/2026 13:12:11</t>
  </si>
  <si>
    <t>15/05/2026 13:18:24</t>
  </si>
  <si>
    <t>15/05/2026 17:13:27</t>
  </si>
  <si>
    <t>17/05/2026 14:44:15</t>
  </si>
  <si>
    <t>THT750159M4BA4Z</t>
  </si>
  <si>
    <t>r***dankatemmadee</t>
  </si>
  <si>
    <t>ร***** ก*********</t>
  </si>
  <si>
    <t>(+66)980****02</t>
  </si>
  <si>
    <t>*************************************************************************************</t>
  </si>
  <si>
    <t>1196399059666961756</t>
  </si>
  <si>
    <t>584034756981851814</t>
  </si>
  <si>
    <t>15/05/2026 12:12:06</t>
  </si>
  <si>
    <t>17/05/2026 13:44:09</t>
  </si>
  <si>
    <t>15/05/2026 12:15:25</t>
  </si>
  <si>
    <t>15/05/2026 17:13:36</t>
  </si>
  <si>
    <t>THT200759KRBU3Z</t>
  </si>
  <si>
    <t>u***278627008509</t>
  </si>
  <si>
    <t>อ**********</t>
  </si>
  <si>
    <t>(+66)089*****69</t>
  </si>
  <si>
    <t>1196391156621674150</t>
  </si>
  <si>
    <t>584033840865510927</t>
  </si>
  <si>
    <t>15/05/2026 11:09:25</t>
  </si>
  <si>
    <t>15/05/2026 11:09:29</t>
  </si>
  <si>
    <t>15/05/2026 11:16:58</t>
  </si>
  <si>
    <t>15/05/2026 17:13:33</t>
  </si>
  <si>
    <t>17/05/2026 14:28:14</t>
  </si>
  <si>
    <t>THT470159KKWT5Z</t>
  </si>
  <si>
    <t>u***51586032543948</t>
  </si>
  <si>
    <t>เ******* ช*******</t>
  </si>
  <si>
    <t>(+66)088*****07</t>
  </si>
  <si>
    <t>1196383732535100943</t>
  </si>
  <si>
    <t>584033642075620523</t>
  </si>
  <si>
    <t>257</t>
  </si>
  <si>
    <t>15/05/2026 10:55:40</t>
  </si>
  <si>
    <t>18/05/2026 10:49:10</t>
  </si>
  <si>
    <t>15/05/2026 11:01:39</t>
  </si>
  <si>
    <t>15/05/2026 12:52:30</t>
  </si>
  <si>
    <t>THT480159KJU01Z</t>
  </si>
  <si>
    <t>u***207699091316269</t>
  </si>
  <si>
    <t>ม***** ศ********</t>
  </si>
  <si>
    <t>(+66)084*****01</t>
  </si>
  <si>
    <t>ลำพูน</t>
  </si>
  <si>
    <t>เมืองลำพูน</t>
  </si>
  <si>
    <t>1196381406840652971</t>
  </si>
  <si>
    <t>584032374414607892</t>
  </si>
  <si>
    <t>15/05/2026 09:30:54</t>
  </si>
  <si>
    <t>16/05/2026 16:27:09</t>
  </si>
  <si>
    <t>15/05/2026 09:41:09</t>
  </si>
  <si>
    <t>15/05/2026 12:52:21</t>
  </si>
  <si>
    <t>THT011759KD465Z</t>
  </si>
  <si>
    <t>u***2002005346001</t>
  </si>
  <si>
    <t>แ**** เ******</t>
  </si>
  <si>
    <t>(+66)099*****42</t>
  </si>
  <si>
    <t>1196372509457155604</t>
  </si>
  <si>
    <t>584031890920867391</t>
  </si>
  <si>
    <t>15/05/2026 08:51:59</t>
  </si>
  <si>
    <t>16/05/2026 18:12:09</t>
  </si>
  <si>
    <t>15/05/2026 08:58:45</t>
  </si>
  <si>
    <t>15/05/2026 12:52:34</t>
  </si>
  <si>
    <t>THT240359KGS66Z</t>
  </si>
  <si>
    <t>u***2980338205398</t>
  </si>
  <si>
    <t>พ******  ค**********</t>
  </si>
  <si>
    <t>(+66)063*****61</t>
  </si>
  <si>
    <t>บางน้ำเปรี้ยว</t>
  </si>
  <si>
    <t>1196366815073175103</t>
  </si>
  <si>
    <t>584031579242399621</t>
  </si>
  <si>
    <t>15/05/2026 08:25:19</t>
  </si>
  <si>
    <t>18/05/2026 13:55:31</t>
  </si>
  <si>
    <t>15/05/2026 08:26:58</t>
  </si>
  <si>
    <t>THT711159K46J7Z</t>
  </si>
  <si>
    <t>b***eeraphan</t>
  </si>
  <si>
    <t>D********   J********</t>
  </si>
  <si>
    <t>(+66)081*****25</t>
  </si>
  <si>
    <t>Songkhla</t>
  </si>
  <si>
    <t>Hat Yai</t>
  </si>
  <si>
    <t>1196362456106174341</t>
  </si>
  <si>
    <t>584030896948610934</t>
  </si>
  <si>
    <t>15/05/2026 07:20:54</t>
  </si>
  <si>
    <t>16/05/2026 21:04:19</t>
  </si>
  <si>
    <t>15/05/2026 07:21:34</t>
  </si>
  <si>
    <t>15/05/2026 12:52:13</t>
  </si>
  <si>
    <t>THT013759JUYB3Z</t>
  </si>
  <si>
    <t>u***85239609228611</t>
  </si>
  <si>
    <t>ธ********  ฟ*****</t>
  </si>
  <si>
    <t>(+66)088*****25</t>
  </si>
  <si>
    <t>1196353437003188086</t>
  </si>
  <si>
    <t>584030772781746061</t>
  </si>
  <si>
    <t>17</t>
  </si>
  <si>
    <t>15/05/2026 07:10:04</t>
  </si>
  <si>
    <t>16/05/2026 16:22:19</t>
  </si>
  <si>
    <t>15/05/2026 07:21:35</t>
  </si>
  <si>
    <t>15/05/2026 12:52:14</t>
  </si>
  <si>
    <t>THT011459JUYX3Z</t>
  </si>
  <si>
    <t>8***_lifestyle</t>
  </si>
  <si>
    <t>ผ*************</t>
  </si>
  <si>
    <t>(+66)092*****47</t>
  </si>
  <si>
    <t>บางกอกน้อย</t>
  </si>
  <si>
    <t>*********************************************************************************************************</t>
  </si>
  <si>
    <t>1196352201115404173</t>
  </si>
  <si>
    <t>584030565798806828</t>
  </si>
  <si>
    <t>15/05/2026 06:47:03</t>
  </si>
  <si>
    <t>16/05/2026 18:53:05</t>
  </si>
  <si>
    <t>15/05/2026 06:53:56</t>
  </si>
  <si>
    <t>15/05/2026 12:51:09</t>
  </si>
  <si>
    <t>THT330259K3PV6Z</t>
  </si>
  <si>
    <t>p***atchanattaya</t>
  </si>
  <si>
    <t>เ******** ล**********</t>
  </si>
  <si>
    <t>(+66)098*****84</t>
  </si>
  <si>
    <t>บ้านเขว้า</t>
  </si>
  <si>
    <t>*****************************************************</t>
  </si>
  <si>
    <t>1196350531101951276</t>
  </si>
  <si>
    <t>584030405970920564</t>
  </si>
  <si>
    <t>15/05/2026 06:28:31</t>
  </si>
  <si>
    <t>21/05/2026 19:41:06</t>
  </si>
  <si>
    <t>15/05/2026 06:31:44</t>
  </si>
  <si>
    <t>15/05/2026 12:51:06</t>
  </si>
  <si>
    <t>THT730459K3708Z</t>
  </si>
  <si>
    <t>r***apapondjt</t>
  </si>
  <si>
    <t>ส**** ร******</t>
  </si>
  <si>
    <t>(+66)084*****10</t>
  </si>
  <si>
    <t>ปะเหลียน</t>
  </si>
  <si>
    <t>1196349004849579124</t>
  </si>
  <si>
    <t>584029999830762724</t>
  </si>
  <si>
    <t>15/05/2026 05:32:47</t>
  </si>
  <si>
    <t>18/05/2026 15:49:55</t>
  </si>
  <si>
    <t>15/05/2026 05:36:36</t>
  </si>
  <si>
    <t>15/05/2026 12:50:59</t>
  </si>
  <si>
    <t>THT690159K25F4Z</t>
  </si>
  <si>
    <t>m***320</t>
  </si>
  <si>
    <t>ช*******  ห********** 3** ซ** ถ********* ต***********  อ******</t>
  </si>
  <si>
    <t>(+66)061*****68</t>
  </si>
  <si>
    <t>1196346367645615332</t>
  </si>
  <si>
    <t>584029491735267262</t>
  </si>
  <si>
    <t>134</t>
  </si>
  <si>
    <t>15/05/2026 03:10:00</t>
  </si>
  <si>
    <t>16/05/2026 18:20:17</t>
  </si>
  <si>
    <t>15/05/2026 03:11:16</t>
  </si>
  <si>
    <t>15/05/2026 12:49:46</t>
  </si>
  <si>
    <t>THT013659JRH29Z</t>
  </si>
  <si>
    <t>g***ift23</t>
  </si>
  <si>
    <t>g********</t>
  </si>
  <si>
    <t>(+66)855****45</t>
  </si>
  <si>
    <t>ยานนาวา</t>
  </si>
  <si>
    <t>1196342699552769982</t>
  </si>
  <si>
    <t>584028867089696243</t>
  </si>
  <si>
    <t>15/05/2026 00:37:51</t>
  </si>
  <si>
    <t>15/05/2026 00:37:58</t>
  </si>
  <si>
    <t>15/05/2026 00:41:31</t>
  </si>
  <si>
    <t>15/05/2026 12:48:33</t>
  </si>
  <si>
    <t>17/05/2026 17:39:29</t>
  </si>
  <si>
    <t>THT530659JP7D9Z</t>
  </si>
  <si>
    <t>m***angsirivan</t>
  </si>
  <si>
    <t>ศ******** ท********</t>
  </si>
  <si>
    <t>(+66)956****99</t>
  </si>
  <si>
    <t>พะเยา</t>
  </si>
  <si>
    <t>ดอกคำใต้</t>
  </si>
  <si>
    <t>1196338628374988275</t>
  </si>
  <si>
    <t>584024247521085243</t>
  </si>
  <si>
    <t>14/05/2026 18:53:38</t>
  </si>
  <si>
    <t>17/05/2026 10:11:51</t>
  </si>
  <si>
    <t>14/05/2026 19:06:32</t>
  </si>
  <si>
    <t>15/05/2026 12:50:58</t>
  </si>
  <si>
    <t>THT400559J9X01Z</t>
  </si>
  <si>
    <t>u***32721415903883</t>
  </si>
  <si>
    <t>(+66)817****58</t>
  </si>
  <si>
    <t>เมืองหนองคาย</t>
  </si>
  <si>
    <t>1196316666742409019</t>
  </si>
  <si>
    <t>584014359787701265</t>
  </si>
  <si>
    <t>14/05/2026 17:34:12</t>
  </si>
  <si>
    <t>14/05/2026 17:36:29</t>
  </si>
  <si>
    <t>15/05/2026 12:49:42</t>
  </si>
  <si>
    <t>17/05/2026 15:48:43</t>
  </si>
  <si>
    <t>THT751059JHHG0Z</t>
  </si>
  <si>
    <t>r***iiii.__</t>
  </si>
  <si>
    <t xml:space="preserve">ร**** ย******* </t>
  </si>
  <si>
    <t>(+66)065*****67</t>
  </si>
  <si>
    <t>1196309159248823313</t>
  </si>
  <si>
    <t>584022196296516885</t>
  </si>
  <si>
    <t>14/05/2026 16:32:13</t>
  </si>
  <si>
    <t>14/05/2026 16:32:12</t>
  </si>
  <si>
    <t>14/05/2026 16:36:38</t>
  </si>
  <si>
    <t>17/05/2026 16:15:12</t>
  </si>
  <si>
    <t>THT540559J5D39Z</t>
  </si>
  <si>
    <t>a***ggggg07</t>
  </si>
  <si>
    <t>ว******* ล***</t>
  </si>
  <si>
    <t>(+66)957****22</t>
  </si>
  <si>
    <t>พาน</t>
  </si>
  <si>
    <t>*********************************</t>
  </si>
  <si>
    <t>1196303621359240469</t>
  </si>
  <si>
    <t>584022196105742332</t>
  </si>
  <si>
    <t>14/05/2026 16:27:19</t>
  </si>
  <si>
    <t>14/05/2026 16:32:20</t>
  </si>
  <si>
    <t>15/05/2026 12:50:47</t>
  </si>
  <si>
    <t>17/05/2026 20:45:53</t>
  </si>
  <si>
    <t>THT310159JFCB0Z</t>
  </si>
  <si>
    <t>n***0431w26</t>
  </si>
  <si>
    <t>แ*****************</t>
  </si>
  <si>
    <t>(+66)926****98</t>
  </si>
  <si>
    <t>***********************************************************************************</t>
  </si>
  <si>
    <t>*****************************************************************************************************************</t>
  </si>
  <si>
    <t>1196302013018245116</t>
  </si>
  <si>
    <t>584022005659108369</t>
  </si>
  <si>
    <t>14/05/2026 16:18:12</t>
  </si>
  <si>
    <t>14/05/2026 16:21:41</t>
  </si>
  <si>
    <t>15/05/2026 12:49:39</t>
  </si>
  <si>
    <t>17/05/2026 15:14:07</t>
  </si>
  <si>
    <t>THT190359J54A3Z</t>
  </si>
  <si>
    <t>p***a.nr</t>
  </si>
  <si>
    <t>น**********</t>
  </si>
  <si>
    <t>(+66)065*****87</t>
  </si>
  <si>
    <t>ทับสะแก</t>
  </si>
  <si>
    <t>1196301168388834321</t>
  </si>
  <si>
    <t>584022060293981933</t>
  </si>
  <si>
    <t>14/05/2026 16:07:36</t>
  </si>
  <si>
    <t>16/05/2026 11:37:25</t>
  </si>
  <si>
    <t>14/05/2026 16:11:34</t>
  </si>
  <si>
    <t>15/05/2026 12:52:23</t>
  </si>
  <si>
    <t>THT010459JEHZ8Z</t>
  </si>
  <si>
    <t>u***774456134968</t>
  </si>
  <si>
    <t>(+66)089*****06</t>
  </si>
  <si>
    <t>คันนายาว</t>
  </si>
  <si>
    <t>1196299289624217325</t>
  </si>
  <si>
    <t>584021826181039524</t>
  </si>
  <si>
    <t>14/05/2026 16:05:13</t>
  </si>
  <si>
    <t>14/05/2026 16:06:47</t>
  </si>
  <si>
    <t>16/05/2026 10:33:11</t>
  </si>
  <si>
    <t>THT070159JEDN0Z</t>
  </si>
  <si>
    <t>p***80</t>
  </si>
  <si>
    <t>บ******* ใ*********</t>
  </si>
  <si>
    <t>(+66)087*****03</t>
  </si>
  <si>
    <t>ลพบุรี</t>
  </si>
  <si>
    <t>เมืองลพบุรี</t>
  </si>
  <si>
    <t>1196299628252595620</t>
  </si>
  <si>
    <t>584021991172441166</t>
  </si>
  <si>
    <t>14/05/2026 15:54:06</t>
  </si>
  <si>
    <t>14/05/2026 15:54:08</t>
  </si>
  <si>
    <t>14/05/2026 15:56:35</t>
  </si>
  <si>
    <t>15/05/2026 12:49:55</t>
  </si>
  <si>
    <t>16/05/2026 12:59:32</t>
  </si>
  <si>
    <t>THT040259JE2J4Z</t>
  </si>
  <si>
    <t>a***31032526</t>
  </si>
  <si>
    <t>อ****** ค******</t>
  </si>
  <si>
    <t>(+66)980****56</t>
  </si>
  <si>
    <t>PayLater + TikTok Shop Balance</t>
  </si>
  <si>
    <t>1196298506288268366</t>
  </si>
  <si>
    <t>584021694611686447</t>
  </si>
  <si>
    <t>90</t>
  </si>
  <si>
    <t>149</t>
  </si>
  <si>
    <t>14/05/2026 15:35:13</t>
  </si>
  <si>
    <t>14/05/2026 15:35:19</t>
  </si>
  <si>
    <t>14/05/2026 15:36:49</t>
  </si>
  <si>
    <t>15/05/2026 12:52:17</t>
  </si>
  <si>
    <t>16/05/2026 11:48:23</t>
  </si>
  <si>
    <t>THT240159JDC72Z</t>
  </si>
  <si>
    <t>b***ee_firoz</t>
  </si>
  <si>
    <t>น****** ม********</t>
  </si>
  <si>
    <t>(+66)082*****01</t>
  </si>
  <si>
    <t>เมืองฉะเชิงเทรา</t>
  </si>
  <si>
    <t>1196296320868320303</t>
  </si>
  <si>
    <t>584014355442271620</t>
  </si>
  <si>
    <t>14/05/2026 15:30:11</t>
  </si>
  <si>
    <t>14/05/2026 15:32:04</t>
  </si>
  <si>
    <t>15/05/2026 12:49:43</t>
  </si>
  <si>
    <t>17/05/2026 12:41:43</t>
  </si>
  <si>
    <t>THT650159J3AB9Z</t>
  </si>
  <si>
    <t>o***adaa</t>
  </si>
  <si>
    <t>น*********** ข******</t>
  </si>
  <si>
    <t>(+66)842****19</t>
  </si>
  <si>
    <t>เมืองกระบี่</t>
  </si>
  <si>
    <t>1196295892997408132</t>
  </si>
  <si>
    <t>584020921670992901</t>
  </si>
  <si>
    <t>14/05/2026 14:36:52</t>
  </si>
  <si>
    <t>17/05/2026 16:01:58</t>
  </si>
  <si>
    <t>14/05/2026 14:41:44</t>
  </si>
  <si>
    <t>14/05/2026 17:19:14</t>
  </si>
  <si>
    <t>THT150159J1DS7Z</t>
  </si>
  <si>
    <t>u***834078149216</t>
  </si>
  <si>
    <t>ก**** จ**********</t>
  </si>
  <si>
    <t>(+66)092*****45</t>
  </si>
  <si>
    <t>1196289303091971077</t>
  </si>
  <si>
    <t>584020685576176656</t>
  </si>
  <si>
    <t>14/05/2026 14:31:13</t>
  </si>
  <si>
    <t>14/05/2026 14:31:56</t>
  </si>
  <si>
    <t>14/05/2026 17:18:02</t>
  </si>
  <si>
    <t>15/05/2026 13:40:35</t>
  </si>
  <si>
    <t>THT210159JAS72Z</t>
  </si>
  <si>
    <t>t***imana</t>
  </si>
  <si>
    <t>ฐ***** พ*******</t>
  </si>
  <si>
    <t>(+66)834****31</t>
  </si>
  <si>
    <t>1196288461284410384</t>
  </si>
  <si>
    <t>584014347997054037</t>
  </si>
  <si>
    <t>14/05/2026 11:43:11</t>
  </si>
  <si>
    <t>14/05/2026 11:47:12</t>
  </si>
  <si>
    <t>14/05/2026 17:25:41</t>
  </si>
  <si>
    <t>17/05/2026 13:05:31</t>
  </si>
  <si>
    <t>THT210859HZ7Q0Z</t>
  </si>
  <si>
    <t>t***hop2209</t>
  </si>
  <si>
    <t>ไ**** พ*******</t>
  </si>
  <si>
    <t>(+66)924****24</t>
  </si>
  <si>
    <t>นิคมพัฒนา</t>
  </si>
  <si>
    <t>1196268146886935637</t>
  </si>
  <si>
    <t>584017659294483847</t>
  </si>
  <si>
    <t>14/05/2026 10:49:17</t>
  </si>
  <si>
    <t>17/05/2026 14:15:37</t>
  </si>
  <si>
    <t>14/05/2026 10:53:18</t>
  </si>
  <si>
    <t>14/05/2026 17:19:23</t>
  </si>
  <si>
    <t>THT100359HV4Z4Z</t>
  </si>
  <si>
    <t>u***9433815679230</t>
  </si>
  <si>
    <t>ส*** ม*********</t>
  </si>
  <si>
    <t>(+66)981****74</t>
  </si>
  <si>
    <t>1196261676800378247</t>
  </si>
  <si>
    <t>584016788509263692</t>
  </si>
  <si>
    <t>14/05/2026 09:40:55</t>
  </si>
  <si>
    <t>15/05/2026 17:35:06</t>
  </si>
  <si>
    <t>14/05/2026 09:43:06</t>
  </si>
  <si>
    <t>14/05/2026 17:19:21</t>
  </si>
  <si>
    <t>THT030359HQFH4Z</t>
  </si>
  <si>
    <t>t***thai_7896</t>
  </si>
  <si>
    <t>ช***** ท*****</t>
  </si>
  <si>
    <t>(+66)081*****53</t>
  </si>
  <si>
    <t>****************************************************************</t>
  </si>
  <si>
    <t>1196253680328214348</t>
  </si>
  <si>
    <t>584014868705674298</t>
  </si>
  <si>
    <t>14/05/2026 06:52:35</t>
  </si>
  <si>
    <t>14/05/2026 06:53:07</t>
  </si>
  <si>
    <t>14/05/2026 06:56:23</t>
  </si>
  <si>
    <t>14/05/2026 17:17:19</t>
  </si>
  <si>
    <t>15/05/2026 14:37:14</t>
  </si>
  <si>
    <t>THT130859H3NT8Z</t>
  </si>
  <si>
    <t>m***ira.supakitpa</t>
  </si>
  <si>
    <t>ม***** ศ**********</t>
  </si>
  <si>
    <t>เมืองกาญจนบุรี</t>
  </si>
  <si>
    <t>1196234116141777978</t>
  </si>
  <si>
    <t>584014816356894387</t>
  </si>
  <si>
    <t>14/05/2026 06:44:11</t>
  </si>
  <si>
    <t>15/05/2026 18:11:31</t>
  </si>
  <si>
    <t>14/05/2026 06:46:41</t>
  </si>
  <si>
    <t>14/05/2026 17:17:09</t>
  </si>
  <si>
    <t>THT220359H3A72Z</t>
  </si>
  <si>
    <t>p***an987</t>
  </si>
  <si>
    <t>จ****** จ*******</t>
  </si>
  <si>
    <t>(+66)852****34</t>
  </si>
  <si>
    <t>ท่าใหม่</t>
  </si>
  <si>
    <t>1196233585083582131</t>
  </si>
  <si>
    <t>584014656557057451</t>
  </si>
  <si>
    <t>14/05/2026 06:25:59</t>
  </si>
  <si>
    <t>15/05/2026 10:22:51</t>
  </si>
  <si>
    <t>14/05/2026 06:26:07</t>
  </si>
  <si>
    <t>14/05/2026 17:17:06</t>
  </si>
  <si>
    <t>THT010959H2XE6Z</t>
  </si>
  <si>
    <t>p***e00489</t>
  </si>
  <si>
    <t>น********* เ************</t>
  </si>
  <si>
    <t>(+66)634****55</t>
  </si>
  <si>
    <t>*************************************************************************************************************</t>
  </si>
  <si>
    <t>1196232518533547435</t>
  </si>
  <si>
    <t>584014564042048643</t>
  </si>
  <si>
    <t>14/05/2026 06:14:27</t>
  </si>
  <si>
    <t>14/05/2026 06:14:42</t>
  </si>
  <si>
    <t>14/05/2026 06:21:10</t>
  </si>
  <si>
    <t>14/05/2026 17:17:51</t>
  </si>
  <si>
    <t>15/05/2026 13:39:21</t>
  </si>
  <si>
    <t>THT030459GSNH9Z</t>
  </si>
  <si>
    <t>u***4936191877340</t>
  </si>
  <si>
    <t>ว*** ร********</t>
  </si>
  <si>
    <t>(+66)098*****63</t>
  </si>
  <si>
    <t>1196231921705190531</t>
  </si>
  <si>
    <t>584014537602008520</t>
  </si>
  <si>
    <t>14/05/2026 06:09:29</t>
  </si>
  <si>
    <t>14/05/2026 06:09:34</t>
  </si>
  <si>
    <t>14/05/2026 06:11:14</t>
  </si>
  <si>
    <t>14/05/2026 17:16:47</t>
  </si>
  <si>
    <t>15/05/2026 11:44:52</t>
  </si>
  <si>
    <t>THT014159H2AH2Z</t>
  </si>
  <si>
    <t>c***87072</t>
  </si>
  <si>
    <t>ธ****** ป********</t>
  </si>
  <si>
    <t>(+66)098*****37</t>
  </si>
  <si>
    <t>1196231581315466696</t>
  </si>
  <si>
    <t>584014386739315727</t>
  </si>
  <si>
    <t>14/05/2026 05:45:36</t>
  </si>
  <si>
    <t>15/05/2026 23:12:44</t>
  </si>
  <si>
    <t>14/05/2026 05:47:02</t>
  </si>
  <si>
    <t>14/05/2026 17:16:44</t>
  </si>
  <si>
    <t>THT272159GRMA9Z</t>
  </si>
  <si>
    <t>k***inaim</t>
  </si>
  <si>
    <t>ส***** บ********</t>
  </si>
  <si>
    <t>(+66)081*****90</t>
  </si>
  <si>
    <t>1196230541470041103</t>
  </si>
  <si>
    <t>584014306202584832</t>
  </si>
  <si>
    <t>14/05/2026 05:38:35</t>
  </si>
  <si>
    <t>15/05/2026 09:26:00</t>
  </si>
  <si>
    <t>14/05/2026 05:41:32</t>
  </si>
  <si>
    <t>14/05/2026 17:17:23</t>
  </si>
  <si>
    <t>THT050159GRSK1Z</t>
  </si>
  <si>
    <t>p***2270</t>
  </si>
  <si>
    <t>น********** อ******</t>
  </si>
  <si>
    <t>(+66)092*****93</t>
  </si>
  <si>
    <t>1196230297854969600</t>
  </si>
  <si>
    <t>584014089416049759</t>
  </si>
  <si>
    <t>14/05/2026 04:50:04</t>
  </si>
  <si>
    <t>14/05/2026 04:50:05</t>
  </si>
  <si>
    <t>14/05/2026 05:01:13</t>
  </si>
  <si>
    <t>15/05/2026 12:52:09</t>
  </si>
  <si>
    <t>THT200259H13X0Z</t>
  </si>
  <si>
    <t>w***ipornwasingh2</t>
  </si>
  <si>
    <t>ว******  ว******</t>
  </si>
  <si>
    <t>(+66)089*****30</t>
  </si>
  <si>
    <t>1196228628616873055</t>
  </si>
  <si>
    <t>584013954375386887</t>
  </si>
  <si>
    <t>14/05/2026 04:11:48</t>
  </si>
  <si>
    <t>15/05/2026 10:25:53</t>
  </si>
  <si>
    <t>14/05/2026 04:21:06</t>
  </si>
  <si>
    <t>14/05/2026 17:16:52</t>
  </si>
  <si>
    <t>THT030159H1HZ6Z</t>
  </si>
  <si>
    <t>u***6197428613146</t>
  </si>
  <si>
    <t>น****** ศ*****</t>
  </si>
  <si>
    <t>(+66)816****39</t>
  </si>
  <si>
    <t>1196227778359625479</t>
  </si>
  <si>
    <t>584012373399798920</t>
  </si>
  <si>
    <t>116</t>
  </si>
  <si>
    <t>13/05/2026 23:09:15</t>
  </si>
  <si>
    <t>13/05/2026 23:09:32</t>
  </si>
  <si>
    <t>13/05/2026 23:11:17</t>
  </si>
  <si>
    <t>14/05/2026 17:17:59</t>
  </si>
  <si>
    <t>15/05/2026 12:06:56</t>
  </si>
  <si>
    <t>THT014059GUGX6Z</t>
  </si>
  <si>
    <t>d***__abby</t>
  </si>
  <si>
    <t>D*******</t>
  </si>
  <si>
    <t>(+66)855****25</t>
  </si>
  <si>
    <t>Lat Phrao</t>
  </si>
  <si>
    <t>1196217818926449800</t>
  </si>
  <si>
    <t>117</t>
  </si>
  <si>
    <t>584007543035037493</t>
  </si>
  <si>
    <t>13/05/2026 18:13:10</t>
  </si>
  <si>
    <t>13/05/2026 18:15:52</t>
  </si>
  <si>
    <t>14/05/2026 17:17:49</t>
  </si>
  <si>
    <t>16/05/2026 15:14:30</t>
  </si>
  <si>
    <t>THT300459GGV44Z</t>
  </si>
  <si>
    <t>m***hinn</t>
  </si>
  <si>
    <t>ช******* ว********</t>
  </si>
  <si>
    <t>(+66)945****70</t>
  </si>
  <si>
    <t>ศรีสะเกษ</t>
  </si>
  <si>
    <t>ขุขันธ์</t>
  </si>
  <si>
    <t>1196195133189228341</t>
  </si>
  <si>
    <t>584007436486280335</t>
  </si>
  <si>
    <t>13/05/2026 17:30:54</t>
  </si>
  <si>
    <t>16/05/2026 16:25:56</t>
  </si>
  <si>
    <t>13/05/2026 17:31:55</t>
  </si>
  <si>
    <t>14/05/2026 17:16:39</t>
  </si>
  <si>
    <t>THT540459G4XT7Z</t>
  </si>
  <si>
    <t>n***a5544</t>
  </si>
  <si>
    <t>อ**** ว********</t>
  </si>
  <si>
    <t>(+66)081*****04</t>
  </si>
  <si>
    <t>เทิง</t>
  </si>
  <si>
    <t>1196190679989978255</t>
  </si>
  <si>
    <t>583998067292079579</t>
  </si>
  <si>
    <t>13/05/2026 16:21:13</t>
  </si>
  <si>
    <t>13/05/2026 16:26:42</t>
  </si>
  <si>
    <t>14/05/2026 17:19:11</t>
  </si>
  <si>
    <t>16/05/2026 18:31:48</t>
  </si>
  <si>
    <t>THT471459G2UJ5Z</t>
  </si>
  <si>
    <t>p***rsue1</t>
  </si>
  <si>
    <t>P**** s**</t>
  </si>
  <si>
    <t>(+66)620****12</t>
  </si>
  <si>
    <t>สันทราย</t>
  </si>
  <si>
    <t>1196183089376363995</t>
  </si>
  <si>
    <t>584006549306967385</t>
  </si>
  <si>
    <t>13/05/2026 16:18:17</t>
  </si>
  <si>
    <t>13/05/2026 16:18:19</t>
  </si>
  <si>
    <t>13/05/2026 16:21:29</t>
  </si>
  <si>
    <t>14/05/2026 17:17:41</t>
  </si>
  <si>
    <t>15/05/2026 09:33:53</t>
  </si>
  <si>
    <t>THT010559GDJM2Z</t>
  </si>
  <si>
    <t>m***..mildlove</t>
  </si>
  <si>
    <t>ม****</t>
  </si>
  <si>
    <t>(+66)828****80</t>
  </si>
  <si>
    <t>จตุจักร</t>
  </si>
  <si>
    <t>1196182567436518745</t>
  </si>
  <si>
    <t>584006468933879580</t>
  </si>
  <si>
    <t>13/05/2026 16:13:03</t>
  </si>
  <si>
    <t>16/05/2026 16:41:40</t>
  </si>
  <si>
    <t>13/05/2026 16:16:53</t>
  </si>
  <si>
    <t>14/05/2026 17:17:11</t>
  </si>
  <si>
    <t>THT720159GD9M6Z</t>
  </si>
  <si>
    <t>p***699</t>
  </si>
  <si>
    <t>A***** P*******</t>
  </si>
  <si>
    <t>(+66)984****99</t>
  </si>
  <si>
    <t>1196182262453077788</t>
  </si>
  <si>
    <t>584006216213955601</t>
  </si>
  <si>
    <t>13/05/2026 15:58:14</t>
  </si>
  <si>
    <t>13/05/2026 15:58:13</t>
  </si>
  <si>
    <t>13/05/2026 16:11:23</t>
  </si>
  <si>
    <t>14/05/2026 17:19:48</t>
  </si>
  <si>
    <t>15/05/2026 11:12:49</t>
  </si>
  <si>
    <t>THT270159GDDD4Z</t>
  </si>
  <si>
    <t>a***nnnnnnno2</t>
  </si>
  <si>
    <t>น*******</t>
  </si>
  <si>
    <t>(+66)621****25</t>
  </si>
  <si>
    <t>1196180194547303441</t>
  </si>
  <si>
    <t>583998064074393064</t>
  </si>
  <si>
    <t>13/05/2026 15:11:11</t>
  </si>
  <si>
    <t>13/05/2026 15:17:07</t>
  </si>
  <si>
    <t>14/05/2026 17:19:41</t>
  </si>
  <si>
    <t>15/05/2026 13:39:07</t>
  </si>
  <si>
    <t>THT560959GB4J6Z</t>
  </si>
  <si>
    <t>p***loy124</t>
  </si>
  <si>
    <t>ก**** ศ******</t>
  </si>
  <si>
    <t>(+66)835****97</t>
  </si>
  <si>
    <t>ไพศาลี</t>
  </si>
  <si>
    <t>1196175525638800872</t>
  </si>
  <si>
    <t>583998063384364920</t>
  </si>
  <si>
    <t>13/05/2026 14:57:24</t>
  </si>
  <si>
    <t>13/05/2026 15:01:31</t>
  </si>
  <si>
    <t>14/05/2026 17:17:35</t>
  </si>
  <si>
    <t>16/05/2026 16:44:17</t>
  </si>
  <si>
    <t>THT390159FZD07Z</t>
  </si>
  <si>
    <t>i***x2828</t>
  </si>
  <si>
    <t>I****</t>
  </si>
  <si>
    <t>(+66)807****13</t>
  </si>
  <si>
    <t>เมืองเลย</t>
  </si>
  <si>
    <t>*************************************************************************************************</t>
  </si>
  <si>
    <t>1196173296690825080</t>
  </si>
  <si>
    <t>584004615210239671</t>
  </si>
  <si>
    <t>210.32</t>
  </si>
  <si>
    <t>13/05/2026 13:50:40</t>
  </si>
  <si>
    <t>15/05/2026 14:15:12</t>
  </si>
  <si>
    <t>13/05/2026 13:52:13</t>
  </si>
  <si>
    <t>13/05/2026 17:09:50</t>
  </si>
  <si>
    <t>THT470159G7AB4Z</t>
  </si>
  <si>
    <t>2***287107</t>
  </si>
  <si>
    <t>พ******</t>
  </si>
  <si>
    <t>(+66)094*****64</t>
  </si>
  <si>
    <t>1196164312316413623</t>
  </si>
  <si>
    <t>583998058524804701</t>
  </si>
  <si>
    <t>13/05/2026 13:28:16</t>
  </si>
  <si>
    <t>13/05/2026 13:41:41</t>
  </si>
  <si>
    <t>13/05/2026 17:09:45</t>
  </si>
  <si>
    <t>14/05/2026 15:19:18</t>
  </si>
  <si>
    <t>THT200759G6QU0Z</t>
  </si>
  <si>
    <t>2***1.pang</t>
  </si>
  <si>
    <t>แ***</t>
  </si>
  <si>
    <t>(+66)652****31</t>
  </si>
  <si>
    <t>1196163278016972381</t>
  </si>
  <si>
    <t>583998669908575541</t>
  </si>
  <si>
    <t>13/05/2026 05:13:33</t>
  </si>
  <si>
    <t>14/05/2026 13:29:31</t>
  </si>
  <si>
    <t>13/05/2026 05:16:41</t>
  </si>
  <si>
    <t>13/05/2026 11:47:53</t>
  </si>
  <si>
    <t>THT210659ENGW7Z</t>
  </si>
  <si>
    <t>s***ah1123</t>
  </si>
  <si>
    <t>ร******</t>
  </si>
  <si>
    <t>(+66)095*****97</t>
  </si>
  <si>
    <t>ปลวกแดง</t>
  </si>
  <si>
    <t>1196109365813740853</t>
  </si>
  <si>
    <t>583998506263348937</t>
  </si>
  <si>
    <t>85.85</t>
  </si>
  <si>
    <t>153.15</t>
  </si>
  <si>
    <t>13/05/2026 04:31:14</t>
  </si>
  <si>
    <t>14/05/2026 12:48:23</t>
  </si>
  <si>
    <t>13/05/2026 04:31:41</t>
  </si>
  <si>
    <t>13/05/2026 11:48:02</t>
  </si>
  <si>
    <t>THT100959EN5H3Z</t>
  </si>
  <si>
    <t>m***mee688</t>
  </si>
  <si>
    <t>ภ*** พ********</t>
  </si>
  <si>
    <t>(+66)969****16</t>
  </si>
  <si>
    <t>พระพุทธบาท</t>
  </si>
  <si>
    <t>1196108178125391561</t>
  </si>
  <si>
    <t>583997683484427553</t>
  </si>
  <si>
    <t>138</t>
  </si>
  <si>
    <t>28.57</t>
  </si>
  <si>
    <t>109.43</t>
  </si>
  <si>
    <t>13/05/2026 00:44:03</t>
  </si>
  <si>
    <t>13/05/2026 00:57:05</t>
  </si>
  <si>
    <t>13/05/2026 01:01:24</t>
  </si>
  <si>
    <t>13/05/2026 11:48:00</t>
  </si>
  <si>
    <t>14/05/2026 12:27:08</t>
  </si>
  <si>
    <t>THT070159EJY77Z</t>
  </si>
  <si>
    <t>2***warakorn</t>
  </si>
  <si>
    <t>A**</t>
  </si>
  <si>
    <t>(+66)954****58</t>
  </si>
  <si>
    <t>1196103037113566497</t>
  </si>
  <si>
    <t>583992093498115942</t>
  </si>
  <si>
    <t>12/05/2026 18:14:12</t>
  </si>
  <si>
    <t>12/05/2026 18:17:12</t>
  </si>
  <si>
    <t>13/05/2026 11:48:09</t>
  </si>
  <si>
    <t>14/05/2026 14:39:29</t>
  </si>
  <si>
    <t>THT013859E2UY5Z</t>
  </si>
  <si>
    <t>w***e_</t>
  </si>
  <si>
    <t>(+66)061*****86</t>
  </si>
  <si>
    <t>ราษฎร์บูรณะ</t>
  </si>
  <si>
    <t>1196075837197616998</t>
  </si>
  <si>
    <t>583992093494773502</t>
  </si>
  <si>
    <t>12/05/2026 18:14:10</t>
  </si>
  <si>
    <t>12/05/2026 18:16:32</t>
  </si>
  <si>
    <t>13/05/2026 11:47:49</t>
  </si>
  <si>
    <t>15/05/2026 12:58:38</t>
  </si>
  <si>
    <t>THT400559EEF38Z</t>
  </si>
  <si>
    <t>m***iverpool96</t>
  </si>
  <si>
    <t>น************ จ********* - O** เ***</t>
  </si>
  <si>
    <t>(+66)955****02</t>
  </si>
  <si>
    <t>1196075470057277182</t>
  </si>
  <si>
    <t>583991653712037780</t>
  </si>
  <si>
    <t>12/05/2026 17:21:13</t>
  </si>
  <si>
    <t>12/05/2026 17:36:41</t>
  </si>
  <si>
    <t>13/05/2026 11:47:45</t>
  </si>
  <si>
    <t>14/05/2026 14:46:00</t>
  </si>
  <si>
    <t>THT014959EDJA6Z</t>
  </si>
  <si>
    <t>o***_phannipha08</t>
  </si>
  <si>
    <t>พ****** อ**************</t>
  </si>
  <si>
    <t>(+66)990****99</t>
  </si>
  <si>
    <t>หนองจอก</t>
  </si>
  <si>
    <t>1196070503742932884</t>
  </si>
  <si>
    <t>583991653480956977</t>
  </si>
  <si>
    <t>12/05/2026 17:15:12</t>
  </si>
  <si>
    <t>12/05/2026 17:15:11</t>
  </si>
  <si>
    <t>12/05/2026 17:16:48</t>
  </si>
  <si>
    <t>13/05/2026 11:47:48</t>
  </si>
  <si>
    <t>15/05/2026 13:29:50</t>
  </si>
  <si>
    <t>THT310159ECY76Z</t>
  </si>
  <si>
    <t>k***ai40</t>
  </si>
  <si>
    <t>ท***** ท*******</t>
  </si>
  <si>
    <t>(+66)096*****69</t>
  </si>
  <si>
    <t>1196069717252539441</t>
  </si>
  <si>
    <t>583991481232294927</t>
  </si>
  <si>
    <t>12/05/2026 17:02:11</t>
  </si>
  <si>
    <t>12/05/2026 17:06:42</t>
  </si>
  <si>
    <t>13/05/2026 11:48:12</t>
  </si>
  <si>
    <t>17/05/2026 12:33:22</t>
  </si>
  <si>
    <t>THT590659ECN44Z</t>
  </si>
  <si>
    <t>p***_pky01</t>
  </si>
  <si>
    <t>น************** อ*****</t>
  </si>
  <si>
    <t>(+66)086*****99</t>
  </si>
  <si>
    <t>1196068385728070671</t>
  </si>
  <si>
    <t>583991153465656975</t>
  </si>
  <si>
    <t>12/05/2026 16:32:22</t>
  </si>
  <si>
    <t>12/05/2026 16:36:47</t>
  </si>
  <si>
    <t>13/05/2026 11:47:46</t>
  </si>
  <si>
    <t>14/05/2026 15:28:39</t>
  </si>
  <si>
    <t>THT030359E00R7Z</t>
  </si>
  <si>
    <t>s***tana13</t>
  </si>
  <si>
    <t>ธ******</t>
  </si>
  <si>
    <t>(+66)061*****69</t>
  </si>
  <si>
    <t>1196065591744956047</t>
  </si>
  <si>
    <t>583990972619065081</t>
  </si>
  <si>
    <t>12/05/2026 16:19:19</t>
  </si>
  <si>
    <t>12/05/2026 16:21:23</t>
  </si>
  <si>
    <t>13/05/2026 11:47:51</t>
  </si>
  <si>
    <t>14/05/2026 12:23:52</t>
  </si>
  <si>
    <t>THT200459DZSP7Z</t>
  </si>
  <si>
    <t>p***ai_reviews</t>
  </si>
  <si>
    <t>ม***** อ**********</t>
  </si>
  <si>
    <t>(+66)932****96</t>
  </si>
  <si>
    <t>1196063973909563129</t>
  </si>
  <si>
    <t>583990393306645522</t>
  </si>
  <si>
    <t>12/05/2026 15:38:13</t>
  </si>
  <si>
    <t>12/05/2026 15:51:33</t>
  </si>
  <si>
    <t>13/05/2026 11:48:08</t>
  </si>
  <si>
    <t>15/05/2026 11:35:34</t>
  </si>
  <si>
    <t>THT470559DY5G5Z</t>
  </si>
  <si>
    <t>s***butty</t>
  </si>
  <si>
    <t>K******</t>
  </si>
  <si>
    <t>(+66)636****42</t>
  </si>
  <si>
    <t>ดอยสะเก็ด</t>
  </si>
  <si>
    <t>1196059612415951890</t>
  </si>
  <si>
    <t>583990092241667449</t>
  </si>
  <si>
    <t>12/05/2026 15:18:17</t>
  </si>
  <si>
    <t>12/05/2026 15:18:16</t>
  </si>
  <si>
    <t>12/05/2026 15:21:47</t>
  </si>
  <si>
    <t>15/05/2026 12:21:44</t>
  </si>
  <si>
    <t>THT450559E8R86Z</t>
  </si>
  <si>
    <t>p***momi</t>
  </si>
  <si>
    <t>พ***** ก********</t>
  </si>
  <si>
    <t>(+66)081*****42</t>
  </si>
  <si>
    <t>1196056454804768121</t>
  </si>
  <si>
    <t>583990141612623413</t>
  </si>
  <si>
    <t>12/05/2026 15:17:10</t>
  </si>
  <si>
    <t>13/05/2026 11:48:11</t>
  </si>
  <si>
    <t>14/05/2026 17:27:19</t>
  </si>
  <si>
    <t>THT010559E8R88Z</t>
  </si>
  <si>
    <t>m***ukjaii</t>
  </si>
  <si>
    <t>ศ***** ส*********</t>
  </si>
  <si>
    <t>(+66)653****26</t>
  </si>
  <si>
    <t>**************************************************************************************</t>
  </si>
  <si>
    <t>1196056665403721269</t>
  </si>
  <si>
    <t>583989351750534512</t>
  </si>
  <si>
    <t>12/05/2026 14:33:14</t>
  </si>
  <si>
    <t>12/05/2026 14:36:54</t>
  </si>
  <si>
    <t>12/05/2026 15:57:36</t>
  </si>
  <si>
    <t>13/05/2026 11:39:40</t>
  </si>
  <si>
    <t>THT011759E6QW6Z</t>
  </si>
  <si>
    <t>n***ngsaksaisaart92</t>
  </si>
  <si>
    <t>ณ********** ใ******</t>
  </si>
  <si>
    <t>(+66)061*****51</t>
  </si>
  <si>
    <t>1196051651808953712</t>
  </si>
  <si>
    <t>583989137266214655</t>
  </si>
  <si>
    <t>12/05/2026 14:09:10</t>
  </si>
  <si>
    <t>12/05/2026 14:11:30</t>
  </si>
  <si>
    <t>12/05/2026 15:57:39</t>
  </si>
  <si>
    <t>13/05/2026 13:02:05</t>
  </si>
  <si>
    <t>THT270159DTRG3Z</t>
  </si>
  <si>
    <t>m***tory_2000</t>
  </si>
  <si>
    <t>เ**** เ***********</t>
  </si>
  <si>
    <t>(+66)065*****39</t>
  </si>
  <si>
    <t>1196047979629807359</t>
  </si>
  <si>
    <t>583988432151807029</t>
  </si>
  <si>
    <t>12/05/2026 13:17:22</t>
  </si>
  <si>
    <t>12/05/2026 13:22:21</t>
  </si>
  <si>
    <t>12/05/2026 15:57:30</t>
  </si>
  <si>
    <t>13/05/2026 12:03:06</t>
  </si>
  <si>
    <t>THT020159DR8B3Z</t>
  </si>
  <si>
    <t>p***ya1205</t>
  </si>
  <si>
    <t>ป**</t>
  </si>
  <si>
    <t>1196041685333214261</t>
  </si>
  <si>
    <t>583987194636698849</t>
  </si>
  <si>
    <t>12/05/2026 12:06:18</t>
  </si>
  <si>
    <t>12/05/2026 12:07:05</t>
  </si>
  <si>
    <t>12/05/2026 15:00:43</t>
  </si>
  <si>
    <t>14/05/2026 15:29:48</t>
  </si>
  <si>
    <t>THT711159DHGS9Z</t>
  </si>
  <si>
    <t>s***lower.wer1</t>
  </si>
  <si>
    <t>ต********</t>
  </si>
  <si>
    <t>(+66)926****65</t>
  </si>
  <si>
    <t>1196032840063091937</t>
  </si>
  <si>
    <t>583986975060559536</t>
  </si>
  <si>
    <t>12/05/2026 11:18:58</t>
  </si>
  <si>
    <t>12/05/2026 11:19:41</t>
  </si>
  <si>
    <t>12/05/2026 11:21:40</t>
  </si>
  <si>
    <t>12/05/2026 15:01:07</t>
  </si>
  <si>
    <t>14/05/2026 20:42:23</t>
  </si>
  <si>
    <t>THT230159DTX76Z</t>
  </si>
  <si>
    <t>r***aibunphan</t>
  </si>
  <si>
    <t>(+66)065*****34</t>
  </si>
  <si>
    <t>1196027363503998640</t>
  </si>
  <si>
    <t>583986809703204518</t>
  </si>
  <si>
    <t>3</t>
  </si>
  <si>
    <t>141</t>
  </si>
  <si>
    <t>12/05/2026 11:08:21</t>
  </si>
  <si>
    <t>14/05/2026 13:18:34</t>
  </si>
  <si>
    <t>12/05/2026 11:11:31</t>
  </si>
  <si>
    <t>12/05/2026 15:00:51</t>
  </si>
  <si>
    <t>THT471959DCKC3Z</t>
  </si>
  <si>
    <t>m***chacha10</t>
  </si>
  <si>
    <t>ด******* แ***</t>
  </si>
  <si>
    <t>(+66)096*****31</t>
  </si>
  <si>
    <t>เทศบาลนครเชียงใหม่</t>
  </si>
  <si>
    <t>อำเภอสารภี</t>
  </si>
  <si>
    <t>1196026320201549478</t>
  </si>
  <si>
    <t>583986490533840670</t>
  </si>
  <si>
    <t>34.3</t>
  </si>
  <si>
    <t>98</t>
  </si>
  <si>
    <t>63.7</t>
  </si>
  <si>
    <t>12/05/2026 10:38:47</t>
  </si>
  <si>
    <t>13/05/2026 07:57:02</t>
  </si>
  <si>
    <t>m***78945</t>
  </si>
  <si>
    <t>(+66)819****50</t>
  </si>
  <si>
    <t>************************************************************************</t>
  </si>
  <si>
    <t>583985810182801023</t>
  </si>
  <si>
    <t>12/05/2026 10:05:23</t>
  </si>
  <si>
    <t>12/05/2026 10:07:03</t>
  </si>
  <si>
    <t>12/05/2026 12:13:59</t>
  </si>
  <si>
    <t>14/05/2026 13:54:15</t>
  </si>
  <si>
    <t>THT750659DMRK4Z</t>
  </si>
  <si>
    <t>a***naqq</t>
  </si>
  <si>
    <t>อ******* ส*****</t>
  </si>
  <si>
    <t>(+66)093*****41</t>
  </si>
  <si>
    <t>ทุ่งยางแดง</t>
  </si>
  <si>
    <t>1196019379424167551</t>
  </si>
  <si>
    <t>583985673752250096</t>
  </si>
  <si>
    <t>12/05/2026 09:59:14</t>
  </si>
  <si>
    <t>12/05/2026 10:01:42</t>
  </si>
  <si>
    <t>12/05/2026 12:13:54</t>
  </si>
  <si>
    <t>13/05/2026 17:06:59</t>
  </si>
  <si>
    <t>THT030159DKZK6Z</t>
  </si>
  <si>
    <t>1***2018_</t>
  </si>
  <si>
    <t>ส***** ศ*********</t>
  </si>
  <si>
    <t>(+66)065*****44</t>
  </si>
  <si>
    <t>1196018021725603568</t>
  </si>
  <si>
    <t>583985809799677581</t>
  </si>
  <si>
    <t>12/05/2026 09:59:13</t>
  </si>
  <si>
    <t>12/05/2026 10:07:18</t>
  </si>
  <si>
    <t>12/05/2026 12:13:52</t>
  </si>
  <si>
    <t>14/05/2026 19:52:23</t>
  </si>
  <si>
    <t>THT480159D7WY1Z</t>
  </si>
  <si>
    <t>a***a.yaa</t>
  </si>
  <si>
    <t>P* A******</t>
  </si>
  <si>
    <t>(+66)954****74</t>
  </si>
  <si>
    <t>1196018902467249805</t>
  </si>
  <si>
    <t>583985809797710865</t>
  </si>
  <si>
    <t>1735187106633516528</t>
  </si>
  <si>
    <t>【KINBATA】 สเปรย์ดับกลิ่นรองเท้า ลดกลิ่นเท้าแรง ฆ่าเชื้อ 96% แห้งไว ไม่ต้องซัก รองเท้าไม่เหม็นทันที ใช้ได้ทุกประเภท 330ML</t>
  </si>
  <si>
    <t>12/05/2026 09:59:10</t>
  </si>
  <si>
    <t>13/05/2026 12:31:12</t>
  </si>
  <si>
    <t>THT013759DKSQ8Z</t>
  </si>
  <si>
    <t>t***eq</t>
  </si>
  <si>
    <t>อ******* ต***</t>
  </si>
  <si>
    <t>(+66)093*****68</t>
  </si>
  <si>
    <t>******************************************************************************************************</t>
  </si>
  <si>
    <t>1196017839246967825</t>
  </si>
  <si>
    <t>583985329040557833</t>
  </si>
  <si>
    <t>12/05/2026 09:19:59</t>
  </si>
  <si>
    <t>14/05/2026 10:40:39</t>
  </si>
  <si>
    <t>12/05/2026 09:21:46</t>
  </si>
  <si>
    <t>12/05/2026 12:13:58</t>
  </si>
  <si>
    <t>THT600459D3J43Z</t>
  </si>
  <si>
    <t>u***30072838</t>
  </si>
  <si>
    <t>น*******  แ*******</t>
  </si>
  <si>
    <t>(+66)084*****19</t>
  </si>
  <si>
    <t>กงไกรลาศ</t>
  </si>
  <si>
    <t>1196014154803349257</t>
  </si>
  <si>
    <t>583984874444260540</t>
  </si>
  <si>
    <t>12/05/2026 08:40:37</t>
  </si>
  <si>
    <t>13/05/2026 08:40:39</t>
  </si>
  <si>
    <t>k***uaylucky69</t>
  </si>
  <si>
    <t>เ*******</t>
  </si>
  <si>
    <t>(+66)946****83</t>
  </si>
  <si>
    <t>583984788496811053</t>
  </si>
  <si>
    <t>1734948673500317168</t>
  </si>
  <si>
    <t>D-101</t>
  </si>
  <si>
    <t>ตู้เย็นไม่มีกลิ่นกวนใจ! KINBATA กล่องดับกลิ่นตู้เย็น 3in1 นำเข้าจากญี่ปุ่น ดับกลิ่นคาว กลิ่นแรงหายเกลี้ยง ช่วยให้อาหารสดนานขึ้น</t>
  </si>
  <si>
    <t>102</t>
  </si>
  <si>
    <t>12/05/2026 08:33:30</t>
  </si>
  <si>
    <t>12/05/2026 08:33:57</t>
  </si>
  <si>
    <t>12/05/2026 08:38:53</t>
  </si>
  <si>
    <t>12/05/2026 15:01:09</t>
  </si>
  <si>
    <t>13/05/2026 10:37:59</t>
  </si>
  <si>
    <t>THT030559CXJ39Z</t>
  </si>
  <si>
    <t>m***_winn789</t>
  </si>
  <si>
    <t>ป****** ต*******</t>
  </si>
  <si>
    <t>(+66)972****88</t>
  </si>
  <si>
    <t>1196008318268113965</t>
  </si>
  <si>
    <t>583984401998382276</t>
  </si>
  <si>
    <t>12/05/2026 07:57:05</t>
  </si>
  <si>
    <t>12/05/2026 07:57:09</t>
  </si>
  <si>
    <t>12/05/2026 08:02:19</t>
  </si>
  <si>
    <t>12/05/2026 12:13:47</t>
  </si>
  <si>
    <t>13/05/2026 12:17:27</t>
  </si>
  <si>
    <t>THT010259D35V6Z</t>
  </si>
  <si>
    <t>t***uk</t>
  </si>
  <si>
    <t>(+66)082*****63</t>
  </si>
  <si>
    <t>Khlong San</t>
  </si>
  <si>
    <t>1196003215498446020</t>
  </si>
  <si>
    <t>583983937258358727</t>
  </si>
  <si>
    <t>12/05/2026 07:15:50</t>
  </si>
  <si>
    <t>14/05/2026 15:02:37</t>
  </si>
  <si>
    <t>12/05/2026 07:16:56</t>
  </si>
  <si>
    <t>12/05/2026 12:13:49</t>
  </si>
  <si>
    <t>THT641259CZS06Z</t>
  </si>
  <si>
    <t>j***ukpik</t>
  </si>
  <si>
    <t>ส****** ร*****</t>
  </si>
  <si>
    <t>(+66)089*****56</t>
  </si>
  <si>
    <t>ปากพนัง</t>
  </si>
  <si>
    <t>1195997809312630727</t>
  </si>
  <si>
    <t>583981551903868156</t>
  </si>
  <si>
    <t>210</t>
  </si>
  <si>
    <t>11/05/2026 23:35:44</t>
  </si>
  <si>
    <t>11/05/2026 23:36:57</t>
  </si>
  <si>
    <t>11/05/2026 23:41:19</t>
  </si>
  <si>
    <t>12/05/2026 12:13:08</t>
  </si>
  <si>
    <t>13/05/2026 20:22:25</t>
  </si>
  <si>
    <t>THT012759CAUG3Z</t>
  </si>
  <si>
    <t>a***penyet796</t>
  </si>
  <si>
    <t>a*****</t>
  </si>
  <si>
    <t>(+65)985***76</t>
  </si>
  <si>
    <t>Pathum Wan</t>
  </si>
  <si>
    <t>1195981738020865276</t>
  </si>
  <si>
    <t>466</t>
  </si>
  <si>
    <t>254</t>
  </si>
  <si>
    <t>583978121600337470</t>
  </si>
  <si>
    <t>143</t>
  </si>
  <si>
    <t>11/05/2026 19:38:21</t>
  </si>
  <si>
    <t>14/05/2026 11:10:27</t>
  </si>
  <si>
    <t>11/05/2026 19:42:11</t>
  </si>
  <si>
    <t>12/05/2026 12:13:07</t>
  </si>
  <si>
    <t>THT610159C08N3Z</t>
  </si>
  <si>
    <t>t***umyang2328</t>
  </si>
  <si>
    <t>ท** ท** ย**</t>
  </si>
  <si>
    <t>(+66)956****81</t>
  </si>
  <si>
    <t>1195963479395042878</t>
  </si>
  <si>
    <t>583977088174556946</t>
  </si>
  <si>
    <t>11/05/2026 18:50:14</t>
  </si>
  <si>
    <t>11/05/2026 18:51:30</t>
  </si>
  <si>
    <t>12/05/2026 12:13:09</t>
  </si>
  <si>
    <t>14/05/2026 12:23:28</t>
  </si>
  <si>
    <t>THT500859BYQ23Z</t>
  </si>
  <si>
    <t>a***wanofficial</t>
  </si>
  <si>
    <t>ไ***</t>
  </si>
  <si>
    <t>(+66)098*****69</t>
  </si>
  <si>
    <t>ลับแล</t>
  </si>
  <si>
    <t>1195958859201087250</t>
  </si>
  <si>
    <t>583977387696293860</t>
  </si>
  <si>
    <t>332.79</t>
  </si>
  <si>
    <t>11/05/2026 18:49:03</t>
  </si>
  <si>
    <t>11/05/2026 18:49:10</t>
  </si>
  <si>
    <t>11/05/2026 18:51:27</t>
  </si>
  <si>
    <t>12/05/2026 12:13:51</t>
  </si>
  <si>
    <t>15/05/2026 17:29:36</t>
  </si>
  <si>
    <t>THT390159CAU84Z</t>
  </si>
  <si>
    <t>m***52513</t>
  </si>
  <si>
    <t>ช*********  ส******</t>
  </si>
  <si>
    <t>(+66)868****43</t>
  </si>
  <si>
    <t>1195959493841618916</t>
  </si>
  <si>
    <t>31.04</t>
  </si>
  <si>
    <t>207.96</t>
  </si>
  <si>
    <t>3.25</t>
  </si>
  <si>
    <t>75</t>
  </si>
  <si>
    <t>21.75</t>
  </si>
  <si>
    <t>2.92</t>
  </si>
  <si>
    <t>103.08</t>
  </si>
  <si>
    <t>583975873058211563</t>
  </si>
  <si>
    <t>31.2</t>
  </si>
  <si>
    <t>46.8</t>
  </si>
  <si>
    <t>11/05/2026 16:51:31</t>
  </si>
  <si>
    <t>11/05/2026 16:51:33</t>
  </si>
  <si>
    <t>11/05/2026 16:51:43</t>
  </si>
  <si>
    <t>12/05/2026 12:13:05</t>
  </si>
  <si>
    <t>14/05/2026 12:38:53</t>
  </si>
  <si>
    <t>THT471359BUVW1Z</t>
  </si>
  <si>
    <t>p***adettovichai</t>
  </si>
  <si>
    <t>ภ*****  โ******</t>
  </si>
  <si>
    <t>(+66)817****14</t>
  </si>
  <si>
    <t>1195946453177960171</t>
  </si>
  <si>
    <t>583971903164417842</t>
  </si>
  <si>
    <t>11/05/2026 12:11:14</t>
  </si>
  <si>
    <t>11/05/2026 12:11:39</t>
  </si>
  <si>
    <t>11/05/2026 15:41:39</t>
  </si>
  <si>
    <t>12/05/2026 11:07:28</t>
  </si>
  <si>
    <t>THT010859BC125Z</t>
  </si>
  <si>
    <t>m***irinnn28</t>
  </si>
  <si>
    <t>K****** ร*******</t>
  </si>
  <si>
    <t>(+66)909****14</t>
  </si>
  <si>
    <t>1195911447103899442</t>
  </si>
  <si>
    <t>583971903152752102</t>
  </si>
  <si>
    <t>11/05/2026 12:11:13</t>
  </si>
  <si>
    <t>11/05/2026 15:40:22</t>
  </si>
  <si>
    <t>12/05/2026 12:17:28</t>
  </si>
  <si>
    <t>THT210659BBKF3Z</t>
  </si>
  <si>
    <t>p***hipa1996</t>
  </si>
  <si>
    <t>ธ********* ล****</t>
  </si>
  <si>
    <t>(+66)611****63</t>
  </si>
  <si>
    <t>1195911190407906790</t>
  </si>
  <si>
    <t>583971903162255321</t>
  </si>
  <si>
    <t>11/05/2026 12:21:34</t>
  </si>
  <si>
    <t>11/05/2026 15:40:27</t>
  </si>
  <si>
    <t>13/05/2026 11:22:47</t>
  </si>
  <si>
    <t>THT420159BS4Z0Z</t>
  </si>
  <si>
    <t>r***axxxx</t>
  </si>
  <si>
    <t>ศ******</t>
  </si>
  <si>
    <t>(+66)640****58</t>
  </si>
  <si>
    <t>เมืองร้อยเอ็ด</t>
  </si>
  <si>
    <t>1195911870559979481</t>
  </si>
  <si>
    <t>583971815986136813</t>
  </si>
  <si>
    <t>11/05/2026 12:11:12</t>
  </si>
  <si>
    <t>11/05/2026 15:40:50</t>
  </si>
  <si>
    <t>12/05/2026 12:23:08</t>
  </si>
  <si>
    <t>THT010759BSB46Z</t>
  </si>
  <si>
    <t>a***oscar</t>
  </si>
  <si>
    <t>น***** 2**</t>
  </si>
  <si>
    <t>(+66)967****06</t>
  </si>
  <si>
    <t>ดอนเมือง</t>
  </si>
  <si>
    <t>********************************************************************************************************************************************************</t>
  </si>
  <si>
    <t>1195911189445314285</t>
  </si>
  <si>
    <t>583971602808079601</t>
  </si>
  <si>
    <t>235</t>
  </si>
  <si>
    <t>11/05/2026 11:30:58</t>
  </si>
  <si>
    <t>11/05/2026 11:31:30</t>
  </si>
  <si>
    <t>11/05/2026 11:32:12</t>
  </si>
  <si>
    <t>11/05/2026 15:40:12</t>
  </si>
  <si>
    <t>13/05/2026 10:32:19</t>
  </si>
  <si>
    <t>THT730159BMCF6Z</t>
  </si>
  <si>
    <t>b***234.2</t>
  </si>
  <si>
    <t>B***</t>
  </si>
  <si>
    <t>(+66)858****56</t>
  </si>
  <si>
    <t>1195907387134018801</t>
  </si>
  <si>
    <t>12</t>
  </si>
  <si>
    <t>94</t>
  </si>
  <si>
    <t>583971208717698157</t>
  </si>
  <si>
    <t>11/05/2026 11:16:11</t>
  </si>
  <si>
    <t>11/05/2026 11:17:10</t>
  </si>
  <si>
    <t>11/05/2026 15:40:29</t>
  </si>
  <si>
    <t>12/05/2026 10:23:58</t>
  </si>
  <si>
    <t>THT100259BK4E4Z</t>
  </si>
  <si>
    <t>s***nyaond</t>
  </si>
  <si>
    <t>ศ***** ส******</t>
  </si>
  <si>
    <t>(+66)096*****12</t>
  </si>
  <si>
    <t>1195904036655367277</t>
  </si>
  <si>
    <t>583970438078235915</t>
  </si>
  <si>
    <t>11/05/2026 10:06:55</t>
  </si>
  <si>
    <t>11/05/2026 10:14:16</t>
  </si>
  <si>
    <t>11/05/2026 15:35:57</t>
  </si>
  <si>
    <t>15/05/2026 17:55:19</t>
  </si>
  <si>
    <t>THT330159BE8Y2Z</t>
  </si>
  <si>
    <t>k***an_27</t>
  </si>
  <si>
    <t>ก*****</t>
  </si>
  <si>
    <t>(+66)917****42</t>
  </si>
  <si>
    <t>เมืองชัยภูมิ</t>
  </si>
  <si>
    <t>1195895252811285771</t>
  </si>
  <si>
    <t>583968698973062586</t>
  </si>
  <si>
    <t>106</t>
  </si>
  <si>
    <t>11/05/2026 07:34:17</t>
  </si>
  <si>
    <t>11/05/2026 07:34:30</t>
  </si>
  <si>
    <t>11/05/2026 08:02:22</t>
  </si>
  <si>
    <t>11/05/2026 15:33:55</t>
  </si>
  <si>
    <t>12/05/2026 14:59:17</t>
  </si>
  <si>
    <t>THT240259AAU43Z</t>
  </si>
  <si>
    <t>n***ung2016</t>
  </si>
  <si>
    <t>ม******** ศ*****</t>
  </si>
  <si>
    <t>(+66)632****45</t>
  </si>
  <si>
    <t>บางคล้า</t>
  </si>
  <si>
    <t>1195869577105212858</t>
  </si>
  <si>
    <t>583967236734617113</t>
  </si>
  <si>
    <t>11/05/2026 03:03:25</t>
  </si>
  <si>
    <t>11/05/2026 03:03:41</t>
  </si>
  <si>
    <t>p***ida.19</t>
  </si>
  <si>
    <t>N********* แ**</t>
  </si>
  <si>
    <t>(+66)644****89</t>
  </si>
  <si>
    <t>ลำลูกกา</t>
  </si>
  <si>
    <t>583966803174328178</t>
  </si>
  <si>
    <t>248.32</t>
  </si>
  <si>
    <t>11/05/2026 01:13:34</t>
  </si>
  <si>
    <t>11/05/2026 01:14:49</t>
  </si>
  <si>
    <t>商家申请取消订单</t>
  </si>
  <si>
    <t>j***ua.burke54</t>
  </si>
  <si>
    <t>J***** B****</t>
  </si>
  <si>
    <t>(+66)686****78</t>
  </si>
  <si>
    <t>583963113956345012</t>
  </si>
  <si>
    <t>10/05/2026 20:10:44</t>
  </si>
  <si>
    <t>12/05/2026 12:41:10</t>
  </si>
  <si>
    <t>10/05/2026 20:11:23</t>
  </si>
  <si>
    <t>11/05/2026 15:33:53</t>
  </si>
  <si>
    <t>THT0119599ZMJ2Z</t>
  </si>
  <si>
    <t>w***_</t>
  </si>
  <si>
    <t>น*********** ร*******</t>
  </si>
  <si>
    <t>(+66)061*****49</t>
  </si>
  <si>
    <t>บางคอแหลม</t>
  </si>
  <si>
    <t>1195837848510432436</t>
  </si>
  <si>
    <t>583956729348064414</t>
  </si>
  <si>
    <t>10/05/2026 12:26:43</t>
  </si>
  <si>
    <t>12/05/2026 16:17:44</t>
  </si>
  <si>
    <t>10/05/2026 12:31:50</t>
  </si>
  <si>
    <t>10/05/2026 18:08:44</t>
  </si>
  <si>
    <t>THT6402599CKP6Z</t>
  </si>
  <si>
    <t>u***5449836157271</t>
  </si>
  <si>
    <t>ธ********* ธ**** พ*********</t>
  </si>
  <si>
    <t>(+66)083*****77</t>
  </si>
  <si>
    <t>พรหมคีรี</t>
  </si>
  <si>
    <t>1195796012375377054</t>
  </si>
  <si>
    <t>583953856159254322</t>
  </si>
  <si>
    <t>10/05/2026 08:53:30</t>
  </si>
  <si>
    <t>12/05/2026 15:35:58</t>
  </si>
  <si>
    <t>10/05/2026 09:01:45</t>
  </si>
  <si>
    <t>10/05/2026 18:08:50</t>
  </si>
  <si>
    <t>THT4704598ME29Z</t>
  </si>
  <si>
    <t>c***hda</t>
  </si>
  <si>
    <t>c******</t>
  </si>
  <si>
    <t>(+66)930****38</t>
  </si>
  <si>
    <t>เชียงดาว</t>
  </si>
  <si>
    <t>1195774577778853682</t>
  </si>
  <si>
    <t>583952890119619942</t>
  </si>
  <si>
    <t>10/05/2026 07:22:11</t>
  </si>
  <si>
    <t>11/05/2026 12:09:14</t>
  </si>
  <si>
    <t>10/05/2026 07:26:43</t>
  </si>
  <si>
    <t>10/05/2026 18:08:51</t>
  </si>
  <si>
    <t>THT0106598T7T6Z</t>
  </si>
  <si>
    <t>1195766933510915430</t>
  </si>
  <si>
    <t>583945449733063746</t>
  </si>
  <si>
    <t>09/05/2026 18:13:36</t>
  </si>
  <si>
    <t>09/05/2026 18:13:38</t>
  </si>
  <si>
    <t>09/05/2026 18:16:32</t>
  </si>
  <si>
    <t>10/05/2026 18:08:46</t>
  </si>
  <si>
    <t>11/05/2026 12:14:15</t>
  </si>
  <si>
    <t>THT02035986Y98Z</t>
  </si>
  <si>
    <t>a***4412</t>
  </si>
  <si>
    <t>ป****</t>
  </si>
  <si>
    <t>(+66)829****22</t>
  </si>
  <si>
    <t>********************************************************************************************************************</t>
  </si>
  <si>
    <t>1195730958748320834</t>
  </si>
  <si>
    <t>583944112319726781</t>
  </si>
  <si>
    <t>09/05/2026 16:49:13</t>
  </si>
  <si>
    <t>09/05/2026 16:49:12</t>
  </si>
  <si>
    <t>09/05/2026 17:01:37</t>
  </si>
  <si>
    <t>10/05/2026 18:09:15</t>
  </si>
  <si>
    <t>11/05/2026 18:09:20</t>
  </si>
  <si>
    <t>THT20015984G68Z</t>
  </si>
  <si>
    <t>f***ai.co</t>
  </si>
  <si>
    <t>ธ****** ช*******</t>
  </si>
  <si>
    <t>(+66)993****69</t>
  </si>
  <si>
    <t>1195722600829584573</t>
  </si>
  <si>
    <t>583943884780635687</t>
  </si>
  <si>
    <t>09/05/2026 16:42:10</t>
  </si>
  <si>
    <t>09/05/2026 16:47:20</t>
  </si>
  <si>
    <t>10/05/2026 18:08:45</t>
  </si>
  <si>
    <t>12/05/2026 11:24:04</t>
  </si>
  <si>
    <t>THT011659843D8Z</t>
  </si>
  <si>
    <t>v***lovecats</t>
  </si>
  <si>
    <t>(+66)946****79</t>
  </si>
  <si>
    <t>1195721473397917223</t>
  </si>
  <si>
    <t>583943464119796885</t>
  </si>
  <si>
    <t>09/05/2026 16:21:19</t>
  </si>
  <si>
    <t>09/05/2026 16:27:08</t>
  </si>
  <si>
    <t>10/05/2026 18:08:47</t>
  </si>
  <si>
    <t>11/05/2026 15:10:46</t>
  </si>
  <si>
    <t>THT0151597RVH1Z</t>
  </si>
  <si>
    <t>s***yana</t>
  </si>
  <si>
    <t>ญ****</t>
  </si>
  <si>
    <t>(+66)610****82</t>
  </si>
  <si>
    <t>ห้วยขวาง</t>
  </si>
  <si>
    <t>1195719951287944341</t>
  </si>
  <si>
    <t>583943388669379666</t>
  </si>
  <si>
    <t>09/05/2026 16:05:14</t>
  </si>
  <si>
    <t>09/05/2026 16:11:23</t>
  </si>
  <si>
    <t>10/05/2026 18:09:14</t>
  </si>
  <si>
    <t>11/05/2026 12:57:06</t>
  </si>
  <si>
    <t>THT0112597RBP1Z</t>
  </si>
  <si>
    <t>s***ryingpdp</t>
  </si>
  <si>
    <t>ห*** ป******</t>
  </si>
  <si>
    <t>(+66)829****46</t>
  </si>
  <si>
    <t>Thung Khru</t>
  </si>
  <si>
    <t>1195717417665004626</t>
  </si>
  <si>
    <t>583943388650505420</t>
  </si>
  <si>
    <t>09/05/2026 16:04:19</t>
  </si>
  <si>
    <t>09/05/2026 16:07:19</t>
  </si>
  <si>
    <t>10/05/2026 18:09:13</t>
  </si>
  <si>
    <t>11/05/2026 16:22:13</t>
  </si>
  <si>
    <t>THT01435982N94Z</t>
  </si>
  <si>
    <t>a***nn41</t>
  </si>
  <si>
    <t>A****</t>
  </si>
  <si>
    <t>(+66)653****02</t>
  </si>
  <si>
    <t>1195718660078011596</t>
  </si>
  <si>
    <t>583943388649916381</t>
  </si>
  <si>
    <t>09/05/2026 16:04:18</t>
  </si>
  <si>
    <t>09/05/2026 16:11:56</t>
  </si>
  <si>
    <t>11/05/2026 10:59:32</t>
  </si>
  <si>
    <t>THT01085982VU8Z</t>
  </si>
  <si>
    <t>p***watz09</t>
  </si>
  <si>
    <t>(+66)986****19</t>
  </si>
  <si>
    <t>***************************************************************************************</t>
  </si>
  <si>
    <t>1195718660406151133</t>
  </si>
  <si>
    <t>583942391533307440</t>
  </si>
  <si>
    <t>09/05/2026 14:49:14</t>
  </si>
  <si>
    <t>09/05/2026 14:52:22</t>
  </si>
  <si>
    <t>09/05/2026 16:41:06</t>
  </si>
  <si>
    <t>10/05/2026 12:45:55</t>
  </si>
  <si>
    <t>THT0402597ZF30Z</t>
  </si>
  <si>
    <t>b***.beautyshop</t>
  </si>
  <si>
    <t>ข***** พ*****</t>
  </si>
  <si>
    <t>(+66)832****97</t>
  </si>
  <si>
    <t>1195708824288265776</t>
  </si>
  <si>
    <t>583940728703976509</t>
  </si>
  <si>
    <t>09/05/2026 13:06:14</t>
  </si>
  <si>
    <t>09/05/2026 13:06:13</t>
  </si>
  <si>
    <t>09/05/2026 13:11:33</t>
  </si>
  <si>
    <t>09/05/2026 16:41:05</t>
  </si>
  <si>
    <t>10/05/2026 11:48:54</t>
  </si>
  <si>
    <t>THT0406597UBA6Z</t>
  </si>
  <si>
    <t>b***appyhome28</t>
  </si>
  <si>
    <t>บ***</t>
  </si>
  <si>
    <t>(+66)643****20</t>
  </si>
  <si>
    <t>***********************************************************************************************</t>
  </si>
  <si>
    <t>1195695926344844349</t>
  </si>
  <si>
    <t>583938225112253721</t>
  </si>
  <si>
    <t>09/05/2026 10:32:20</t>
  </si>
  <si>
    <t>09/05/2026 10:32:19</t>
  </si>
  <si>
    <t>09/05/2026 12:52:57</t>
  </si>
  <si>
    <t>09/05/2026 16:41:16</t>
  </si>
  <si>
    <t>11/05/2026 12:30:27</t>
  </si>
  <si>
    <t>THT4104597RX90Z</t>
  </si>
  <si>
    <t>i***hipwhip</t>
  </si>
  <si>
    <t>ศ****** ศ*************</t>
  </si>
  <si>
    <t>(+66)815****03</t>
  </si>
  <si>
    <t>กันทรวิชัย</t>
  </si>
  <si>
    <t>1195677610585392409</t>
  </si>
  <si>
    <t>583938113634338079</t>
  </si>
  <si>
    <t>09/05/2026 10:31:16</t>
  </si>
  <si>
    <t>09/05/2026 10:31:15</t>
  </si>
  <si>
    <t>09/05/2026 12:52:44</t>
  </si>
  <si>
    <t>09/05/2026 16:41:32</t>
  </si>
  <si>
    <t>10/05/2026 10:12:40</t>
  </si>
  <si>
    <t>THT0301597D4X5Z</t>
  </si>
  <si>
    <t>o***onglaew</t>
  </si>
  <si>
    <t>O**</t>
  </si>
  <si>
    <t>(+66)632****53</t>
  </si>
  <si>
    <t>1195677391329592607</t>
  </si>
  <si>
    <t>583937754578061275</t>
  </si>
  <si>
    <t>09/05/2026 10:13:17</t>
  </si>
  <si>
    <t>09/05/2026 10:13:16</t>
  </si>
  <si>
    <t>09/05/2026 12:54:39</t>
  </si>
  <si>
    <t>09/05/2026 16:41:18</t>
  </si>
  <si>
    <t>12/05/2026 16:19:47</t>
  </si>
  <si>
    <t>THT6901597S2R6Z</t>
  </si>
  <si>
    <t>s***tiebluejam</t>
  </si>
  <si>
    <t>น*** บ****</t>
  </si>
  <si>
    <t>(+66)063*****20</t>
  </si>
  <si>
    <t>Ranong</t>
  </si>
  <si>
    <t>Mueang Ranong</t>
  </si>
  <si>
    <t>1195675570045355995</t>
  </si>
  <si>
    <t>583937755096450318</t>
  </si>
  <si>
    <t>09/05/2026 10:01:14</t>
  </si>
  <si>
    <t>09/05/2026 10:01:13</t>
  </si>
  <si>
    <t>09/05/2026 12:56:33</t>
  </si>
  <si>
    <t>09/05/2026 16:41:07</t>
  </si>
  <si>
    <t>11/05/2026 13:23:08</t>
  </si>
  <si>
    <t>THT3403597S6M6Z</t>
  </si>
  <si>
    <t>j***oypawinee</t>
  </si>
  <si>
    <t>ภ***** แ********</t>
  </si>
  <si>
    <t>(+66)989****56</t>
  </si>
  <si>
    <t>ปทุมราชวงศา</t>
  </si>
  <si>
    <t>1195673571407856910</t>
  </si>
  <si>
    <t>583937495600759826</t>
  </si>
  <si>
    <t>09/05/2026 09:49:26</t>
  </si>
  <si>
    <t>09/05/2026 12:56:34</t>
  </si>
  <si>
    <t>09/05/2026 16:40:42</t>
  </si>
  <si>
    <t>11/05/2026 16:17:20</t>
  </si>
  <si>
    <t>THT3001597DJM3Z</t>
  </si>
  <si>
    <t>k***natda</t>
  </si>
  <si>
    <t>ก*******</t>
  </si>
  <si>
    <t>(+66)094*****13</t>
  </si>
  <si>
    <t>เมืองศรีสะเกษ</t>
  </si>
  <si>
    <t>1195672477196977170</t>
  </si>
  <si>
    <t>583937166131102904</t>
  </si>
  <si>
    <t>09/05/2026 09:35:14</t>
  </si>
  <si>
    <t>09/05/2026 12:52:55</t>
  </si>
  <si>
    <t>09/05/2026 16:41:13</t>
  </si>
  <si>
    <t>10/05/2026 18:29:22</t>
  </si>
  <si>
    <t>THT2007597RRP2Z</t>
  </si>
  <si>
    <t>t***honchanok</t>
  </si>
  <si>
    <t>T************</t>
  </si>
  <si>
    <t>(+66)653****47</t>
  </si>
  <si>
    <t>************************************************************************************************</t>
  </si>
  <si>
    <t>1195669953087702200</t>
  </si>
  <si>
    <t>583937166108165428</t>
  </si>
  <si>
    <t>09/05/2026 09:34:18</t>
  </si>
  <si>
    <t>09/05/2026 12:52:47</t>
  </si>
  <si>
    <t>09/05/2026 16:41:28</t>
  </si>
  <si>
    <t>10/05/2026 12:31:16</t>
  </si>
  <si>
    <t>THT0306597D897Z</t>
  </si>
  <si>
    <t>h***h.review</t>
  </si>
  <si>
    <t>H i F A R ห*************</t>
  </si>
  <si>
    <t>(+66)809****82</t>
  </si>
  <si>
    <t>1195670519375824180</t>
  </si>
  <si>
    <t>583937393415128268</t>
  </si>
  <si>
    <t>09/05/2026 09:34:15</t>
  </si>
  <si>
    <t>09/05/2026 12:53:07</t>
  </si>
  <si>
    <t>09/05/2026 16:41:24</t>
  </si>
  <si>
    <t>10/05/2026 16:41:55</t>
  </si>
  <si>
    <t>THT2106597D391Z</t>
  </si>
  <si>
    <t>b***ile_____</t>
  </si>
  <si>
    <t>ช***** ก**********  ไ***</t>
  </si>
  <si>
    <t>(+66)619****61</t>
  </si>
  <si>
    <t>1195670516038665420</t>
  </si>
  <si>
    <t>583937393009067603</t>
  </si>
  <si>
    <t>09/05/2026 09:26:19</t>
  </si>
  <si>
    <t>09/05/2026 12:53:00</t>
  </si>
  <si>
    <t>09/05/2026 16:41:21</t>
  </si>
  <si>
    <t>10/05/2026 13:32:22</t>
  </si>
  <si>
    <t>THT0406597RY00Z</t>
  </si>
  <si>
    <t>n***iekiirosand</t>
  </si>
  <si>
    <t>น******** ภ******</t>
  </si>
  <si>
    <t>(+66)083*****26</t>
  </si>
  <si>
    <t>1195670047747704403</t>
  </si>
  <si>
    <t>583935769162122615</t>
  </si>
  <si>
    <t>09/05/2026 07:23:32</t>
  </si>
  <si>
    <t>09/05/2026 07:23:44</t>
  </si>
  <si>
    <t>09/05/2026 12:53:05</t>
  </si>
  <si>
    <t>09/05/2026 16:41:39</t>
  </si>
  <si>
    <t>10/05/2026 16:15:04</t>
  </si>
  <si>
    <t>THT1201597RUP8Z</t>
  </si>
  <si>
    <t>p***8244</t>
  </si>
  <si>
    <t>ณ********* แ***********</t>
  </si>
  <si>
    <t>ราชบุรี</t>
  </si>
  <si>
    <t>เมืองราชบุรี</t>
  </si>
  <si>
    <t>1195653418968122743</t>
  </si>
  <si>
    <t>583931837684483088</t>
  </si>
  <si>
    <t>08/05/2026 23:16:07</t>
  </si>
  <si>
    <t>08/05/2026 23:16:26</t>
  </si>
  <si>
    <t>09/05/2026 12:53:04</t>
  </si>
  <si>
    <t>09/05/2026 16:41:42</t>
  </si>
  <si>
    <t>10/05/2026 15:16:24</t>
  </si>
  <si>
    <t>THT1601597RTT8Z</t>
  </si>
  <si>
    <t>p***keawpen</t>
  </si>
  <si>
    <t>ป*** แ*******</t>
  </si>
  <si>
    <t>(+66)835****18</t>
  </si>
  <si>
    <t>1195636387151774736</t>
  </si>
  <si>
    <t>583931418873791593</t>
  </si>
  <si>
    <t>101.6</t>
  </si>
  <si>
    <t>137.4</t>
  </si>
  <si>
    <t>08/05/2026 22:46:52</t>
  </si>
  <si>
    <t>10/05/2026 12:28:27</t>
  </si>
  <si>
    <t>09/05/2026 16:41:46</t>
  </si>
  <si>
    <t>THT2007597D6Z1Z</t>
  </si>
  <si>
    <t>u***8437473271784</t>
  </si>
  <si>
    <t>ส***** ท******</t>
  </si>
  <si>
    <t>(+66)966****95</t>
  </si>
  <si>
    <t>1195634741574599785</t>
  </si>
  <si>
    <t>583930780131755978</t>
  </si>
  <si>
    <t>08/05/2026 22:05:22</t>
  </si>
  <si>
    <t>10/05/2026 19:22:47</t>
  </si>
  <si>
    <t>09/05/2026 12:56:32</t>
  </si>
  <si>
    <t>09/05/2026 16:40:45</t>
  </si>
  <si>
    <t>THT0116597S3C2Z</t>
  </si>
  <si>
    <t>s***alikancha</t>
  </si>
  <si>
    <t>ซ****** ห*******</t>
  </si>
  <si>
    <t>(+66)087*****16</t>
  </si>
  <si>
    <t>เขตบางกะปิ</t>
  </si>
  <si>
    <t>1195631999758010314</t>
  </si>
  <si>
    <t>583930652228748582</t>
  </si>
  <si>
    <t>08/05/2026 22:03:30</t>
  </si>
  <si>
    <t>11/05/2026 11:29:02</t>
  </si>
  <si>
    <t>09/05/2026 12:52:56</t>
  </si>
  <si>
    <t>09/05/2026 16:42:01</t>
  </si>
  <si>
    <t>THT7301597RTT0Z</t>
  </si>
  <si>
    <t>u***18046193819051</t>
  </si>
  <si>
    <t>ป******** ธ**********</t>
  </si>
  <si>
    <t>(+66)863****71</t>
  </si>
  <si>
    <t>1195632210842322214</t>
  </si>
  <si>
    <t>583930139245315384</t>
  </si>
  <si>
    <t>08/05/2026 21:34:45</t>
  </si>
  <si>
    <t>11/05/2026 13:01:56</t>
  </si>
  <si>
    <t>09/05/2026 12:52:58</t>
  </si>
  <si>
    <t>09/05/2026 16:42:05</t>
  </si>
  <si>
    <t>THT6303597RQE8Z</t>
  </si>
  <si>
    <t>p***a918207</t>
  </si>
  <si>
    <t>ร****** บ*********</t>
  </si>
  <si>
    <t>(+66)090*****34</t>
  </si>
  <si>
    <t>หล่มสัก</t>
  </si>
  <si>
    <t>1195630551206102328</t>
  </si>
  <si>
    <t>583928220731540566</t>
  </si>
  <si>
    <t>08/05/2026 19:48:48</t>
  </si>
  <si>
    <t>10/05/2026 10:53:54</t>
  </si>
  <si>
    <t>09/05/2026 16:41:49</t>
  </si>
  <si>
    <t>THT0403597SBR4Z</t>
  </si>
  <si>
    <t>o***rdoor_huaysamanchon</t>
  </si>
  <si>
    <t>ส*** ส******</t>
  </si>
  <si>
    <t>(+66)087*****05</t>
  </si>
  <si>
    <t>**************************************************************************************************************************</t>
  </si>
  <si>
    <t>1195621532133786710</t>
  </si>
  <si>
    <t>583924506419824442</t>
  </si>
  <si>
    <t>08/05/2026 16:18:18</t>
  </si>
  <si>
    <t>09/05/2026 16:41:35</t>
  </si>
  <si>
    <t>10/05/2026 17:22:54</t>
  </si>
  <si>
    <t>THT0201597DCC7Z</t>
  </si>
  <si>
    <t>m***_.s8</t>
  </si>
  <si>
    <t>l*** m****</t>
  </si>
  <si>
    <t>(+66)973****26</t>
  </si>
  <si>
    <t>1195600515846932282</t>
  </si>
  <si>
    <t>583924603241727231</t>
  </si>
  <si>
    <t>08/05/2026 16:13:22</t>
  </si>
  <si>
    <t>09/05/2026 12:53:02</t>
  </si>
  <si>
    <t>12/05/2026 16:39:54</t>
  </si>
  <si>
    <t>THT2901597RQF0Z</t>
  </si>
  <si>
    <t>j***pattarin</t>
  </si>
  <si>
    <t>ก******</t>
  </si>
  <si>
    <t>(+66)933****63</t>
  </si>
  <si>
    <t>เมืองสุรินทร์</t>
  </si>
  <si>
    <t>1195600419418375423</t>
  </si>
  <si>
    <t>583924603171996960</t>
  </si>
  <si>
    <t>08/05/2026 16:11:21</t>
  </si>
  <si>
    <t>09/05/2026 16:41:11</t>
  </si>
  <si>
    <t>11/05/2026 14:10:14</t>
  </si>
  <si>
    <t>THT3403597DCC5Z</t>
  </si>
  <si>
    <t>c***atta324</t>
  </si>
  <si>
    <t>จ******</t>
  </si>
  <si>
    <t>(+66)093*****63</t>
  </si>
  <si>
    <t>1195599433458025760</t>
  </si>
  <si>
    <t>583924603168261265</t>
  </si>
  <si>
    <t>08/05/2026 16:11:18</t>
  </si>
  <si>
    <t>09/05/2026 16:40:41</t>
  </si>
  <si>
    <t>11/05/2026 12:53:39</t>
  </si>
  <si>
    <t>THT7507597S646Z</t>
  </si>
  <si>
    <t>a***y.review</t>
  </si>
  <si>
    <t>อ********</t>
  </si>
  <si>
    <t>(+66)645****79</t>
  </si>
  <si>
    <t>สายบุรี</t>
  </si>
  <si>
    <t>1195599843803628689</t>
  </si>
  <si>
    <t>583924603147093088</t>
  </si>
  <si>
    <t>08/05/2026 16:11:13</t>
  </si>
  <si>
    <t>09/05/2026 16:41:22</t>
  </si>
  <si>
    <t>10/05/2026 11:34:33</t>
  </si>
  <si>
    <t>THT5801597RZ82Z</t>
  </si>
  <si>
    <t>a***hanaseema</t>
  </si>
  <si>
    <t>อ***** แ*****</t>
  </si>
  <si>
    <t>(+66)989****22</t>
  </si>
  <si>
    <t>1195600378749092960</t>
  </si>
  <si>
    <t>583924603142178187</t>
  </si>
  <si>
    <t>08/05/2026 16:11:12</t>
  </si>
  <si>
    <t>08/05/2026 16:11:11</t>
  </si>
  <si>
    <t>09/05/2026 16:40:38</t>
  </si>
  <si>
    <t>11/05/2026 14:16:56</t>
  </si>
  <si>
    <t>THT7708597DJM1Z</t>
  </si>
  <si>
    <t>d***ii.ii44</t>
  </si>
  <si>
    <t>ซ*******  เ*******</t>
  </si>
  <si>
    <t>(+66)612****14</t>
  </si>
  <si>
    <t>แว้ง</t>
  </si>
  <si>
    <t>1195599430358107531</t>
  </si>
  <si>
    <t>583923470478968457</t>
  </si>
  <si>
    <t>08/05/2026 14:53:27</t>
  </si>
  <si>
    <t>08/05/2026 14:53:26</t>
  </si>
  <si>
    <t>09/05/2026 12:53:15</t>
  </si>
  <si>
    <t>11/05/2026 11:06:34</t>
  </si>
  <si>
    <t>THT0112597DCN1Z</t>
  </si>
  <si>
    <t>d***nntt</t>
  </si>
  <si>
    <t>ธ**** โ******</t>
  </si>
  <si>
    <t>(+66)635****44</t>
  </si>
  <si>
    <t>1195589989140956809</t>
  </si>
  <si>
    <t>583923007937939433</t>
  </si>
  <si>
    <t>08/05/2026 14:28:16</t>
  </si>
  <si>
    <t>09/05/2026 13:01:32</t>
  </si>
  <si>
    <t>09/05/2026 16:41:08</t>
  </si>
  <si>
    <t>10/05/2026 12:01:51</t>
  </si>
  <si>
    <t>THT2701597DZK3Z</t>
  </si>
  <si>
    <t>r***abarbie</t>
  </si>
  <si>
    <t>R**** T* ร****</t>
  </si>
  <si>
    <t>(+66)993****02</t>
  </si>
  <si>
    <t>1195587227048314857</t>
  </si>
  <si>
    <t>583923078383568238</t>
  </si>
  <si>
    <t>08/05/2026 14:24:01</t>
  </si>
  <si>
    <t>11/05/2026 14:27:48</t>
  </si>
  <si>
    <t>09/05/2026 16:41:56</t>
  </si>
  <si>
    <t>THT1405597D5Y9Z</t>
  </si>
  <si>
    <t>n***akantpholwong4659</t>
  </si>
  <si>
    <t>น** ณ******* ผ*****</t>
  </si>
  <si>
    <t>(+66)064*****69</t>
  </si>
  <si>
    <t>ศรีประจันต์</t>
  </si>
  <si>
    <t>1195587913888597358</t>
  </si>
  <si>
    <t>583919776335562313</t>
  </si>
  <si>
    <t>08/05/2026 10:50:23</t>
  </si>
  <si>
    <t>08/05/2026 13:20:00</t>
  </si>
  <si>
    <t>08/05/2026 17:50:04</t>
  </si>
  <si>
    <t>10/05/2026 12:45:41</t>
  </si>
  <si>
    <t>THT7111595C5P7Z</t>
  </si>
  <si>
    <t>s***ya311</t>
  </si>
  <si>
    <t>ว****** แ*********</t>
  </si>
  <si>
    <t>(+66)626****14</t>
  </si>
  <si>
    <t>1195561124693575241</t>
  </si>
  <si>
    <t>583919776329466880</t>
  </si>
  <si>
    <t>08/05/2026 10:50:22</t>
  </si>
  <si>
    <t>08/05/2026 13:21:46</t>
  </si>
  <si>
    <t>08/05/2026 17:49:55</t>
  </si>
  <si>
    <t>10/05/2026 13:48:05</t>
  </si>
  <si>
    <t>THT3022595T700Z</t>
  </si>
  <si>
    <t>p***erssss_sss</t>
  </si>
  <si>
    <t>(+66)637****58</t>
  </si>
  <si>
    <t>กันทรลักษ์</t>
  </si>
  <si>
    <t>1195560876531811328</t>
  </si>
  <si>
    <t>583919776317081225</t>
  </si>
  <si>
    <t>08/05/2026 10:50:16</t>
  </si>
  <si>
    <t>10/05/2026 15:56:32</t>
  </si>
  <si>
    <t>THT4701595SZE8Z</t>
  </si>
  <si>
    <t>z***zoda20</t>
  </si>
  <si>
    <t>ล***************</t>
  </si>
  <si>
    <t>(+66)644****46</t>
  </si>
  <si>
    <t>1195561817099306633</t>
  </si>
  <si>
    <t>583919776316294578</t>
  </si>
  <si>
    <t>08/05/2026 10:50:15</t>
  </si>
  <si>
    <t>08/05/2026 13:21:57</t>
  </si>
  <si>
    <t>08/05/2026 17:50:02</t>
  </si>
  <si>
    <t>09/05/2026 15:07:14</t>
  </si>
  <si>
    <t>THT0142595T6N6Z</t>
  </si>
  <si>
    <t>1195560875139827122</t>
  </si>
  <si>
    <t>583919776317539873</t>
  </si>
  <si>
    <t>08/05/2026 13:21:53</t>
  </si>
  <si>
    <t>08/05/2026 17:40:01</t>
  </si>
  <si>
    <t>12/05/2026 16:36:02</t>
  </si>
  <si>
    <t>THT1011595SYX8Z</t>
  </si>
  <si>
    <t>s***nnn</t>
  </si>
  <si>
    <t>ท*** ท*******</t>
  </si>
  <si>
    <t>(+66)982****62</t>
  </si>
  <si>
    <t>1195561817383601697</t>
  </si>
  <si>
    <t>583919604986709133</t>
  </si>
  <si>
    <t>08/05/2026 10:50:14</t>
  </si>
  <si>
    <t>08/05/2026 13:21:47</t>
  </si>
  <si>
    <t>08/05/2026 17:49:59</t>
  </si>
  <si>
    <t>10/05/2026 11:23:17</t>
  </si>
  <si>
    <t>THT0201595T2J2Z</t>
  </si>
  <si>
    <t>t***kan94</t>
  </si>
  <si>
    <t>ธ****** ต********</t>
  </si>
  <si>
    <t>(+66)836****69</t>
  </si>
  <si>
    <t>************************************************************************************</t>
  </si>
  <si>
    <t>1195561122213823629</t>
  </si>
  <si>
    <t>583919604986643766</t>
  </si>
  <si>
    <t>08/05/2026 13:21:44</t>
  </si>
  <si>
    <t>08/05/2026 17:40:08</t>
  </si>
  <si>
    <t>11/05/2026 20:56:34</t>
  </si>
  <si>
    <t>THT7601595CDA7Z</t>
  </si>
  <si>
    <t>n***cha5789</t>
  </si>
  <si>
    <t>น***** เ******</t>
  </si>
  <si>
    <t>(+66)098*****04</t>
  </si>
  <si>
    <t>1195560695902602550</t>
  </si>
  <si>
    <t>583919604869858778</t>
  </si>
  <si>
    <t>08/05/2026 10:46:21</t>
  </si>
  <si>
    <t>10/05/2026 18:07:40</t>
  </si>
  <si>
    <t>THT3101595C6X3Z</t>
  </si>
  <si>
    <t>t***am_249</t>
  </si>
  <si>
    <t>ก********* ซ*******</t>
  </si>
  <si>
    <t>(+66)985****81</t>
  </si>
  <si>
    <t>1195560078829913562</t>
  </si>
  <si>
    <t>583919608372626651</t>
  </si>
  <si>
    <t>08/05/2026 10:46:20</t>
  </si>
  <si>
    <t>08/05/2026 17:50:05</t>
  </si>
  <si>
    <t>10/05/2026 15:08:57</t>
  </si>
  <si>
    <t>THT3710595T6Z8Z</t>
  </si>
  <si>
    <t>j***i_7even</t>
  </si>
  <si>
    <t>จ****</t>
  </si>
  <si>
    <t>(+66)968****94</t>
  </si>
  <si>
    <t>บ้านไผ่</t>
  </si>
  <si>
    <t>1195559859083904219</t>
  </si>
  <si>
    <t>583919604853343466</t>
  </si>
  <si>
    <t>08/05/2026 10:46:13</t>
  </si>
  <si>
    <t>08/05/2026 17:49:57</t>
  </si>
  <si>
    <t>09/05/2026 21:34:38</t>
  </si>
  <si>
    <t>THT0306595T2H2Z</t>
  </si>
  <si>
    <t>m***ilailukkhunpakwan</t>
  </si>
  <si>
    <t>M** ว********* ข*********</t>
  </si>
  <si>
    <t>(+66)985****65</t>
  </si>
  <si>
    <t>1195559355239400682</t>
  </si>
  <si>
    <t>583919604810155664</t>
  </si>
  <si>
    <t>08/05/2026 10:44:25</t>
  </si>
  <si>
    <t>08/05/2026 13:21:43</t>
  </si>
  <si>
    <t>08/05/2026 17:52:05</t>
  </si>
  <si>
    <t>10/05/2026 10:19:01</t>
  </si>
  <si>
    <t>THT2714595SX80Z</t>
  </si>
  <si>
    <t>a***aphon.ph</t>
  </si>
  <si>
    <t>อ******** ภ*****</t>
  </si>
  <si>
    <t>(+66)955****59</t>
  </si>
  <si>
    <t>Nakhon Ratchasima</t>
  </si>
  <si>
    <t>Pak Thong Chai</t>
  </si>
  <si>
    <t>1195560041306556048</t>
  </si>
  <si>
    <t>583919608283759781</t>
  </si>
  <si>
    <t>08/05/2026 10:44:23</t>
  </si>
  <si>
    <t>08/05/2026 17:50:01</t>
  </si>
  <si>
    <t>09/05/2026 17:17:21</t>
  </si>
  <si>
    <t>THT0148595C235Z</t>
  </si>
  <si>
    <t>b***er.bunns</t>
  </si>
  <si>
    <t>M***</t>
  </si>
  <si>
    <t>(+66)094*****24</t>
  </si>
  <si>
    <t>1195559320986420389</t>
  </si>
  <si>
    <t>583919604786037921</t>
  </si>
  <si>
    <t>08/05/2026 10:44:15</t>
  </si>
  <si>
    <t>08/05/2026 10:44:14</t>
  </si>
  <si>
    <t>08/05/2026 13:21:42</t>
  </si>
  <si>
    <t>08/05/2026 17:40:10</t>
  </si>
  <si>
    <t>10/05/2026 17:39:28</t>
  </si>
  <si>
    <t>THT6411595T4M6Z</t>
  </si>
  <si>
    <t>p***sukanya</t>
  </si>
  <si>
    <t>ส****** ช*******</t>
  </si>
  <si>
    <t>(+66)061*****79</t>
  </si>
  <si>
    <t>เทศบาลนครนครศรีธรรมราช</t>
  </si>
  <si>
    <t>ทุ่งใหญ่</t>
  </si>
  <si>
    <t>*************************************************************************************************************************</t>
  </si>
  <si>
    <t>1195560655467873441</t>
  </si>
  <si>
    <t>583919608701683147</t>
  </si>
  <si>
    <t>08/05/2026 10:28:17</t>
  </si>
  <si>
    <t>09/05/2026 17:23:04</t>
  </si>
  <si>
    <t>08/05/2026 13:21:48</t>
  </si>
  <si>
    <t>08/05/2026 17:40:02</t>
  </si>
  <si>
    <t>THT2008595T016Z</t>
  </si>
  <si>
    <t>1***tawut4</t>
  </si>
  <si>
    <t>ห*********** ท*****</t>
  </si>
  <si>
    <t>(+66)982****64</t>
  </si>
  <si>
    <t>สัตหีบ</t>
  </si>
  <si>
    <t>1195558405696619979</t>
  </si>
  <si>
    <t>583919271072597247</t>
  </si>
  <si>
    <t>146.03</t>
  </si>
  <si>
    <t>08/05/2026 10:06:48</t>
  </si>
  <si>
    <t>10/05/2026 12:38:24</t>
  </si>
  <si>
    <t>08/05/2026 17:39:45</t>
  </si>
  <si>
    <t>THT1006595C8M7Z</t>
  </si>
  <si>
    <t>p***o_jidee</t>
  </si>
  <si>
    <t>ร****** ล******</t>
  </si>
  <si>
    <t>(+66)836****93</t>
  </si>
  <si>
    <t>บ้านหมอ</t>
  </si>
  <si>
    <t>1195555180900943103</t>
  </si>
  <si>
    <t>92.97</t>
  </si>
  <si>
    <t>583918730333881794</t>
  </si>
  <si>
    <t>08/05/2026 09:30:10</t>
  </si>
  <si>
    <t>11/05/2026 14:28:06</t>
  </si>
  <si>
    <t>08/05/2026 17:40:03</t>
  </si>
  <si>
    <t>THT7111595C6G7Z</t>
  </si>
  <si>
    <t>b***bas.m</t>
  </si>
  <si>
    <t>A**** M******</t>
  </si>
  <si>
    <t>(+66)097*****49</t>
  </si>
  <si>
    <t>1195550759215662530</t>
  </si>
  <si>
    <t>583916587135173971</t>
  </si>
  <si>
    <t>104.2</t>
  </si>
  <si>
    <t>134.8</t>
  </si>
  <si>
    <t>08/05/2026 06:03:05</t>
  </si>
  <si>
    <t>10/05/2026 13:54:37</t>
  </si>
  <si>
    <t>08/05/2026 17:39:49</t>
  </si>
  <si>
    <t>THT4005595C2P1Z</t>
  </si>
  <si>
    <t>k***kaew643</t>
  </si>
  <si>
    <t>น******** ห*******</t>
  </si>
  <si>
    <t>(+66)098*****09</t>
  </si>
  <si>
    <t>1195528869984240979</t>
  </si>
  <si>
    <t>583915377898325924</t>
  </si>
  <si>
    <t>08/05/2026 01:05:17</t>
  </si>
  <si>
    <t>09/05/2026 16:18:49</t>
  </si>
  <si>
    <t>08/05/2026 17:40:06</t>
  </si>
  <si>
    <t>THT0116595T5Z6Z</t>
  </si>
  <si>
    <t>1195520642255587236</t>
  </si>
  <si>
    <t>583915239707477924</t>
  </si>
  <si>
    <t>08/05/2026 00:42:49</t>
  </si>
  <si>
    <t>09/05/2026 12:06:46</t>
  </si>
  <si>
    <t>08/05/2026 13:19:59</t>
  </si>
  <si>
    <t>08/05/2026 17:39:43</t>
  </si>
  <si>
    <t>THT0116595C233Z</t>
  </si>
  <si>
    <t>1195520051433211812</t>
  </si>
  <si>
    <t>583906398218913626</t>
  </si>
  <si>
    <t>07/05/2026 13:58:02</t>
  </si>
  <si>
    <t>09/05/2026 16:12:45</t>
  </si>
  <si>
    <t>08/05/2026 17:39:51</t>
  </si>
  <si>
    <t>THT0701595C7A3Z</t>
  </si>
  <si>
    <t>a***y_m</t>
  </si>
  <si>
    <t>น***** เ********</t>
  </si>
  <si>
    <t>(+66)083*****35</t>
  </si>
  <si>
    <t>1195463988599949146</t>
  </si>
  <si>
    <t>583906141274867021</t>
  </si>
  <si>
    <t>07/05/2026 13:57:20</t>
  </si>
  <si>
    <t>08/05/2026 17:39:56</t>
  </si>
  <si>
    <t>10/05/2026 13:34:51</t>
  </si>
  <si>
    <t>THT1201595C9U5Z</t>
  </si>
  <si>
    <t>f***wavyou</t>
  </si>
  <si>
    <t>อ***** ช*******</t>
  </si>
  <si>
    <t>(+66)818****33</t>
  </si>
  <si>
    <t>1195463723213358413</t>
  </si>
  <si>
    <t>583906141263923009</t>
  </si>
  <si>
    <t>07/05/2026 13:57:16</t>
  </si>
  <si>
    <t>07/05/2026 13:57:15</t>
  </si>
  <si>
    <t>08/05/2026 17:40:13</t>
  </si>
  <si>
    <t>09/05/2026 14:36:01</t>
  </si>
  <si>
    <t>THT5601595SYU2Z</t>
  </si>
  <si>
    <t>d***__shop</t>
  </si>
  <si>
    <t>D*** S***</t>
  </si>
  <si>
    <t>(+66)888****71</t>
  </si>
  <si>
    <t>เมืองนครสวรรค์</t>
  </si>
  <si>
    <t>1195464419611805505</t>
  </si>
  <si>
    <t>583905861577443090</t>
  </si>
  <si>
    <t>07/05/2026 13:24:19</t>
  </si>
  <si>
    <t>08/05/2026 17:39:57</t>
  </si>
  <si>
    <t>10/05/2026 12:46:55</t>
  </si>
  <si>
    <t>THT2713595T1E4Z</t>
  </si>
  <si>
    <t>b***anocha_5</t>
  </si>
  <si>
    <t>เ**** อ**** C******</t>
  </si>
  <si>
    <t>ประทาย</t>
  </si>
  <si>
    <t>1195458523369801490</t>
  </si>
  <si>
    <t>583905503195923755</t>
  </si>
  <si>
    <t>07/05/2026 13:08:12</t>
  </si>
  <si>
    <t>08/05/2026 13:21:41</t>
  </si>
  <si>
    <t>08/05/2026 17:39:59</t>
  </si>
  <si>
    <t>09/05/2026 15:29:14</t>
  </si>
  <si>
    <t>THT2409595C3Z9Z</t>
  </si>
  <si>
    <t>s***rat.nuk1996</t>
  </si>
  <si>
    <t>ส******** เ*********</t>
  </si>
  <si>
    <t>(+66)823****87</t>
  </si>
  <si>
    <t>แปลงยาว</t>
  </si>
  <si>
    <t>1195456999775569195</t>
  </si>
  <si>
    <t>583904840186628082</t>
  </si>
  <si>
    <t>07/05/2026 12:14:20</t>
  </si>
  <si>
    <t>09/05/2026 13:04:55</t>
  </si>
  <si>
    <t>07/05/2026 12:39:20</t>
  </si>
  <si>
    <t>07/05/2026 15:32:07</t>
  </si>
  <si>
    <t>THT6504593F0Y6Z</t>
  </si>
  <si>
    <t>u***6700339183947</t>
  </si>
  <si>
    <t>ธ*** โ*******</t>
  </si>
  <si>
    <t>(+66)062*****93</t>
  </si>
  <si>
    <t>คลองท่อม</t>
  </si>
  <si>
    <t>1195450468024813554</t>
  </si>
  <si>
    <t>583904080056321405</t>
  </si>
  <si>
    <t>07/05/2026 11:42:12</t>
  </si>
  <si>
    <t>07/05/2026 15:33:32</t>
  </si>
  <si>
    <t>08/05/2026 16:18:34</t>
  </si>
  <si>
    <t>THT0118593ER04Z</t>
  </si>
  <si>
    <t>v***25481</t>
  </si>
  <si>
    <t>ธ*******</t>
  </si>
  <si>
    <t>(+66)838****16</t>
  </si>
  <si>
    <t>1195446213985273213</t>
  </si>
  <si>
    <t>583903446956410494</t>
  </si>
  <si>
    <t>07/05/2026 11:00:14</t>
  </si>
  <si>
    <t>07/05/2026 15:32:09</t>
  </si>
  <si>
    <t>08/05/2026 10:07:11</t>
  </si>
  <si>
    <t>THT15075935Q11Z</t>
  </si>
  <si>
    <t>k***_kalis</t>
  </si>
  <si>
    <t>ด*****</t>
  </si>
  <si>
    <t>(+66)081*****92</t>
  </si>
  <si>
    <t>พุทธมณฑล</t>
  </si>
  <si>
    <t>1195442317654263422</t>
  </si>
  <si>
    <t>583903419008910801</t>
  </si>
  <si>
    <t>07/05/2026 10:56:19</t>
  </si>
  <si>
    <t>07/05/2026 15:32:47</t>
  </si>
  <si>
    <t>09/05/2026 17:45:21</t>
  </si>
  <si>
    <t>THT67025935KA3Z</t>
  </si>
  <si>
    <t>a***_a.n</t>
  </si>
  <si>
    <t>อ**** อ****</t>
  </si>
  <si>
    <t>(+66)612****52</t>
  </si>
  <si>
    <t>1195441275810710993</t>
  </si>
  <si>
    <t>583903191559996659</t>
  </si>
  <si>
    <t>07/05/2026 10:47:19</t>
  </si>
  <si>
    <t>07/05/2026 15:32:29</t>
  </si>
  <si>
    <t>09/05/2026 13:45:10</t>
  </si>
  <si>
    <t>THT6801593F058Z</t>
  </si>
  <si>
    <t>p***29</t>
  </si>
  <si>
    <t>น**** บ*****</t>
  </si>
  <si>
    <t>(+66)823****15</t>
  </si>
  <si>
    <t>เมืองสุราษฎร์ธานี</t>
  </si>
  <si>
    <t>1195439998133961971</t>
  </si>
  <si>
    <t>583903310310704497</t>
  </si>
  <si>
    <t>95.4</t>
  </si>
  <si>
    <t>07/05/2026 10:36:59</t>
  </si>
  <si>
    <t>07/05/2026 10:37:02</t>
  </si>
  <si>
    <t>07/05/2026 15:32:16</t>
  </si>
  <si>
    <t>09/05/2026 16:12:00</t>
  </si>
  <si>
    <t>THT21085935QM1Z</t>
  </si>
  <si>
    <t>b***vero</t>
  </si>
  <si>
    <t>บ***** ท******</t>
  </si>
  <si>
    <t>(+66)611****62</t>
  </si>
  <si>
    <t>**************************************************************************************************</t>
  </si>
  <si>
    <t>1195438756186260849</t>
  </si>
  <si>
    <t>10.6</t>
  </si>
  <si>
    <t>583902453233452930</t>
  </si>
  <si>
    <t>07/05/2026 09:47:14</t>
  </si>
  <si>
    <t>07/05/2026 09:47:13</t>
  </si>
  <si>
    <t>07/05/2026 15:33:21</t>
  </si>
  <si>
    <t>08/05/2026 16:57:20</t>
  </si>
  <si>
    <t>THT01465935KV1Z</t>
  </si>
  <si>
    <t>l***okmai</t>
  </si>
  <si>
    <t>ล*****</t>
  </si>
  <si>
    <t>(+66)618****29</t>
  </si>
  <si>
    <t>สาทร</t>
  </si>
  <si>
    <t>1195433536144967554</t>
  </si>
  <si>
    <t>583902538283648291</t>
  </si>
  <si>
    <t>07/05/2026 09:46:25</t>
  </si>
  <si>
    <t>07/05/2026 15:33:34</t>
  </si>
  <si>
    <t>08/05/2026 11:47:35</t>
  </si>
  <si>
    <t>THT01415935K25Z</t>
  </si>
  <si>
    <t>k***yrosie</t>
  </si>
  <si>
    <t>ก**** พ**********</t>
  </si>
  <si>
    <t>1195432287335843107</t>
  </si>
  <si>
    <t>583902453191837634</t>
  </si>
  <si>
    <t>07/05/2026 09:46:14</t>
  </si>
  <si>
    <t>07/05/2026 15:32:33</t>
  </si>
  <si>
    <t>08/05/2026 12:30:25</t>
  </si>
  <si>
    <t>THT1404593ER02Z</t>
  </si>
  <si>
    <t>b***n.pw</t>
  </si>
  <si>
    <t>ป******</t>
  </si>
  <si>
    <t>1195433266575804354</t>
  </si>
  <si>
    <t>583902351528854622</t>
  </si>
  <si>
    <t>378</t>
  </si>
  <si>
    <t>07/05/2026 09:29:25</t>
  </si>
  <si>
    <t>07/05/2026 09:29:29</t>
  </si>
  <si>
    <t>07/05/2026 15:32:54</t>
  </si>
  <si>
    <t>08/05/2026 13:25:42</t>
  </si>
  <si>
    <t>THT27215935RN5Z</t>
  </si>
  <si>
    <t>c***me_chomphu</t>
  </si>
  <si>
    <t>ช****</t>
  </si>
  <si>
    <t>(+66)815****99</t>
  </si>
  <si>
    <t>Pak Chong</t>
  </si>
  <si>
    <t>1195430616506860638</t>
  </si>
  <si>
    <t>583902246787777786</t>
  </si>
  <si>
    <t>07/05/2026 09:22:25</t>
  </si>
  <si>
    <t>08/05/2026 14:34:13</t>
  </si>
  <si>
    <t>07/05/2026 15:32:04</t>
  </si>
  <si>
    <t>THT0151593F1E8Z</t>
  </si>
  <si>
    <t>s***pawongvinyooc</t>
  </si>
  <si>
    <t>ษ****</t>
  </si>
  <si>
    <t>(+66)081*****87</t>
  </si>
  <si>
    <t>1195429388640945402</t>
  </si>
  <si>
    <t>583902067349227090</t>
  </si>
  <si>
    <t>07/05/2026 09:13:57</t>
  </si>
  <si>
    <t>07/05/2026 09:13:59</t>
  </si>
  <si>
    <t>07/05/2026 12:37:45</t>
  </si>
  <si>
    <t>07/05/2026 15:32:22</t>
  </si>
  <si>
    <t>08/05/2026 17:26:01</t>
  </si>
  <si>
    <t>THT2506593EUY8Z</t>
  </si>
  <si>
    <t>m***tangkwua</t>
  </si>
  <si>
    <t>ว***** บ******</t>
  </si>
  <si>
    <t>ศรีมหาโพธิ</t>
  </si>
  <si>
    <t>1195428128638994002</t>
  </si>
  <si>
    <t>583900676305356679</t>
  </si>
  <si>
    <t>35.85</t>
  </si>
  <si>
    <t>203.15</t>
  </si>
  <si>
    <t>07/05/2026 07:24:53</t>
  </si>
  <si>
    <t>07/05/2026 07:25:36</t>
  </si>
  <si>
    <t>07/05/2026 15:32:57</t>
  </si>
  <si>
    <t>08/05/2026 11:29:41</t>
  </si>
  <si>
    <t>THT0124593EWD6Z</t>
  </si>
  <si>
    <t>k***nasi8</t>
  </si>
  <si>
    <t>ค*****</t>
  </si>
  <si>
    <t>(+66)614****90</t>
  </si>
  <si>
    <t>1195414216300988295</t>
  </si>
  <si>
    <t>583894611381618540</t>
  </si>
  <si>
    <t>06/05/2026 20:55:37</t>
  </si>
  <si>
    <t>06/05/2026 20:56:52</t>
  </si>
  <si>
    <t>k***oolkaenjan</t>
  </si>
  <si>
    <t>เ******* แ*********</t>
  </si>
  <si>
    <t>(+66)063*****28</t>
  </si>
  <si>
    <t>ชุมแสง</t>
  </si>
  <si>
    <t>583891272014333796</t>
  </si>
  <si>
    <t>06/05/2026 18:02:17</t>
  </si>
  <si>
    <t>06/05/2026 18:02:16</t>
  </si>
  <si>
    <t>07/05/2026 15:33:25</t>
  </si>
  <si>
    <t>08/05/2026 14:34:56</t>
  </si>
  <si>
    <t>THT0105593EYA0Z</t>
  </si>
  <si>
    <t>b***mbheem538</t>
  </si>
  <si>
    <t>T********</t>
  </si>
  <si>
    <t>(+66)955****74</t>
  </si>
  <si>
    <t>1195370926632372068</t>
  </si>
  <si>
    <t>583890933058799243</t>
  </si>
  <si>
    <t>06/05/2026 17:41:14</t>
  </si>
  <si>
    <t>07/05/2026 15:32:27</t>
  </si>
  <si>
    <t>09/05/2026 12:48:59</t>
  </si>
  <si>
    <t>THT29055935P91Z</t>
  </si>
  <si>
    <t>1195368495571437195</t>
  </si>
  <si>
    <t>583890368525796848</t>
  </si>
  <si>
    <t>06/05/2026 16:58:12</t>
  </si>
  <si>
    <t>07/05/2026 15:32:50</t>
  </si>
  <si>
    <t>08/05/2026 20:37:02</t>
  </si>
  <si>
    <t>THT0103593EWD4Z</t>
  </si>
  <si>
    <t>i***aa999</t>
  </si>
  <si>
    <t>อ******* พ*************</t>
  </si>
  <si>
    <t>(+66)629****69</t>
  </si>
  <si>
    <t>เขตคลองสามวา</t>
  </si>
  <si>
    <t>1195363592934229488</t>
  </si>
  <si>
    <t>583890483607668675</t>
  </si>
  <si>
    <t>06/05/2026 16:55:16</t>
  </si>
  <si>
    <t>07/05/2026 15:33:41</t>
  </si>
  <si>
    <t>08/05/2026 11:55:28</t>
  </si>
  <si>
    <t>THT27015935RN7Z</t>
  </si>
  <si>
    <t>p***zsktp</t>
  </si>
  <si>
    <t>ส****** ส********</t>
  </si>
  <si>
    <t>1195364017420208067</t>
  </si>
  <si>
    <t>583889866640164319</t>
  </si>
  <si>
    <t>06/05/2026 16:20:28</t>
  </si>
  <si>
    <t>07/05/2026 15:33:31</t>
  </si>
  <si>
    <t>08/05/2026 11:25:26</t>
  </si>
  <si>
    <t>THT02055935MQ7Z</t>
  </si>
  <si>
    <t>m***ome.item11</t>
  </si>
  <si>
    <t>ส********* ก************</t>
  </si>
  <si>
    <t>(+66)085*****46</t>
  </si>
  <si>
    <t>พระสมุทรเจดีย์</t>
  </si>
  <si>
    <t>1195358779075954143</t>
  </si>
  <si>
    <t>583889866602940275</t>
  </si>
  <si>
    <t>06/05/2026 16:20:16</t>
  </si>
  <si>
    <t>07/05/2026 15:33:17</t>
  </si>
  <si>
    <t>08/05/2026 11:51:29</t>
  </si>
  <si>
    <t>THT0148593EWD2Z</t>
  </si>
  <si>
    <t>s***ao.p</t>
  </si>
  <si>
    <t>ป******* ว******</t>
  </si>
  <si>
    <t>(+66)944****75</t>
  </si>
  <si>
    <t>เขตหนองแขม</t>
  </si>
  <si>
    <t>1195359291269416819</t>
  </si>
  <si>
    <t>583889866604120049</t>
  </si>
  <si>
    <t>06/05/2026 16:20:15</t>
  </si>
  <si>
    <t>07/05/2026 15:33:13</t>
  </si>
  <si>
    <t>09/05/2026 16:53:42</t>
  </si>
  <si>
    <t>THT0148593EV84Z</t>
  </si>
  <si>
    <t>d***may27</t>
  </si>
  <si>
    <t>ธ*****</t>
  </si>
  <si>
    <t>(+66)983****96</t>
  </si>
  <si>
    <t>1195359898618202097</t>
  </si>
  <si>
    <t>583889769552119329</t>
  </si>
  <si>
    <t>07/05/2026 15:33:42</t>
  </si>
  <si>
    <t>09/05/2026 13:54:16</t>
  </si>
  <si>
    <t>THT3805593EXA6Z</t>
  </si>
  <si>
    <t>3***somlak</t>
  </si>
  <si>
    <t>ส**** ภ********</t>
  </si>
  <si>
    <t>(+66)083*****71</t>
  </si>
  <si>
    <t>เทศบาลนครอุดรธานี</t>
  </si>
  <si>
    <t>โนนสะอาด</t>
  </si>
  <si>
    <t>1195360150154872353</t>
  </si>
  <si>
    <t>583889866599204386</t>
  </si>
  <si>
    <t>06/05/2026 16:20:14</t>
  </si>
  <si>
    <t>07/05/2026 15:32:41</t>
  </si>
  <si>
    <t>09/05/2026 19:51:38</t>
  </si>
  <si>
    <t>THT01375935MQ9Z</t>
  </si>
  <si>
    <t>w***ay2603</t>
  </si>
  <si>
    <t>เ***** ร*****</t>
  </si>
  <si>
    <t>(+66)645****29</t>
  </si>
  <si>
    <t>1195358774782952994</t>
  </si>
  <si>
    <t>583889769553232912</t>
  </si>
  <si>
    <t>06/05/2026 16:20:12</t>
  </si>
  <si>
    <t>07/05/2026 15:32:44</t>
  </si>
  <si>
    <t>09/05/2026 18:09:39</t>
  </si>
  <si>
    <t>THT37015935P93Z</t>
  </si>
  <si>
    <t>n***h.hx</t>
  </si>
  <si>
    <t>ช*** ส******</t>
  </si>
  <si>
    <t>(+66)094*****35</t>
  </si>
  <si>
    <t>1195359898649527312</t>
  </si>
  <si>
    <t>583889866585637905</t>
  </si>
  <si>
    <t>06/05/2026 16:20:10</t>
  </si>
  <si>
    <t>07/05/2026 15:32:35</t>
  </si>
  <si>
    <t>10/05/2026 14:40:26</t>
  </si>
  <si>
    <t>THT47195935QK9Z</t>
  </si>
  <si>
    <t>j***lry6768</t>
  </si>
  <si>
    <t>(+66)081*****24</t>
  </si>
  <si>
    <t>1195359543080027153</t>
  </si>
  <si>
    <t>583889866322641937</t>
  </si>
  <si>
    <t>06/05/2026 16:14:14</t>
  </si>
  <si>
    <t>07/05/2026 15:33:07</t>
  </si>
  <si>
    <t>10/05/2026 14:46:58</t>
  </si>
  <si>
    <t>THT47215935QM3Z</t>
  </si>
  <si>
    <t>s***sa_giftshop</t>
  </si>
  <si>
    <t>น** ส***** ก*********</t>
  </si>
  <si>
    <t>(+66)093*****20</t>
  </si>
  <si>
    <t>อำเภอไชยปราการ</t>
  </si>
  <si>
    <t>1195357676719342609</t>
  </si>
  <si>
    <t>583889866322445741</t>
  </si>
  <si>
    <t>06/05/2026 16:14:13</t>
  </si>
  <si>
    <t>07/05/2026 15:33:11</t>
  </si>
  <si>
    <t>09/05/2026 13:30:49</t>
  </si>
  <si>
    <t>THT30035935P89Z</t>
  </si>
  <si>
    <t>c***__nimon</t>
  </si>
  <si>
    <t>ส****** ไ*******</t>
  </si>
  <si>
    <t>(+66)063*****12</t>
  </si>
  <si>
    <t>กันทรารมย์</t>
  </si>
  <si>
    <t>1195358155532436909</t>
  </si>
  <si>
    <t>583889866321855953</t>
  </si>
  <si>
    <t>07/05/2026 15:33:36</t>
  </si>
  <si>
    <t>08/05/2026 11:40:41</t>
  </si>
  <si>
    <t>THT0142593ERG6Z</t>
  </si>
  <si>
    <t>m***ida_tukta</t>
  </si>
  <si>
    <t>ส*****  ป***********</t>
  </si>
  <si>
    <t>(+66)622****74</t>
  </si>
  <si>
    <t>***************************************************************************************************************************</t>
  </si>
  <si>
    <t>1195358154830415313</t>
  </si>
  <si>
    <t>583889866321134610</t>
  </si>
  <si>
    <t>06/05/2026 16:14:12</t>
  </si>
  <si>
    <t>06/05/2026 16:14:11</t>
  </si>
  <si>
    <t>07/05/2026 15:33:26</t>
  </si>
  <si>
    <t>08/05/2026 15:46:14</t>
  </si>
  <si>
    <t>THT2710593EWZ6Z</t>
  </si>
  <si>
    <t>s***lynandmom</t>
  </si>
  <si>
    <t>(+66)984****05</t>
  </si>
  <si>
    <t>โนนสูง</t>
  </si>
  <si>
    <t>1195358653589521426</t>
  </si>
  <si>
    <t>583888740809934083</t>
  </si>
  <si>
    <t>1735424696771708400</t>
  </si>
  <si>
    <t>B-231</t>
  </si>
  <si>
    <t>KINBATA ดับกลิ่นไล่แมลง ปลอดภัยและปลอด สารพิษ ลูกเหม็นไล่แมลงสาบ 48 ซอง สารสกัดจ ปลอดภัย กันแมลง กันกลิ่นลูกเหม็น มีกลื่นห</t>
  </si>
  <si>
    <t>1 BOX （48pcs）</t>
  </si>
  <si>
    <t>238</t>
  </si>
  <si>
    <t>06/05/2026 14:57:52</t>
  </si>
  <si>
    <t>06/05/2026 14:57:57</t>
  </si>
  <si>
    <t>07/05/2026 15:33:19</t>
  </si>
  <si>
    <t>08/05/2026 14:25:06</t>
  </si>
  <si>
    <t>THT0506593F056Z</t>
  </si>
  <si>
    <t>k***ichapa</t>
  </si>
  <si>
    <t>ณ***** แ*****</t>
  </si>
  <si>
    <t>(+66)089*****89</t>
  </si>
  <si>
    <t>บางปะอิน</t>
  </si>
  <si>
    <t>防蛀、防霉和防潮用品</t>
  </si>
  <si>
    <t>1195348979150062851</t>
  </si>
  <si>
    <t>583887669980661586</t>
  </si>
  <si>
    <t>06/05/2026 13:47:18</t>
  </si>
  <si>
    <t>10/05/2026 15:51:20</t>
  </si>
  <si>
    <t>07/05/2026 15:33:23</t>
  </si>
  <si>
    <t>THT54015935MR1Z</t>
  </si>
  <si>
    <t>y***m4</t>
  </si>
  <si>
    <t>น***** ย**** ย*******</t>
  </si>
  <si>
    <t>(+66)898****96</t>
  </si>
  <si>
    <t>เมืองเชียงราย</t>
  </si>
  <si>
    <t>1195340206797588306</t>
  </si>
  <si>
    <t>583887309421446901</t>
  </si>
  <si>
    <t>06/05/2026 13:23:45</t>
  </si>
  <si>
    <t>10/05/2026 15:12:38</t>
  </si>
  <si>
    <t>07/05/2026 15:33:29</t>
  </si>
  <si>
    <t>THT47145935K23Z</t>
  </si>
  <si>
    <t>c***iyaa10</t>
  </si>
  <si>
    <t>ช**********</t>
  </si>
  <si>
    <t>(+66)842****65</t>
  </si>
  <si>
    <t>1195337124228138741</t>
  </si>
  <si>
    <t>583886819850094325</t>
  </si>
  <si>
    <t>187</t>
  </si>
  <si>
    <t>06/05/2026 12:57:44</t>
  </si>
  <si>
    <t>06/05/2026 13:24:11</t>
  </si>
  <si>
    <t>1195334066776147701</t>
  </si>
  <si>
    <t>【KINBATA】ผงชักผ้าขาว แถมฟรี แผ่นดูดสี 1 กล่อง น้ํายาฟอกผ้าขาว ผงขจัดคราบซักผ้า 1100g คราบน้ํายาฟอกผ้าขาวเหลืองก็หาย คราบหนักก็ออก เสื้อขาวสะอาดเหมือนใหม่ ใช้ง่าย</t>
  </si>
  <si>
    <t>13.2</t>
  </si>
  <si>
    <t>193.8</t>
  </si>
  <si>
    <t>583885938975147955</t>
  </si>
  <si>
    <t>06/05/2026 11:55:54</t>
  </si>
  <si>
    <t>06/05/2026 16:01:21</t>
  </si>
  <si>
    <t>07/05/2026 15:33:05</t>
  </si>
  <si>
    <t>08/05/2026 13:07:24</t>
  </si>
  <si>
    <t>THT0114593EWZ8Z</t>
  </si>
  <si>
    <t>d***k_3rd</t>
  </si>
  <si>
    <t>น******* เ*********</t>
  </si>
  <si>
    <t>(+66)659****13</t>
  </si>
  <si>
    <t>1195356659856738227</t>
  </si>
  <si>
    <t>583884494330693628</t>
  </si>
  <si>
    <t>114.9</t>
  </si>
  <si>
    <t>124.1</t>
  </si>
  <si>
    <t>06/05/2026 10:14:28</t>
  </si>
  <si>
    <t>06/05/2026 10:14:29</t>
  </si>
  <si>
    <t>06/05/2026 12:02:57</t>
  </si>
  <si>
    <t>06/05/2026 14:02:31</t>
  </si>
  <si>
    <t>07/05/2026 13:56:50</t>
  </si>
  <si>
    <t>THT01145910VT6Z</t>
  </si>
  <si>
    <t>b***ycool</t>
  </si>
  <si>
    <t>ส****** ล*****</t>
  </si>
  <si>
    <t>(+66)081*****77</t>
  </si>
  <si>
    <t>เขตบางกอกน้อย</t>
  </si>
  <si>
    <t>1195313864762034172</t>
  </si>
  <si>
    <t>583883869863314764</t>
  </si>
  <si>
    <t>06/05/2026 09:26:32</t>
  </si>
  <si>
    <t>08/05/2026 14:09:46</t>
  </si>
  <si>
    <t>06/05/2026 14:02:49</t>
  </si>
  <si>
    <t>THT2909590R4C5Z</t>
  </si>
  <si>
    <t>f***songfocus6</t>
  </si>
  <si>
    <t>บ******* ส******</t>
  </si>
  <si>
    <t>(+66)631****54</t>
  </si>
  <si>
    <t>1195307426688435532</t>
  </si>
  <si>
    <t>583882862013285531</t>
  </si>
  <si>
    <t>06/05/2026 08:02:33</t>
  </si>
  <si>
    <t>08/05/2026 19:04:41</t>
  </si>
  <si>
    <t>06/05/2026 14:02:07</t>
  </si>
  <si>
    <t>THT6801590R5P1Z</t>
  </si>
  <si>
    <t>i***ra_meedech</t>
  </si>
  <si>
    <t>อ**** ม****</t>
  </si>
  <si>
    <t>(+66)805****39</t>
  </si>
  <si>
    <t>1195294315177804955</t>
  </si>
  <si>
    <t>583873252153066557</t>
  </si>
  <si>
    <t>05/05/2026 17:56:11</t>
  </si>
  <si>
    <t>05/05/2026 17:56:10</t>
  </si>
  <si>
    <t>06/05/2026 14:02:14</t>
  </si>
  <si>
    <t>07/05/2026 12:16:59</t>
  </si>
  <si>
    <t>THT27015911100Z</t>
  </si>
  <si>
    <t>k***ereview</t>
  </si>
  <si>
    <t>(+66)957****59</t>
  </si>
  <si>
    <t>1195243453902455869</t>
  </si>
  <si>
    <t>583873252141860844</t>
  </si>
  <si>
    <t>05/05/2026 17:55:11</t>
  </si>
  <si>
    <t>06/05/2026 14:02:16</t>
  </si>
  <si>
    <t>08/05/2026 13:22:20</t>
  </si>
  <si>
    <t>THT650459111J8Z</t>
  </si>
  <si>
    <t>n***an1994_</t>
  </si>
  <si>
    <t>(+66)822****70</t>
  </si>
  <si>
    <t>1195242318726334444</t>
  </si>
  <si>
    <t>583873253026924152</t>
  </si>
  <si>
    <t>05/05/2026 17:44:11</t>
  </si>
  <si>
    <t>06/05/2026 14:02:46</t>
  </si>
  <si>
    <t>08/05/2026 14:29:44</t>
  </si>
  <si>
    <t>THT38015911102Z</t>
  </si>
  <si>
    <t>n***151509740234</t>
  </si>
  <si>
    <t>ห****</t>
  </si>
  <si>
    <t>(+66)064*****24</t>
  </si>
  <si>
    <t>เมืองอุดรธานี</t>
  </si>
  <si>
    <t>1195241800103855736</t>
  </si>
  <si>
    <t>583873251777873065</t>
  </si>
  <si>
    <t>05/05/2026 17:38:12</t>
  </si>
  <si>
    <t>06/05/2026 14:02:18</t>
  </si>
  <si>
    <t>08/05/2026 14:23:39</t>
  </si>
  <si>
    <t>THT6101590R4Q7Z</t>
  </si>
  <si>
    <t>a***281</t>
  </si>
  <si>
    <t>ส******* ว****** แ*******</t>
  </si>
  <si>
    <t>(+66)063*****16</t>
  </si>
  <si>
    <t>1195240521032107177</t>
  </si>
  <si>
    <t>583872351791121463</t>
  </si>
  <si>
    <t>19</t>
  </si>
  <si>
    <t>20.16</t>
  </si>
  <si>
    <t>05/05/2026 16:11:13</t>
  </si>
  <si>
    <t>05/05/2026 16:11:39</t>
  </si>
  <si>
    <t>06/05/2026 14:02:40</t>
  </si>
  <si>
    <t>08/05/2026 13:06:57</t>
  </si>
  <si>
    <t>THT15015910ZX6Z</t>
  </si>
  <si>
    <t>u***9690542080612</t>
  </si>
  <si>
    <t>ส**** ข****</t>
  </si>
  <si>
    <t>(+66)632****99</t>
  </si>
  <si>
    <t>1195231472001188919</t>
  </si>
  <si>
    <t>114.84</t>
  </si>
  <si>
    <t>1.16</t>
  </si>
  <si>
    <t>583872233552250057</t>
  </si>
  <si>
    <t>05/05/2026 16:08:39</t>
  </si>
  <si>
    <t>06/05/2026 05:04:54</t>
  </si>
  <si>
    <t>1195230334114890953</t>
  </si>
  <si>
    <t>583871956224673669</t>
  </si>
  <si>
    <t>05/05/2026 16:03:13</t>
  </si>
  <si>
    <t>06/05/2026 14:02:24</t>
  </si>
  <si>
    <t>07/05/2026 17:18:03</t>
  </si>
  <si>
    <t>THT1308590R3C7Z</t>
  </si>
  <si>
    <t>n***ahp_555</t>
  </si>
  <si>
    <t>ญ*** พ******</t>
  </si>
  <si>
    <t>(+66)956****37</t>
  </si>
  <si>
    <t>1195229802614196101</t>
  </si>
  <si>
    <t>583871202524300385</t>
  </si>
  <si>
    <t>05/05/2026 15:17:22</t>
  </si>
  <si>
    <t>06/05/2026 14:02:10</t>
  </si>
  <si>
    <t>07/05/2026 13:46:34</t>
  </si>
  <si>
    <t>THT04075910ZF2Z</t>
  </si>
  <si>
    <t>d***eereallif</t>
  </si>
  <si>
    <t>(+66)992****38</t>
  </si>
  <si>
    <t>1195223595987534945</t>
  </si>
  <si>
    <t>583871202209203359</t>
  </si>
  <si>
    <t>05/05/2026 15:07:22</t>
  </si>
  <si>
    <t>06/05/2026 14:02:43</t>
  </si>
  <si>
    <t>08/05/2026 14:06:08</t>
  </si>
  <si>
    <t>THT43165910V72Z</t>
  </si>
  <si>
    <t>k***ya700</t>
  </si>
  <si>
    <t>(+66)099*****51</t>
  </si>
  <si>
    <t>นาคู</t>
  </si>
  <si>
    <t>1195222979879404703</t>
  </si>
  <si>
    <t>583869576919614481</t>
  </si>
  <si>
    <t>05/05/2026 13:24:14</t>
  </si>
  <si>
    <t>05/05/2026 13:24:13</t>
  </si>
  <si>
    <t>06/05/2026 14:02:37</t>
  </si>
  <si>
    <t>09/05/2026 16:47:15</t>
  </si>
  <si>
    <t>THT25025910YN2Z</t>
  </si>
  <si>
    <t>p***aranya</t>
  </si>
  <si>
    <t>ส******* พ********</t>
  </si>
  <si>
    <t>(+66)095*****35</t>
  </si>
  <si>
    <t>1195209129648489489</t>
  </si>
  <si>
    <t>583868981008369650</t>
  </si>
  <si>
    <t>05/05/2026 13:17:10</t>
  </si>
  <si>
    <t>06/05/2026 14:02:22</t>
  </si>
  <si>
    <t>09/05/2026 12:52:09</t>
  </si>
  <si>
    <t>THT7301590R8E3Z</t>
  </si>
  <si>
    <t>b***zx23</t>
  </si>
  <si>
    <t>เ*** ร********</t>
  </si>
  <si>
    <t>(+66)936****43</t>
  </si>
  <si>
    <t>1195207988311918578</t>
  </si>
  <si>
    <t>583867533862536857</t>
  </si>
  <si>
    <t>05/05/2026 11:30:13</t>
  </si>
  <si>
    <t>05/05/2026 11:30:12</t>
  </si>
  <si>
    <t>05/05/2026 12:16:47</t>
  </si>
  <si>
    <t>05/05/2026 14:55:08</t>
  </si>
  <si>
    <t>07/05/2026 11:42:25</t>
  </si>
  <si>
    <t>THT530158YNMW6Z</t>
  </si>
  <si>
    <t>m***ushi</t>
  </si>
  <si>
    <t>น*********** ก******</t>
  </si>
  <si>
    <t>(+66)801****47</t>
  </si>
  <si>
    <t>เมืองพะเยา</t>
  </si>
  <si>
    <t>1195193714706712217</t>
  </si>
  <si>
    <t>583866807537468701</t>
  </si>
  <si>
    <t>05/05/2026 10:39:12</t>
  </si>
  <si>
    <t>05/05/2026 12:16:46</t>
  </si>
  <si>
    <t>05/05/2026 14:55:14</t>
  </si>
  <si>
    <t>06/05/2026 15:36:25</t>
  </si>
  <si>
    <t>THT200758YNQG0Z</t>
  </si>
  <si>
    <t>r***_lay</t>
  </si>
  <si>
    <t>ม*****************</t>
  </si>
  <si>
    <t>(+66)616****16</t>
  </si>
  <si>
    <t>1195186750939235613</t>
  </si>
  <si>
    <t>583865725735961915</t>
  </si>
  <si>
    <t>05/05/2026 09:26:20</t>
  </si>
  <si>
    <t>05/05/2026 14:54:47</t>
  </si>
  <si>
    <t>07/05/2026 11:29:35</t>
  </si>
  <si>
    <t>THT540158YNRG4Z</t>
  </si>
  <si>
    <t>p***eernasakorn</t>
  </si>
  <si>
    <t>ณ*** อ***********</t>
  </si>
  <si>
    <t>(+66)928****61</t>
  </si>
  <si>
    <t>1195177514044523835</t>
  </si>
  <si>
    <t>583865725728622308</t>
  </si>
  <si>
    <t>05/05/2026 09:26:16</t>
  </si>
  <si>
    <t>05/05/2026 14:55:06</t>
  </si>
  <si>
    <t>11/05/2026 11:09:30</t>
  </si>
  <si>
    <t>THT120158YNJJ6Z</t>
  </si>
  <si>
    <t>x***n.xxx</t>
  </si>
  <si>
    <t>จ*********</t>
  </si>
  <si>
    <t>(+66)065*****30</t>
  </si>
  <si>
    <t>1195177514093020900</t>
  </si>
  <si>
    <t>583863175210436312</t>
  </si>
  <si>
    <t>05/05/2026 05:16:54</t>
  </si>
  <si>
    <t>07/05/2026 10:46:57</t>
  </si>
  <si>
    <t>05/05/2026 14:54:50</t>
  </si>
  <si>
    <t>THT060658Y9827Z</t>
  </si>
  <si>
    <t>s***dachamchoy</t>
  </si>
  <si>
    <t>ส**** แ*******</t>
  </si>
  <si>
    <t>(+66)081*****89</t>
  </si>
  <si>
    <t>วิเศษชัยชาญ</t>
  </si>
  <si>
    <t>1195152925409052376</t>
  </si>
  <si>
    <t>583849109380171348</t>
  </si>
  <si>
    <t>04/05/2026 11:27:18</t>
  </si>
  <si>
    <t>04/05/2026 11:27:22</t>
  </si>
  <si>
    <t>04/05/2026 12:05:53</t>
  </si>
  <si>
    <t>04/05/2026 15:10:40</t>
  </si>
  <si>
    <t>05/05/2026 14:51:50</t>
  </si>
  <si>
    <t>THT030158VTWF3Z</t>
  </si>
  <si>
    <t>p***yzwtgt4</t>
  </si>
  <si>
    <t>ช********</t>
  </si>
  <si>
    <t>(+66)619****51</t>
  </si>
  <si>
    <t>1195063237862786644</t>
  </si>
  <si>
    <t>583848579999040618</t>
  </si>
  <si>
    <t>04/05/2026 10:48:02</t>
  </si>
  <si>
    <t>04/05/2026 10:48:04</t>
  </si>
  <si>
    <t>04/05/2026 15:10:00</t>
  </si>
  <si>
    <t>05/05/2026 13:55:53</t>
  </si>
  <si>
    <t>THT270158VU1P1Z</t>
  </si>
  <si>
    <t>m***_hinking</t>
  </si>
  <si>
    <t>ธ********* บ*****</t>
  </si>
  <si>
    <t>(+66)092*****55</t>
  </si>
  <si>
    <t>1195057308165506154</t>
  </si>
  <si>
    <t>583846949718820622</t>
  </si>
  <si>
    <t>6.96</t>
  </si>
  <si>
    <t>109.04</t>
  </si>
  <si>
    <t>10</t>
  </si>
  <si>
    <t>38.55</t>
  </si>
  <si>
    <t>80.49</t>
  </si>
  <si>
    <t>04/05/2026 08:46:34</t>
  </si>
  <si>
    <t>04/05/2026 08:46:35</t>
  </si>
  <si>
    <t>04/05/2026 15:10:46</t>
  </si>
  <si>
    <t>05/05/2026 16:28:07</t>
  </si>
  <si>
    <t>THT200758VTZA9Z</t>
  </si>
  <si>
    <t>n***anjira1813</t>
  </si>
  <si>
    <t>จ******** พ****</t>
  </si>
  <si>
    <t>(+66)985****82</t>
  </si>
  <si>
    <t>1195038607143110414</t>
  </si>
  <si>
    <t>583843088099739477</t>
  </si>
  <si>
    <t>03/05/2026 22:57:38</t>
  </si>
  <si>
    <t>03/05/2026 22:57:40</t>
  </si>
  <si>
    <t>04/05/2026 15:09:52</t>
  </si>
  <si>
    <t>05/05/2026 17:40:01</t>
  </si>
  <si>
    <t>THT020158W63H0Z</t>
  </si>
  <si>
    <t>x***asslxx</t>
  </si>
  <si>
    <t>(+66)642****96</t>
  </si>
  <si>
    <t>1195004936674117461</t>
  </si>
  <si>
    <t>583838363782711156</t>
  </si>
  <si>
    <t>03/05/2026 18:06:46</t>
  </si>
  <si>
    <t>05/05/2026 13:29:14</t>
  </si>
  <si>
    <t>04/05/2026 15:10:13</t>
  </si>
  <si>
    <t>THT180558VTZX1Z</t>
  </si>
  <si>
    <t>n***aratao</t>
  </si>
  <si>
    <t>ร****************</t>
  </si>
  <si>
    <t>(+66)062*****54</t>
  </si>
  <si>
    <t>ท่ายาง</t>
  </si>
  <si>
    <t>1194983963605043060</t>
  </si>
  <si>
    <t>583834674934810445</t>
  </si>
  <si>
    <t>03/05/2026 14:15:47</t>
  </si>
  <si>
    <t>06/05/2026 13:27:57</t>
  </si>
  <si>
    <t>04/05/2026 15:06:55</t>
  </si>
  <si>
    <t>THT471958W63T6Z</t>
  </si>
  <si>
    <t>c***chay.yamawiru</t>
  </si>
  <si>
    <t>จ********</t>
  </si>
  <si>
    <t>(+66)093*****08</t>
  </si>
  <si>
    <t>สารภี</t>
  </si>
  <si>
    <t>1194961588764247885</t>
  </si>
  <si>
    <t>583818612698154231</t>
  </si>
  <si>
    <t>02/05/2026 16:51:22</t>
  </si>
  <si>
    <t>02/05/2026 16:51:26</t>
  </si>
  <si>
    <t>04/05/2026 15:10:05</t>
  </si>
  <si>
    <t>05/05/2026 14:06:05</t>
  </si>
  <si>
    <t>THT012258VTTD1Z</t>
  </si>
  <si>
    <t>b***xiuxiu</t>
  </si>
  <si>
    <t>N*****</t>
  </si>
  <si>
    <t>(+66)087*****55</t>
  </si>
  <si>
    <t>Bang Na</t>
  </si>
  <si>
    <t>1194876235805852919</t>
  </si>
  <si>
    <t>583810327178282236</t>
  </si>
  <si>
    <t>121.26</t>
  </si>
  <si>
    <t>02/05/2026 07:28:11</t>
  </si>
  <si>
    <t>04/05/2026 18:27:21</t>
  </si>
  <si>
    <t>02/05/2026 12:51:05</t>
  </si>
  <si>
    <t>02/05/2026 15:48:18</t>
  </si>
  <si>
    <t>THT200158RQ355Z</t>
  </si>
  <si>
    <t>j***jaan.chanchum</t>
  </si>
  <si>
    <t>j****************</t>
  </si>
  <si>
    <t>1194803413056914684</t>
  </si>
  <si>
    <t>117.74</t>
  </si>
  <si>
    <t>583809362071094577</t>
  </si>
  <si>
    <t>25</t>
  </si>
  <si>
    <t>214</t>
  </si>
  <si>
    <t>252</t>
  </si>
  <si>
    <t>02/05/2026 05:10:47</t>
  </si>
  <si>
    <t>04/05/2026 13:31:47</t>
  </si>
  <si>
    <t>02/05/2026 15:48:05</t>
  </si>
  <si>
    <t>THT220158RPZ25Z</t>
  </si>
  <si>
    <t>u***2327779960278</t>
  </si>
  <si>
    <t>(+66)981****51</t>
  </si>
  <si>
    <t>เมืองจันทบุรี</t>
  </si>
  <si>
    <t>1193734193904321841</t>
  </si>
  <si>
    <t>583808739643393137</t>
  </si>
  <si>
    <t>02/05/2026 02:31:12</t>
  </si>
  <si>
    <t>02/05/2026 02:31:16</t>
  </si>
  <si>
    <t>02/05/2026 15:48:23</t>
  </si>
  <si>
    <t>03/05/2026 12:35:45</t>
  </si>
  <si>
    <t>THT020158RQ0C5Z</t>
  </si>
  <si>
    <t>f***shimatakara3</t>
  </si>
  <si>
    <t>ช**** ก*********</t>
  </si>
  <si>
    <t>(+66)087*****83</t>
  </si>
  <si>
    <t>1194792390195119217</t>
  </si>
  <si>
    <t>583806290861196579</t>
  </si>
  <si>
    <t>107</t>
  </si>
  <si>
    <t>01/05/2026 22:33:39</t>
  </si>
  <si>
    <t>01/05/2026 22:33:43</t>
  </si>
  <si>
    <t>02/05/2026 15:48:30</t>
  </si>
  <si>
    <t>03/05/2026 12:27:05</t>
  </si>
  <si>
    <t>THT013958RQ353Z</t>
  </si>
  <si>
    <t>p***pwr_</t>
  </si>
  <si>
    <t>ป******** ไ*********</t>
  </si>
  <si>
    <t>(+66)614****46</t>
  </si>
  <si>
    <t>1194783297065878819</t>
  </si>
  <si>
    <t>583794675702073129</t>
  </si>
  <si>
    <t>01/05/2026 11:16:26</t>
  </si>
  <si>
    <t>03/05/2026 10:50:13</t>
  </si>
  <si>
    <t>02/05/2026 15:48:07</t>
  </si>
  <si>
    <t>THT240158RQ1H3Z</t>
  </si>
  <si>
    <t>t***yaa_wi</t>
  </si>
  <si>
    <t>ธ********* ว***********</t>
  </si>
  <si>
    <t>(+66)094*****14</t>
  </si>
  <si>
    <t>1194719889127868201</t>
  </si>
  <si>
    <t>A-B+C</t>
  </si>
  <si>
    <t>A</t>
  </si>
  <si>
    <t>B</t>
  </si>
  <si>
    <t>C</t>
  </si>
  <si>
    <t>EX.VAT</t>
  </si>
  <si>
    <t>VAT</t>
  </si>
  <si>
    <t xml:space="preserve">Total 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</si>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</sst>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3" fontId="0" fillId="0" borderId="0" xfId="1" applyFont="1"/>
    <xf numFmtId="43" fontId="0" fillId="5" borderId="0" xfId="1" applyFont="1" applyFill="1"/>
    <xf numFmtId="0" fontId="2" fillId="0" borderId="0" xfId="0" applyFont="1"/>
    <xf numFmtId="0" fontId="0" fillId="6" borderId="0" xfId="0" applyFill="1" applyAlignment="1">
      <alignment horizontal="center"/>
    </xf>
    <xf numFmtId="0" fontId="0" fillId="7" borderId="0" xfId="0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6" borderId="0" xfId="0" applyFill="1"/>
    <xf numFmtId="43" fontId="3" fillId="5" borderId="0" xfId="1" applyFont="1" applyFill="1" applyAlignment="1">
      <alignment horizontal="center" vertical="center"/>
    </xf>
    <xf numFmtId="43" fontId="0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447675</xdr:colOff>
      <xdr:row>8</xdr:row>
      <xdr:rowOff>86458</xdr:rowOff>
    </xdr:from>
    <xdr:to>
      <xdr:col>12</xdr:col>
      <xdr:colOff>552450</xdr:colOff>
      <xdr:row>23</xdr:row>
      <xdr:rowOff>42496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A6D5C9-D7B3-4BDF-E121-B1FF7DB2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025" y="1610458"/>
          <a:ext cx="2286000" cy="2813538"/>
        </a:xfrm>
        <a:prstGeom prst="rect">
          <a:avLst/>
        </a:prstGeom>
      </xdr:spPr>
    </xdr:pic>
    <xdr:clientData/>
  </xdr:twoCellAnchor>
  <xdr:twoCellAnchor>
    <xdr:from>
      <xdr:col>10</xdr:col>
      <xdr:colOff>1857375</xdr:colOff>
      <xdr:row>0</xdr:row>
      <xdr:rowOff>161925</xdr:rowOff>
    </xdr:from>
    <xdr:to>
      <xdr:col>10</xdr:col>
      <xdr:colOff>2076450</xdr:colOff>
      <xdr:row>8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5A9ACA3-3FC4-31DD-82A3-80760D6F7D34}"/>
            </a:ext>
          </a:extLst>
        </xdr:cNvPr>
        <xdr:cNvCxnSpPr/>
      </xdr:nvCxnSpPr>
      <xdr:spPr>
        <a:xfrm flipV="1">
          <a:off x="11515725" y="161925"/>
          <a:ext cx="219075" cy="144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B8D2-1FFA-4289-9764-7FE2DB1AFFFB}">
  <sheetPr>
    <tabColor rgb="FFFFFF00"/>
  </sheetPr>
  <dimension ref="A1:BX633"/>
  <sheetViews>
    <sheetView tabSelected="1" topLeftCell="H1" workbookViewId="0">
      <selection activeCell="H12" sqref="H12"/>
    </sheetView>
  </sheetViews>
  <sheetFormatPr defaultRowHeight="14.5" x14ac:dyDescent="0.35"/>
  <cols>
    <col min="1" max="1" width="30" customWidth="1"/>
    <col min="8" max="9" width="30" customWidth="1"/>
    <col min="10" max="10" width="10" hidden="1" customWidth="1"/>
    <col min="11" max="11" width="32.7265625" style="8" bestFit="1" customWidth="1"/>
    <col min="12" max="12" width="0" hidden="1" customWidth="1"/>
    <col min="13" max="13" width="46" bestFit="1" customWidth="1"/>
    <col min="14" max="14" width="0" hidden="1" customWidth="1"/>
    <col min="15" max="15" width="32.1796875" bestFit="1" customWidth="1"/>
    <col min="16" max="16" width="0" hidden="1" customWidth="1"/>
    <col min="17" max="17" width="89.453125" bestFit="1" customWidth="1"/>
    <col min="18" max="18" width="8" style="7" bestFit="1" customWidth="1"/>
    <col min="19" max="27" width="9.1796875" hidden="1" customWidth="1"/>
    <col min="28" max="28" width="47" style="1" bestFit="1" customWidth="1"/>
    <col min="29" max="35" width="9.1796875" hidden="1" customWidth="1"/>
    <col min="36" max="36" width="20" hidden="1" customWidth="1"/>
    <col min="37" max="39" width="9.1796875" hidden="1" customWidth="1"/>
    <col min="40" max="40" width="25.81640625" bestFit="1" customWidth="1"/>
    <col min="41" max="70" width="9.1796875" hidden="1" customWidth="1"/>
    <col min="71" max="71" width="9.1796875" customWidth="1"/>
    <col min="72" max="72" width="8" style="7" bestFit="1" customWidth="1"/>
    <col min="73" max="73" width="10.08984375" style="6" bestFit="1" customWidth="1"/>
    <col min="74" max="74" width="9.08984375" style="6" bestFit="1" customWidth="1"/>
    <col min="75" max="75" width="10.08984375" style="6" bestFit="1" customWidth="1"/>
    <col min="76" max="76" width="5.08984375" style="6" bestFit="1" customWidth="1"/>
  </cols>
  <sheetData>
    <row r="1" spans="1:76" x14ac:dyDescent="0.35">
      <c r="M1" s="11" t="s">
        <v>5337</v>
      </c>
      <c r="O1" s="12" t="s">
        <v>5338</v>
      </c>
      <c r="Q1" s="13" t="s">
        <v>5339</v>
      </c>
      <c r="R1" s="15" t="s">
        <v>5336</v>
      </c>
      <c r="AB1" s="9"/>
      <c r="AN1" s="10"/>
      <c r="BT1" s="15" t="s">
        <v>5336</v>
      </c>
    </row>
    <row r="2" spans="1:7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8" t="s">
        <v>10</v>
      </c>
      <c r="L2" t="s">
        <v>11</v>
      </c>
      <c r="M2" s="3" t="s">
        <v>12</v>
      </c>
      <c r="N2" t="s">
        <v>13</v>
      </c>
      <c r="O2" s="4" t="s">
        <v>14</v>
      </c>
      <c r="P2" t="s">
        <v>15</v>
      </c>
      <c r="Q2" s="5" t="s">
        <v>16</v>
      </c>
      <c r="R2" s="15"/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s="9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s="10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T2" s="15"/>
      <c r="BU2" s="6" t="s">
        <v>5340</v>
      </c>
      <c r="BV2" s="6" t="s">
        <v>5341</v>
      </c>
      <c r="BW2" s="6" t="s">
        <v>5342</v>
      </c>
      <c r="BX2" s="6" t="s">
        <v>5343</v>
      </c>
    </row>
    <row r="3" spans="1:76" x14ac:dyDescent="0.35">
      <c r="A3" t="s">
        <v>63</v>
      </c>
      <c r="B3" t="s">
        <v>64</v>
      </c>
      <c r="D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8" t="s">
        <v>71</v>
      </c>
      <c r="L3" t="s">
        <v>72</v>
      </c>
      <c r="M3" s="3" t="s">
        <v>73</v>
      </c>
      <c r="N3" t="s">
        <v>74</v>
      </c>
      <c r="O3" s="4" t="s">
        <v>75</v>
      </c>
      <c r="P3" t="s">
        <v>76</v>
      </c>
      <c r="Q3" s="5" t="s">
        <v>77</v>
      </c>
      <c r="R3" s="15"/>
      <c r="S3" t="s">
        <v>78</v>
      </c>
      <c r="T3" t="s">
        <v>79</v>
      </c>
      <c r="U3" t="s">
        <v>80</v>
      </c>
      <c r="V3" t="s">
        <v>81</v>
      </c>
      <c r="X3" t="s">
        <v>82</v>
      </c>
      <c r="Y3" t="s">
        <v>83</v>
      </c>
      <c r="Z3" t="s">
        <v>84</v>
      </c>
      <c r="AA3" t="s">
        <v>85</v>
      </c>
      <c r="AB3" s="9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J3" t="s">
        <v>92</v>
      </c>
      <c r="AK3" t="s">
        <v>93</v>
      </c>
      <c r="AL3" t="s">
        <v>94</v>
      </c>
      <c r="AN3" s="10"/>
      <c r="AX3" t="s">
        <v>95</v>
      </c>
      <c r="AZ3" t="s">
        <v>96</v>
      </c>
      <c r="BA3" t="s">
        <v>97</v>
      </c>
      <c r="BE3" t="s">
        <v>98</v>
      </c>
      <c r="BF3" t="s">
        <v>99</v>
      </c>
      <c r="BG3" t="s">
        <v>100</v>
      </c>
      <c r="BH3" t="s">
        <v>101</v>
      </c>
      <c r="BI3" t="s">
        <v>102</v>
      </c>
      <c r="BJ3" t="s">
        <v>103</v>
      </c>
      <c r="BK3" t="s">
        <v>104</v>
      </c>
      <c r="BL3" t="s">
        <v>105</v>
      </c>
      <c r="BT3" s="15"/>
    </row>
    <row r="4" spans="1:76" x14ac:dyDescent="0.35">
      <c r="A4" t="s">
        <v>106</v>
      </c>
      <c r="B4" t="s">
        <v>107</v>
      </c>
      <c r="C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s="8" t="s">
        <v>114</v>
      </c>
      <c r="L4" t="s">
        <v>115</v>
      </c>
      <c r="M4" s="6">
        <v>318</v>
      </c>
      <c r="N4" t="s">
        <v>114</v>
      </c>
      <c r="O4" s="6">
        <v>189</v>
      </c>
      <c r="P4" t="s">
        <v>117</v>
      </c>
      <c r="Q4" s="6">
        <v>0</v>
      </c>
      <c r="R4" s="7">
        <f>M4-O4+Q4</f>
        <v>129</v>
      </c>
      <c r="S4" t="s">
        <v>118</v>
      </c>
      <c r="T4" t="s">
        <v>114</v>
      </c>
      <c r="U4" t="s">
        <v>118</v>
      </c>
      <c r="W4" t="s">
        <v>114</v>
      </c>
      <c r="X4" t="s">
        <v>117</v>
      </c>
      <c r="Z4" t="s">
        <v>119</v>
      </c>
      <c r="AA4" t="s">
        <v>120</v>
      </c>
      <c r="AB4" s="1" t="s">
        <v>121</v>
      </c>
      <c r="AC4" t="s">
        <v>122</v>
      </c>
      <c r="AD4" t="s">
        <v>120</v>
      </c>
      <c r="AH4" t="s">
        <v>123</v>
      </c>
      <c r="AI4" t="s">
        <v>124</v>
      </c>
      <c r="AJ4" t="s">
        <v>125</v>
      </c>
      <c r="AK4" t="s">
        <v>126</v>
      </c>
      <c r="AL4" t="s">
        <v>127</v>
      </c>
      <c r="AN4" t="s">
        <v>128</v>
      </c>
      <c r="AO4" t="s">
        <v>129</v>
      </c>
      <c r="AP4" t="s">
        <v>130</v>
      </c>
      <c r="AQ4" t="s">
        <v>131</v>
      </c>
      <c r="AR4" t="s">
        <v>132</v>
      </c>
      <c r="AS4" t="s">
        <v>133</v>
      </c>
      <c r="AT4" t="s">
        <v>134</v>
      </c>
      <c r="AV4" t="s">
        <v>135</v>
      </c>
      <c r="AX4" t="s">
        <v>136</v>
      </c>
      <c r="AY4" t="s">
        <v>137</v>
      </c>
      <c r="AZ4" t="s">
        <v>138</v>
      </c>
      <c r="BA4" t="s">
        <v>139</v>
      </c>
      <c r="BC4" t="s">
        <v>140</v>
      </c>
      <c r="BT4" s="7">
        <f>+R4</f>
        <v>129</v>
      </c>
      <c r="BU4" s="6">
        <f>+BT4/1.07</f>
        <v>120.5607476635514</v>
      </c>
      <c r="BV4" s="6">
        <f>+BU4*7/100</f>
        <v>8.4392523364485967</v>
      </c>
      <c r="BW4" s="6">
        <f>+BU4+BV4</f>
        <v>129</v>
      </c>
      <c r="BX4" s="6">
        <f>+BW4-BT4</f>
        <v>0</v>
      </c>
    </row>
    <row r="5" spans="1:76" x14ac:dyDescent="0.35">
      <c r="A5" t="s">
        <v>141</v>
      </c>
      <c r="B5" t="s">
        <v>107</v>
      </c>
      <c r="C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s="8" t="s">
        <v>114</v>
      </c>
      <c r="L5" t="s">
        <v>115</v>
      </c>
      <c r="M5" s="6">
        <v>318</v>
      </c>
      <c r="N5" t="s">
        <v>114</v>
      </c>
      <c r="O5" s="6">
        <v>189</v>
      </c>
      <c r="P5" t="s">
        <v>117</v>
      </c>
      <c r="Q5" s="6">
        <v>0</v>
      </c>
      <c r="R5" s="7">
        <f t="shared" ref="R5:R68" si="0">M5-O5+Q5</f>
        <v>129</v>
      </c>
      <c r="S5" t="s">
        <v>142</v>
      </c>
      <c r="T5" t="s">
        <v>114</v>
      </c>
      <c r="U5" t="s">
        <v>142</v>
      </c>
      <c r="W5" t="s">
        <v>114</v>
      </c>
      <c r="X5" t="s">
        <v>117</v>
      </c>
      <c r="Z5" t="s">
        <v>143</v>
      </c>
      <c r="AA5" t="s">
        <v>144</v>
      </c>
      <c r="AB5" s="1" t="s">
        <v>145</v>
      </c>
      <c r="AC5" t="s">
        <v>146</v>
      </c>
      <c r="AD5" t="s">
        <v>147</v>
      </c>
      <c r="AH5" t="s">
        <v>123</v>
      </c>
      <c r="AI5" t="s">
        <v>124</v>
      </c>
      <c r="AJ5" t="s">
        <v>148</v>
      </c>
      <c r="AK5" t="s">
        <v>126</v>
      </c>
      <c r="AL5" t="s">
        <v>127</v>
      </c>
      <c r="AN5" t="s">
        <v>149</v>
      </c>
      <c r="AO5" t="s">
        <v>150</v>
      </c>
      <c r="AP5" t="s">
        <v>151</v>
      </c>
      <c r="AQ5" t="s">
        <v>131</v>
      </c>
      <c r="AR5" t="s">
        <v>132</v>
      </c>
      <c r="AS5" t="s">
        <v>152</v>
      </c>
      <c r="AT5" t="s">
        <v>153</v>
      </c>
      <c r="AV5" t="s">
        <v>154</v>
      </c>
      <c r="AX5" t="s">
        <v>155</v>
      </c>
      <c r="AY5" t="s">
        <v>137</v>
      </c>
      <c r="AZ5" t="s">
        <v>138</v>
      </c>
      <c r="BA5" t="s">
        <v>156</v>
      </c>
      <c r="BC5" t="s">
        <v>140</v>
      </c>
      <c r="BT5" s="7">
        <f t="shared" ref="BT5:BT68" si="1">+R5</f>
        <v>129</v>
      </c>
      <c r="BU5" s="6">
        <f t="shared" ref="BU5:BU68" si="2">+BT5/1.07</f>
        <v>120.5607476635514</v>
      </c>
      <c r="BV5" s="6">
        <f t="shared" ref="BV5:BV68" si="3">+BU5*7/100</f>
        <v>8.4392523364485967</v>
      </c>
      <c r="BW5" s="6">
        <f t="shared" ref="BW5:BW68" si="4">+BU5+BV5</f>
        <v>129</v>
      </c>
      <c r="BX5" s="6">
        <f t="shared" ref="BX5:BX68" si="5">+BW5-BT5</f>
        <v>0</v>
      </c>
    </row>
    <row r="6" spans="1:76" x14ac:dyDescent="0.35">
      <c r="A6" t="s">
        <v>157</v>
      </c>
      <c r="B6" t="s">
        <v>107</v>
      </c>
      <c r="C6" t="s">
        <v>107</v>
      </c>
      <c r="E6" t="s">
        <v>108</v>
      </c>
      <c r="F6" t="s">
        <v>158</v>
      </c>
      <c r="G6" t="s">
        <v>159</v>
      </c>
      <c r="H6" t="s">
        <v>111</v>
      </c>
      <c r="I6" t="s">
        <v>160</v>
      </c>
      <c r="J6" t="s">
        <v>113</v>
      </c>
      <c r="K6" s="8" t="s">
        <v>114</v>
      </c>
      <c r="L6" t="s">
        <v>161</v>
      </c>
      <c r="M6" s="6">
        <v>459</v>
      </c>
      <c r="N6" t="s">
        <v>162</v>
      </c>
      <c r="O6" s="6">
        <v>268.01</v>
      </c>
      <c r="P6" t="s">
        <v>164</v>
      </c>
      <c r="Q6" s="6">
        <v>0</v>
      </c>
      <c r="R6" s="7">
        <f t="shared" si="0"/>
        <v>190.99</v>
      </c>
      <c r="S6" t="s">
        <v>142</v>
      </c>
      <c r="T6" t="s">
        <v>114</v>
      </c>
      <c r="U6" t="s">
        <v>142</v>
      </c>
      <c r="W6" t="s">
        <v>114</v>
      </c>
      <c r="X6" t="s">
        <v>164</v>
      </c>
      <c r="Z6" t="s">
        <v>165</v>
      </c>
      <c r="AA6" t="s">
        <v>166</v>
      </c>
      <c r="AB6" s="1" t="s">
        <v>167</v>
      </c>
      <c r="AC6" t="s">
        <v>168</v>
      </c>
      <c r="AD6" t="s">
        <v>169</v>
      </c>
      <c r="AH6" t="s">
        <v>123</v>
      </c>
      <c r="AI6" t="s">
        <v>124</v>
      </c>
      <c r="AJ6" t="s">
        <v>170</v>
      </c>
      <c r="AK6" t="s">
        <v>126</v>
      </c>
      <c r="AL6" t="s">
        <v>127</v>
      </c>
      <c r="AN6" t="s">
        <v>171</v>
      </c>
      <c r="AO6" t="s">
        <v>172</v>
      </c>
      <c r="AP6" t="s">
        <v>173</v>
      </c>
      <c r="AQ6" t="s">
        <v>131</v>
      </c>
      <c r="AR6" t="s">
        <v>132</v>
      </c>
      <c r="AS6" t="s">
        <v>152</v>
      </c>
      <c r="AT6" t="s">
        <v>174</v>
      </c>
      <c r="AV6" t="s">
        <v>175</v>
      </c>
      <c r="AX6" t="s">
        <v>176</v>
      </c>
      <c r="AY6" t="s">
        <v>177</v>
      </c>
      <c r="AZ6" t="s">
        <v>138</v>
      </c>
      <c r="BA6" t="s">
        <v>178</v>
      </c>
      <c r="BC6" t="s">
        <v>140</v>
      </c>
      <c r="BT6" s="7">
        <f t="shared" si="1"/>
        <v>190.99</v>
      </c>
      <c r="BU6" s="6">
        <f t="shared" si="2"/>
        <v>178.49532710280374</v>
      </c>
      <c r="BV6" s="6">
        <f t="shared" si="3"/>
        <v>12.494672897196262</v>
      </c>
      <c r="BW6" s="6">
        <f t="shared" si="4"/>
        <v>190.99</v>
      </c>
      <c r="BX6" s="6">
        <f t="shared" si="5"/>
        <v>0</v>
      </c>
    </row>
    <row r="7" spans="1:76" x14ac:dyDescent="0.35">
      <c r="A7" t="s">
        <v>179</v>
      </c>
      <c r="B7" t="s">
        <v>107</v>
      </c>
      <c r="C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s="8" t="s">
        <v>114</v>
      </c>
      <c r="L7" t="s">
        <v>115</v>
      </c>
      <c r="M7" s="6">
        <v>318</v>
      </c>
      <c r="N7" t="s">
        <v>114</v>
      </c>
      <c r="O7" s="6">
        <v>189</v>
      </c>
      <c r="P7" t="s">
        <v>117</v>
      </c>
      <c r="Q7" s="6">
        <v>0</v>
      </c>
      <c r="R7" s="7">
        <f t="shared" si="0"/>
        <v>129</v>
      </c>
      <c r="S7" t="s">
        <v>180</v>
      </c>
      <c r="T7" t="s">
        <v>114</v>
      </c>
      <c r="U7" t="s">
        <v>180</v>
      </c>
      <c r="W7" t="s">
        <v>114</v>
      </c>
      <c r="X7" t="s">
        <v>117</v>
      </c>
      <c r="Z7" t="s">
        <v>181</v>
      </c>
      <c r="AA7" t="s">
        <v>182</v>
      </c>
      <c r="AB7" s="1" t="s">
        <v>183</v>
      </c>
      <c r="AC7" t="s">
        <v>184</v>
      </c>
      <c r="AD7" t="s">
        <v>182</v>
      </c>
      <c r="AH7" t="s">
        <v>123</v>
      </c>
      <c r="AI7" t="s">
        <v>124</v>
      </c>
      <c r="AJ7" t="s">
        <v>185</v>
      </c>
      <c r="AK7" t="s">
        <v>126</v>
      </c>
      <c r="AL7" t="s">
        <v>127</v>
      </c>
      <c r="AN7" t="s">
        <v>186</v>
      </c>
      <c r="AO7" t="s">
        <v>187</v>
      </c>
      <c r="AP7" t="s">
        <v>188</v>
      </c>
      <c r="AQ7" t="s">
        <v>131</v>
      </c>
      <c r="AR7" t="s">
        <v>132</v>
      </c>
      <c r="AS7" t="s">
        <v>133</v>
      </c>
      <c r="AT7" t="s">
        <v>189</v>
      </c>
      <c r="AV7" t="s">
        <v>190</v>
      </c>
      <c r="AW7" t="s">
        <v>191</v>
      </c>
      <c r="AX7" t="s">
        <v>136</v>
      </c>
      <c r="AY7" t="s">
        <v>137</v>
      </c>
      <c r="AZ7" t="s">
        <v>138</v>
      </c>
      <c r="BA7" t="s">
        <v>192</v>
      </c>
      <c r="BC7" t="s">
        <v>140</v>
      </c>
      <c r="BT7" s="7">
        <f t="shared" si="1"/>
        <v>129</v>
      </c>
      <c r="BU7" s="6">
        <f t="shared" si="2"/>
        <v>120.5607476635514</v>
      </c>
      <c r="BV7" s="6">
        <f t="shared" si="3"/>
        <v>8.4392523364485967</v>
      </c>
      <c r="BW7" s="6">
        <f t="shared" si="4"/>
        <v>129</v>
      </c>
      <c r="BX7" s="6">
        <f t="shared" si="5"/>
        <v>0</v>
      </c>
    </row>
    <row r="8" spans="1:76" x14ac:dyDescent="0.35">
      <c r="A8" t="s">
        <v>193</v>
      </c>
      <c r="B8" t="s">
        <v>107</v>
      </c>
      <c r="C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s="8" t="s">
        <v>114</v>
      </c>
      <c r="L8" t="s">
        <v>115</v>
      </c>
      <c r="M8" s="6">
        <v>318</v>
      </c>
      <c r="N8" t="s">
        <v>114</v>
      </c>
      <c r="O8" s="6">
        <v>189</v>
      </c>
      <c r="P8" t="s">
        <v>117</v>
      </c>
      <c r="Q8" s="6">
        <v>0</v>
      </c>
      <c r="R8" s="7">
        <f t="shared" si="0"/>
        <v>129</v>
      </c>
      <c r="S8" t="s">
        <v>194</v>
      </c>
      <c r="T8" t="s">
        <v>114</v>
      </c>
      <c r="U8" t="s">
        <v>194</v>
      </c>
      <c r="W8" t="s">
        <v>114</v>
      </c>
      <c r="X8" t="s">
        <v>117</v>
      </c>
      <c r="Z8" t="s">
        <v>195</v>
      </c>
      <c r="AA8" t="s">
        <v>196</v>
      </c>
      <c r="AB8" s="1" t="s">
        <v>183</v>
      </c>
      <c r="AC8" t="s">
        <v>197</v>
      </c>
      <c r="AD8" t="s">
        <v>196</v>
      </c>
      <c r="AH8" t="s">
        <v>123</v>
      </c>
      <c r="AI8" t="s">
        <v>124</v>
      </c>
      <c r="AJ8" t="s">
        <v>198</v>
      </c>
      <c r="AK8" t="s">
        <v>126</v>
      </c>
      <c r="AL8" t="s">
        <v>127</v>
      </c>
      <c r="AN8" t="s">
        <v>199</v>
      </c>
      <c r="AO8" t="s">
        <v>200</v>
      </c>
      <c r="AP8" t="s">
        <v>201</v>
      </c>
      <c r="AQ8" t="s">
        <v>131</v>
      </c>
      <c r="AR8" t="s">
        <v>132</v>
      </c>
      <c r="AS8" t="s">
        <v>202</v>
      </c>
      <c r="AT8" t="s">
        <v>203</v>
      </c>
      <c r="AV8" t="s">
        <v>204</v>
      </c>
      <c r="AX8" t="s">
        <v>136</v>
      </c>
      <c r="AY8" t="s">
        <v>137</v>
      </c>
      <c r="AZ8" t="s">
        <v>138</v>
      </c>
      <c r="BA8" t="s">
        <v>205</v>
      </c>
      <c r="BC8" t="s">
        <v>140</v>
      </c>
      <c r="BT8" s="7">
        <f t="shared" si="1"/>
        <v>129</v>
      </c>
      <c r="BU8" s="6">
        <f t="shared" si="2"/>
        <v>120.5607476635514</v>
      </c>
      <c r="BV8" s="6">
        <f t="shared" si="3"/>
        <v>8.4392523364485967</v>
      </c>
      <c r="BW8" s="6">
        <f t="shared" si="4"/>
        <v>129</v>
      </c>
      <c r="BX8" s="6">
        <f t="shared" si="5"/>
        <v>0</v>
      </c>
    </row>
    <row r="9" spans="1:76" x14ac:dyDescent="0.35">
      <c r="A9" t="s">
        <v>206</v>
      </c>
      <c r="B9" t="s">
        <v>107</v>
      </c>
      <c r="C9" t="s">
        <v>107</v>
      </c>
      <c r="E9" t="s">
        <v>108</v>
      </c>
      <c r="F9" t="s">
        <v>158</v>
      </c>
      <c r="G9" t="s">
        <v>159</v>
      </c>
      <c r="H9" t="s">
        <v>111</v>
      </c>
      <c r="I9" t="s">
        <v>160</v>
      </c>
      <c r="J9" t="s">
        <v>113</v>
      </c>
      <c r="K9" s="8" t="s">
        <v>114</v>
      </c>
      <c r="L9" t="s">
        <v>161</v>
      </c>
      <c r="M9" s="6">
        <v>459</v>
      </c>
      <c r="N9" t="s">
        <v>207</v>
      </c>
      <c r="O9" s="6">
        <v>268.01</v>
      </c>
      <c r="P9" t="s">
        <v>208</v>
      </c>
      <c r="Q9" s="6">
        <v>0</v>
      </c>
      <c r="R9" s="7">
        <f t="shared" si="0"/>
        <v>190.99</v>
      </c>
      <c r="S9" t="s">
        <v>180</v>
      </c>
      <c r="T9" t="s">
        <v>114</v>
      </c>
      <c r="U9" t="s">
        <v>180</v>
      </c>
      <c r="W9" t="s">
        <v>114</v>
      </c>
      <c r="X9" t="s">
        <v>208</v>
      </c>
      <c r="Z9" t="s">
        <v>209</v>
      </c>
      <c r="AA9" t="s">
        <v>210</v>
      </c>
      <c r="AB9" s="1" t="s">
        <v>211</v>
      </c>
      <c r="AC9" t="s">
        <v>212</v>
      </c>
      <c r="AD9" t="s">
        <v>210</v>
      </c>
      <c r="AH9" t="s">
        <v>123</v>
      </c>
      <c r="AI9" t="s">
        <v>124</v>
      </c>
      <c r="AJ9" t="s">
        <v>213</v>
      </c>
      <c r="AK9" t="s">
        <v>126</v>
      </c>
      <c r="AL9" t="s">
        <v>127</v>
      </c>
      <c r="AN9" t="s">
        <v>214</v>
      </c>
      <c r="AO9" t="s">
        <v>215</v>
      </c>
      <c r="AP9" t="s">
        <v>216</v>
      </c>
      <c r="AQ9" t="s">
        <v>131</v>
      </c>
      <c r="AR9" t="s">
        <v>132</v>
      </c>
      <c r="AS9" t="s">
        <v>217</v>
      </c>
      <c r="AT9" t="s">
        <v>218</v>
      </c>
      <c r="AV9" t="s">
        <v>219</v>
      </c>
      <c r="AX9" t="s">
        <v>136</v>
      </c>
      <c r="AY9" t="s">
        <v>177</v>
      </c>
      <c r="AZ9" t="s">
        <v>138</v>
      </c>
      <c r="BA9" t="s">
        <v>220</v>
      </c>
      <c r="BC9" t="s">
        <v>140</v>
      </c>
      <c r="BT9" s="7">
        <f t="shared" si="1"/>
        <v>190.99</v>
      </c>
      <c r="BU9" s="6">
        <f t="shared" si="2"/>
        <v>178.49532710280374</v>
      </c>
      <c r="BV9" s="6">
        <f t="shared" si="3"/>
        <v>12.494672897196262</v>
      </c>
      <c r="BW9" s="6">
        <f t="shared" si="4"/>
        <v>190.99</v>
      </c>
      <c r="BX9" s="6">
        <f t="shared" si="5"/>
        <v>0</v>
      </c>
    </row>
    <row r="10" spans="1:76" x14ac:dyDescent="0.35">
      <c r="A10" t="s">
        <v>221</v>
      </c>
      <c r="B10" t="s">
        <v>107</v>
      </c>
      <c r="C10" t="s">
        <v>107</v>
      </c>
      <c r="E10" t="s">
        <v>108</v>
      </c>
      <c r="F10" t="s">
        <v>158</v>
      </c>
      <c r="G10" t="s">
        <v>159</v>
      </c>
      <c r="H10" t="s">
        <v>111</v>
      </c>
      <c r="I10" t="s">
        <v>160</v>
      </c>
      <c r="J10" t="s">
        <v>113</v>
      </c>
      <c r="K10" s="8" t="s">
        <v>114</v>
      </c>
      <c r="L10" t="s">
        <v>161</v>
      </c>
      <c r="M10" s="6">
        <v>459</v>
      </c>
      <c r="N10" t="s">
        <v>222</v>
      </c>
      <c r="O10" s="6">
        <v>268.01</v>
      </c>
      <c r="P10" t="s">
        <v>223</v>
      </c>
      <c r="Q10" s="6">
        <v>0</v>
      </c>
      <c r="R10" s="7">
        <f t="shared" si="0"/>
        <v>190.99</v>
      </c>
      <c r="S10" t="s">
        <v>142</v>
      </c>
      <c r="T10" t="s">
        <v>114</v>
      </c>
      <c r="U10" t="s">
        <v>142</v>
      </c>
      <c r="W10" t="s">
        <v>114</v>
      </c>
      <c r="X10" t="s">
        <v>223</v>
      </c>
      <c r="Z10" t="s">
        <v>224</v>
      </c>
      <c r="AA10" t="s">
        <v>225</v>
      </c>
      <c r="AB10" s="1" t="s">
        <v>226</v>
      </c>
      <c r="AC10" t="s">
        <v>227</v>
      </c>
      <c r="AD10" t="s">
        <v>228</v>
      </c>
      <c r="AH10" t="s">
        <v>123</v>
      </c>
      <c r="AI10" t="s">
        <v>124</v>
      </c>
      <c r="AJ10" t="s">
        <v>229</v>
      </c>
      <c r="AK10" t="s">
        <v>126</v>
      </c>
      <c r="AL10" t="s">
        <v>127</v>
      </c>
      <c r="AN10" t="s">
        <v>230</v>
      </c>
      <c r="AO10" t="s">
        <v>231</v>
      </c>
      <c r="AP10" t="s">
        <v>232</v>
      </c>
      <c r="AQ10" t="s">
        <v>131</v>
      </c>
      <c r="AR10" t="s">
        <v>233</v>
      </c>
      <c r="AS10" t="s">
        <v>234</v>
      </c>
      <c r="AT10" t="s">
        <v>235</v>
      </c>
      <c r="AV10" t="s">
        <v>236</v>
      </c>
      <c r="AW10" t="s">
        <v>237</v>
      </c>
      <c r="AX10" t="s">
        <v>176</v>
      </c>
      <c r="AY10" t="s">
        <v>177</v>
      </c>
      <c r="AZ10" t="s">
        <v>138</v>
      </c>
      <c r="BA10" t="s">
        <v>238</v>
      </c>
      <c r="BC10" t="s">
        <v>140</v>
      </c>
      <c r="BT10" s="7">
        <f t="shared" si="1"/>
        <v>190.99</v>
      </c>
      <c r="BU10" s="6">
        <f t="shared" si="2"/>
        <v>178.49532710280374</v>
      </c>
      <c r="BV10" s="6">
        <f t="shared" si="3"/>
        <v>12.494672897196262</v>
      </c>
      <c r="BW10" s="6">
        <f t="shared" si="4"/>
        <v>190.99</v>
      </c>
      <c r="BX10" s="6">
        <f t="shared" si="5"/>
        <v>0</v>
      </c>
    </row>
    <row r="11" spans="1:76" x14ac:dyDescent="0.35">
      <c r="A11" t="s">
        <v>239</v>
      </c>
      <c r="B11" t="s">
        <v>107</v>
      </c>
      <c r="C11" t="s">
        <v>107</v>
      </c>
      <c r="E11" t="s">
        <v>108</v>
      </c>
      <c r="F11" t="s">
        <v>158</v>
      </c>
      <c r="G11" t="s">
        <v>159</v>
      </c>
      <c r="H11" t="s">
        <v>111</v>
      </c>
      <c r="I11" t="s">
        <v>160</v>
      </c>
      <c r="J11" t="s">
        <v>113</v>
      </c>
      <c r="K11" s="8" t="s">
        <v>114</v>
      </c>
      <c r="L11" t="s">
        <v>161</v>
      </c>
      <c r="M11" s="6">
        <v>459</v>
      </c>
      <c r="N11" t="s">
        <v>114</v>
      </c>
      <c r="O11" s="6">
        <v>268.01</v>
      </c>
      <c r="P11" t="s">
        <v>240</v>
      </c>
      <c r="Q11" s="6">
        <v>0</v>
      </c>
      <c r="R11" s="7">
        <f t="shared" si="0"/>
        <v>190.99</v>
      </c>
      <c r="S11" t="s">
        <v>180</v>
      </c>
      <c r="T11" t="s">
        <v>114</v>
      </c>
      <c r="U11" t="s">
        <v>180</v>
      </c>
      <c r="W11" t="s">
        <v>114</v>
      </c>
      <c r="X11" t="s">
        <v>240</v>
      </c>
      <c r="Z11" t="s">
        <v>241</v>
      </c>
      <c r="AA11" t="s">
        <v>242</v>
      </c>
      <c r="AB11" s="1" t="s">
        <v>243</v>
      </c>
      <c r="AC11" t="s">
        <v>244</v>
      </c>
      <c r="AD11" t="s">
        <v>242</v>
      </c>
      <c r="AH11" t="s">
        <v>123</v>
      </c>
      <c r="AI11" t="s">
        <v>124</v>
      </c>
      <c r="AJ11" t="s">
        <v>245</v>
      </c>
      <c r="AK11" t="s">
        <v>126</v>
      </c>
      <c r="AL11" t="s">
        <v>127</v>
      </c>
      <c r="AN11" t="s">
        <v>246</v>
      </c>
      <c r="AO11" t="s">
        <v>247</v>
      </c>
      <c r="AP11" t="s">
        <v>248</v>
      </c>
      <c r="AQ11" t="s">
        <v>131</v>
      </c>
      <c r="AR11" t="s">
        <v>132</v>
      </c>
      <c r="AS11" t="s">
        <v>249</v>
      </c>
      <c r="AT11" t="s">
        <v>250</v>
      </c>
      <c r="AV11" t="s">
        <v>154</v>
      </c>
      <c r="AX11" t="s">
        <v>136</v>
      </c>
      <c r="AY11" t="s">
        <v>177</v>
      </c>
      <c r="AZ11" t="s">
        <v>138</v>
      </c>
      <c r="BA11" t="s">
        <v>251</v>
      </c>
      <c r="BC11" t="s">
        <v>140</v>
      </c>
      <c r="BT11" s="7">
        <f t="shared" si="1"/>
        <v>190.99</v>
      </c>
      <c r="BU11" s="6">
        <f t="shared" si="2"/>
        <v>178.49532710280374</v>
      </c>
      <c r="BV11" s="6">
        <f t="shared" si="3"/>
        <v>12.494672897196262</v>
      </c>
      <c r="BW11" s="6">
        <f t="shared" si="4"/>
        <v>190.99</v>
      </c>
      <c r="BX11" s="6">
        <f t="shared" si="5"/>
        <v>0</v>
      </c>
    </row>
    <row r="12" spans="1:76" x14ac:dyDescent="0.35">
      <c r="A12" t="s">
        <v>252</v>
      </c>
      <c r="B12" t="s">
        <v>107</v>
      </c>
      <c r="C12" t="s">
        <v>107</v>
      </c>
      <c r="E12" t="s">
        <v>108</v>
      </c>
      <c r="F12" t="s">
        <v>158</v>
      </c>
      <c r="G12" t="s">
        <v>159</v>
      </c>
      <c r="H12" t="s">
        <v>111</v>
      </c>
      <c r="I12" t="s">
        <v>160</v>
      </c>
      <c r="J12" t="s">
        <v>113</v>
      </c>
      <c r="K12" s="8" t="s">
        <v>114</v>
      </c>
      <c r="L12" t="s">
        <v>161</v>
      </c>
      <c r="M12" s="6">
        <v>459</v>
      </c>
      <c r="N12" t="s">
        <v>114</v>
      </c>
      <c r="O12" s="6">
        <v>268.01</v>
      </c>
      <c r="P12" t="s">
        <v>240</v>
      </c>
      <c r="Q12" s="6">
        <v>0</v>
      </c>
      <c r="R12" s="7">
        <f t="shared" si="0"/>
        <v>190.99</v>
      </c>
      <c r="S12" t="s">
        <v>118</v>
      </c>
      <c r="T12" t="s">
        <v>114</v>
      </c>
      <c r="U12" t="s">
        <v>118</v>
      </c>
      <c r="W12" t="s">
        <v>114</v>
      </c>
      <c r="X12" t="s">
        <v>240</v>
      </c>
      <c r="Z12" t="s">
        <v>253</v>
      </c>
      <c r="AA12" t="s">
        <v>254</v>
      </c>
      <c r="AB12" s="1" t="s">
        <v>255</v>
      </c>
      <c r="AC12" t="s">
        <v>256</v>
      </c>
      <c r="AD12" t="s">
        <v>257</v>
      </c>
      <c r="AH12" t="s">
        <v>123</v>
      </c>
      <c r="AI12" t="s">
        <v>124</v>
      </c>
      <c r="AJ12" t="s">
        <v>258</v>
      </c>
      <c r="AK12" t="s">
        <v>126</v>
      </c>
      <c r="AL12" t="s">
        <v>127</v>
      </c>
      <c r="AN12" t="s">
        <v>259</v>
      </c>
      <c r="AO12" t="s">
        <v>260</v>
      </c>
      <c r="AP12" t="s">
        <v>261</v>
      </c>
      <c r="AQ12" t="s">
        <v>131</v>
      </c>
      <c r="AR12" t="s">
        <v>132</v>
      </c>
      <c r="AS12" t="s">
        <v>262</v>
      </c>
      <c r="AT12" t="s">
        <v>263</v>
      </c>
      <c r="AV12" t="s">
        <v>264</v>
      </c>
      <c r="AW12" t="s">
        <v>265</v>
      </c>
      <c r="AX12" t="s">
        <v>266</v>
      </c>
      <c r="AY12" t="s">
        <v>177</v>
      </c>
      <c r="AZ12" t="s">
        <v>138</v>
      </c>
      <c r="BA12" t="s">
        <v>267</v>
      </c>
      <c r="BC12" t="s">
        <v>140</v>
      </c>
      <c r="BT12" s="7">
        <f t="shared" si="1"/>
        <v>190.99</v>
      </c>
      <c r="BU12" s="6">
        <f t="shared" si="2"/>
        <v>178.49532710280374</v>
      </c>
      <c r="BV12" s="6">
        <f t="shared" si="3"/>
        <v>12.494672897196262</v>
      </c>
      <c r="BW12" s="6">
        <f t="shared" si="4"/>
        <v>190.99</v>
      </c>
      <c r="BX12" s="6">
        <f t="shared" si="5"/>
        <v>0</v>
      </c>
    </row>
    <row r="13" spans="1:76" x14ac:dyDescent="0.35">
      <c r="A13" t="s">
        <v>252</v>
      </c>
      <c r="B13" t="s">
        <v>107</v>
      </c>
      <c r="C13" t="s">
        <v>107</v>
      </c>
      <c r="E13" t="s">
        <v>108</v>
      </c>
      <c r="F13" t="s">
        <v>268</v>
      </c>
      <c r="G13" t="s">
        <v>269</v>
      </c>
      <c r="H13" t="s">
        <v>270</v>
      </c>
      <c r="I13" t="s">
        <v>271</v>
      </c>
      <c r="J13" t="s">
        <v>113</v>
      </c>
      <c r="K13" s="8" t="s">
        <v>114</v>
      </c>
      <c r="L13" t="s">
        <v>114</v>
      </c>
      <c r="M13" s="6">
        <v>0</v>
      </c>
      <c r="N13" t="s">
        <v>114</v>
      </c>
      <c r="O13" s="6">
        <v>0</v>
      </c>
      <c r="P13" t="s">
        <v>114</v>
      </c>
      <c r="Q13" s="6">
        <v>0</v>
      </c>
      <c r="R13" s="7">
        <f t="shared" si="0"/>
        <v>0</v>
      </c>
      <c r="S13" t="s">
        <v>118</v>
      </c>
      <c r="T13" t="s">
        <v>114</v>
      </c>
      <c r="U13" t="s">
        <v>118</v>
      </c>
      <c r="W13" t="s">
        <v>114</v>
      </c>
      <c r="X13" t="s">
        <v>240</v>
      </c>
      <c r="Z13" t="s">
        <v>253</v>
      </c>
      <c r="AA13" t="s">
        <v>254</v>
      </c>
      <c r="AB13" s="1" t="s">
        <v>255</v>
      </c>
      <c r="AC13" t="s">
        <v>256</v>
      </c>
      <c r="AD13" t="s">
        <v>257</v>
      </c>
      <c r="AH13" t="s">
        <v>123</v>
      </c>
      <c r="AI13" t="s">
        <v>124</v>
      </c>
      <c r="AJ13" t="s">
        <v>258</v>
      </c>
      <c r="AK13" t="s">
        <v>126</v>
      </c>
      <c r="AL13" t="s">
        <v>127</v>
      </c>
      <c r="AN13" t="s">
        <v>259</v>
      </c>
      <c r="AO13" t="s">
        <v>260</v>
      </c>
      <c r="AP13" t="s">
        <v>261</v>
      </c>
      <c r="AQ13" t="s">
        <v>131</v>
      </c>
      <c r="AR13" t="s">
        <v>132</v>
      </c>
      <c r="AS13" t="s">
        <v>262</v>
      </c>
      <c r="AT13" t="s">
        <v>263</v>
      </c>
      <c r="AV13" t="s">
        <v>264</v>
      </c>
      <c r="AW13" t="s">
        <v>265</v>
      </c>
      <c r="AX13" t="s">
        <v>266</v>
      </c>
      <c r="AY13" t="s">
        <v>272</v>
      </c>
      <c r="AZ13" t="s">
        <v>273</v>
      </c>
      <c r="BA13" t="s">
        <v>267</v>
      </c>
      <c r="BC13" t="s">
        <v>140</v>
      </c>
      <c r="BT13" s="7">
        <f t="shared" si="1"/>
        <v>0</v>
      </c>
      <c r="BU13" s="6">
        <f t="shared" si="2"/>
        <v>0</v>
      </c>
      <c r="BV13" s="6">
        <f t="shared" si="3"/>
        <v>0</v>
      </c>
      <c r="BW13" s="6">
        <f t="shared" si="4"/>
        <v>0</v>
      </c>
      <c r="BX13" s="6">
        <f t="shared" si="5"/>
        <v>0</v>
      </c>
    </row>
    <row r="14" spans="1:76" x14ac:dyDescent="0.35">
      <c r="A14" t="s">
        <v>274</v>
      </c>
      <c r="B14" t="s">
        <v>107</v>
      </c>
      <c r="C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s="8" t="s">
        <v>114</v>
      </c>
      <c r="L14" t="s">
        <v>115</v>
      </c>
      <c r="M14" s="6">
        <v>318</v>
      </c>
      <c r="N14" t="s">
        <v>114</v>
      </c>
      <c r="O14" s="6">
        <v>189</v>
      </c>
      <c r="P14" t="s">
        <v>117</v>
      </c>
      <c r="Q14" s="6">
        <v>38</v>
      </c>
      <c r="R14" s="7">
        <f t="shared" si="0"/>
        <v>167</v>
      </c>
      <c r="S14" t="s">
        <v>180</v>
      </c>
      <c r="T14" t="s">
        <v>114</v>
      </c>
      <c r="U14" t="s">
        <v>114</v>
      </c>
      <c r="W14" t="s">
        <v>114</v>
      </c>
      <c r="X14" t="s">
        <v>275</v>
      </c>
      <c r="Z14" t="s">
        <v>276</v>
      </c>
      <c r="AA14" t="s">
        <v>277</v>
      </c>
      <c r="AB14" s="1" t="s">
        <v>278</v>
      </c>
      <c r="AC14" t="s">
        <v>279</v>
      </c>
      <c r="AD14" t="s">
        <v>277</v>
      </c>
      <c r="AH14" t="s">
        <v>123</v>
      </c>
      <c r="AI14" t="s">
        <v>124</v>
      </c>
      <c r="AJ14" t="s">
        <v>280</v>
      </c>
      <c r="AK14" t="s">
        <v>126</v>
      </c>
      <c r="AL14" t="s">
        <v>127</v>
      </c>
      <c r="AN14" t="s">
        <v>281</v>
      </c>
      <c r="AO14" t="s">
        <v>282</v>
      </c>
      <c r="AP14" t="s">
        <v>283</v>
      </c>
      <c r="AQ14" t="s">
        <v>131</v>
      </c>
      <c r="AR14" t="s">
        <v>132</v>
      </c>
      <c r="AS14" t="s">
        <v>284</v>
      </c>
      <c r="AT14" t="s">
        <v>285</v>
      </c>
      <c r="AV14" t="s">
        <v>286</v>
      </c>
      <c r="AX14" t="s">
        <v>136</v>
      </c>
      <c r="AY14" t="s">
        <v>137</v>
      </c>
      <c r="AZ14" t="s">
        <v>138</v>
      </c>
      <c r="BA14" t="s">
        <v>287</v>
      </c>
      <c r="BC14" t="s">
        <v>140</v>
      </c>
      <c r="BT14" s="7">
        <f t="shared" si="1"/>
        <v>167</v>
      </c>
      <c r="BU14" s="6">
        <f t="shared" si="2"/>
        <v>156.07476635514018</v>
      </c>
      <c r="BV14" s="6">
        <f t="shared" si="3"/>
        <v>10.925233644859814</v>
      </c>
      <c r="BW14" s="6">
        <f t="shared" si="4"/>
        <v>167</v>
      </c>
      <c r="BX14" s="6">
        <f t="shared" si="5"/>
        <v>0</v>
      </c>
    </row>
    <row r="15" spans="1:76" x14ac:dyDescent="0.35">
      <c r="A15" t="s">
        <v>274</v>
      </c>
      <c r="B15" t="s">
        <v>107</v>
      </c>
      <c r="C15" t="s">
        <v>107</v>
      </c>
      <c r="E15" t="s">
        <v>108</v>
      </c>
      <c r="F15" t="s">
        <v>268</v>
      </c>
      <c r="G15" t="s">
        <v>269</v>
      </c>
      <c r="H15" t="s">
        <v>270</v>
      </c>
      <c r="I15" t="s">
        <v>271</v>
      </c>
      <c r="J15" t="s">
        <v>113</v>
      </c>
      <c r="K15" s="8" t="s">
        <v>114</v>
      </c>
      <c r="L15" t="s">
        <v>114</v>
      </c>
      <c r="M15" s="6">
        <v>0</v>
      </c>
      <c r="N15" t="s">
        <v>114</v>
      </c>
      <c r="O15" s="6">
        <v>0</v>
      </c>
      <c r="P15" t="s">
        <v>114</v>
      </c>
      <c r="Q15" s="6">
        <v>38</v>
      </c>
      <c r="R15" s="7">
        <f t="shared" si="0"/>
        <v>38</v>
      </c>
      <c r="S15" t="s">
        <v>180</v>
      </c>
      <c r="T15" t="s">
        <v>114</v>
      </c>
      <c r="U15" t="s">
        <v>114</v>
      </c>
      <c r="W15" t="s">
        <v>114</v>
      </c>
      <c r="X15" t="s">
        <v>275</v>
      </c>
      <c r="Z15" t="s">
        <v>276</v>
      </c>
      <c r="AA15" t="s">
        <v>277</v>
      </c>
      <c r="AB15" s="1" t="s">
        <v>278</v>
      </c>
      <c r="AC15" t="s">
        <v>279</v>
      </c>
      <c r="AD15" t="s">
        <v>277</v>
      </c>
      <c r="AH15" t="s">
        <v>123</v>
      </c>
      <c r="AI15" t="s">
        <v>124</v>
      </c>
      <c r="AJ15" t="s">
        <v>280</v>
      </c>
      <c r="AK15" t="s">
        <v>126</v>
      </c>
      <c r="AL15" t="s">
        <v>127</v>
      </c>
      <c r="AN15" t="s">
        <v>281</v>
      </c>
      <c r="AO15" t="s">
        <v>282</v>
      </c>
      <c r="AP15" t="s">
        <v>283</v>
      </c>
      <c r="AQ15" t="s">
        <v>131</v>
      </c>
      <c r="AR15" t="s">
        <v>132</v>
      </c>
      <c r="AS15" t="s">
        <v>284</v>
      </c>
      <c r="AT15" t="s">
        <v>285</v>
      </c>
      <c r="AV15" t="s">
        <v>286</v>
      </c>
      <c r="AX15" t="s">
        <v>136</v>
      </c>
      <c r="AY15" t="s">
        <v>272</v>
      </c>
      <c r="AZ15" t="s">
        <v>273</v>
      </c>
      <c r="BA15" t="s">
        <v>287</v>
      </c>
      <c r="BC15" t="s">
        <v>140</v>
      </c>
      <c r="BT15" s="7">
        <f t="shared" si="1"/>
        <v>38</v>
      </c>
      <c r="BU15" s="6">
        <f t="shared" si="2"/>
        <v>35.514018691588781</v>
      </c>
      <c r="BV15" s="6">
        <f t="shared" si="3"/>
        <v>2.4859813084112146</v>
      </c>
      <c r="BW15" s="6">
        <f t="shared" si="4"/>
        <v>37.999999999999993</v>
      </c>
      <c r="BX15" s="6">
        <f t="shared" si="5"/>
        <v>0</v>
      </c>
    </row>
    <row r="16" spans="1:76" x14ac:dyDescent="0.35">
      <c r="A16" t="s">
        <v>288</v>
      </c>
      <c r="B16" t="s">
        <v>107</v>
      </c>
      <c r="C16" t="s">
        <v>107</v>
      </c>
      <c r="E16" t="s">
        <v>108</v>
      </c>
      <c r="F16" t="s">
        <v>268</v>
      </c>
      <c r="G16" t="s">
        <v>269</v>
      </c>
      <c r="H16" t="s">
        <v>270</v>
      </c>
      <c r="I16" t="s">
        <v>271</v>
      </c>
      <c r="J16" t="s">
        <v>113</v>
      </c>
      <c r="K16" s="8" t="s">
        <v>114</v>
      </c>
      <c r="L16" t="s">
        <v>114</v>
      </c>
      <c r="M16" s="6">
        <v>0</v>
      </c>
      <c r="N16" t="s">
        <v>114</v>
      </c>
      <c r="O16" s="6">
        <v>0</v>
      </c>
      <c r="P16" t="s">
        <v>114</v>
      </c>
      <c r="Q16" s="6">
        <v>0</v>
      </c>
      <c r="R16" s="7">
        <f t="shared" si="0"/>
        <v>0</v>
      </c>
      <c r="S16" t="s">
        <v>180</v>
      </c>
      <c r="T16" t="s">
        <v>114</v>
      </c>
      <c r="U16" t="s">
        <v>180</v>
      </c>
      <c r="W16" t="s">
        <v>114</v>
      </c>
      <c r="X16" t="s">
        <v>117</v>
      </c>
      <c r="Z16" t="s">
        <v>289</v>
      </c>
      <c r="AA16" t="s">
        <v>290</v>
      </c>
      <c r="AB16" s="1" t="s">
        <v>291</v>
      </c>
      <c r="AC16" t="s">
        <v>292</v>
      </c>
      <c r="AD16" t="s">
        <v>290</v>
      </c>
      <c r="AH16" t="s">
        <v>123</v>
      </c>
      <c r="AI16" t="s">
        <v>124</v>
      </c>
      <c r="AJ16" t="s">
        <v>293</v>
      </c>
      <c r="AK16" t="s">
        <v>126</v>
      </c>
      <c r="AL16" t="s">
        <v>127</v>
      </c>
      <c r="AN16" t="s">
        <v>294</v>
      </c>
      <c r="AO16" t="s">
        <v>295</v>
      </c>
      <c r="AP16" t="s">
        <v>296</v>
      </c>
      <c r="AQ16" t="s">
        <v>131</v>
      </c>
      <c r="AR16" t="s">
        <v>132</v>
      </c>
      <c r="AS16" t="s">
        <v>297</v>
      </c>
      <c r="AT16" t="s">
        <v>298</v>
      </c>
      <c r="AV16" t="s">
        <v>299</v>
      </c>
      <c r="AW16" t="s">
        <v>300</v>
      </c>
      <c r="AX16" t="s">
        <v>136</v>
      </c>
      <c r="AY16" t="s">
        <v>272</v>
      </c>
      <c r="AZ16" t="s">
        <v>273</v>
      </c>
      <c r="BA16" t="s">
        <v>301</v>
      </c>
      <c r="BC16" t="s">
        <v>140</v>
      </c>
      <c r="BT16" s="7">
        <f t="shared" si="1"/>
        <v>0</v>
      </c>
      <c r="BU16" s="6">
        <f t="shared" si="2"/>
        <v>0</v>
      </c>
      <c r="BV16" s="6">
        <f t="shared" si="3"/>
        <v>0</v>
      </c>
      <c r="BW16" s="6">
        <f t="shared" si="4"/>
        <v>0</v>
      </c>
      <c r="BX16" s="6">
        <f t="shared" si="5"/>
        <v>0</v>
      </c>
    </row>
    <row r="17" spans="1:76" x14ac:dyDescent="0.35">
      <c r="A17" t="s">
        <v>288</v>
      </c>
      <c r="B17" t="s">
        <v>107</v>
      </c>
      <c r="C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113</v>
      </c>
      <c r="K17" s="8" t="s">
        <v>114</v>
      </c>
      <c r="L17" t="s">
        <v>115</v>
      </c>
      <c r="M17" s="6">
        <v>318</v>
      </c>
      <c r="N17" t="s">
        <v>114</v>
      </c>
      <c r="O17" s="6">
        <v>189</v>
      </c>
      <c r="P17" t="s">
        <v>117</v>
      </c>
      <c r="Q17" s="6">
        <v>0</v>
      </c>
      <c r="R17" s="7">
        <f t="shared" si="0"/>
        <v>129</v>
      </c>
      <c r="S17" t="s">
        <v>180</v>
      </c>
      <c r="T17" t="s">
        <v>114</v>
      </c>
      <c r="U17" t="s">
        <v>180</v>
      </c>
      <c r="W17" t="s">
        <v>114</v>
      </c>
      <c r="X17" t="s">
        <v>117</v>
      </c>
      <c r="Z17" t="s">
        <v>289</v>
      </c>
      <c r="AA17" t="s">
        <v>290</v>
      </c>
      <c r="AB17" s="1" t="s">
        <v>291</v>
      </c>
      <c r="AC17" t="s">
        <v>292</v>
      </c>
      <c r="AD17" t="s">
        <v>290</v>
      </c>
      <c r="AH17" t="s">
        <v>123</v>
      </c>
      <c r="AI17" t="s">
        <v>124</v>
      </c>
      <c r="AJ17" t="s">
        <v>293</v>
      </c>
      <c r="AK17" t="s">
        <v>126</v>
      </c>
      <c r="AL17" t="s">
        <v>127</v>
      </c>
      <c r="AN17" t="s">
        <v>294</v>
      </c>
      <c r="AO17" t="s">
        <v>295</v>
      </c>
      <c r="AP17" t="s">
        <v>296</v>
      </c>
      <c r="AQ17" t="s">
        <v>131</v>
      </c>
      <c r="AR17" t="s">
        <v>132</v>
      </c>
      <c r="AS17" t="s">
        <v>297</v>
      </c>
      <c r="AT17" t="s">
        <v>298</v>
      </c>
      <c r="AV17" t="s">
        <v>299</v>
      </c>
      <c r="AW17" t="s">
        <v>300</v>
      </c>
      <c r="AX17" t="s">
        <v>136</v>
      </c>
      <c r="AY17" t="s">
        <v>137</v>
      </c>
      <c r="AZ17" t="s">
        <v>138</v>
      </c>
      <c r="BA17" t="s">
        <v>301</v>
      </c>
      <c r="BC17" t="s">
        <v>140</v>
      </c>
      <c r="BT17" s="7">
        <f t="shared" si="1"/>
        <v>129</v>
      </c>
      <c r="BU17" s="6">
        <f t="shared" si="2"/>
        <v>120.5607476635514</v>
      </c>
      <c r="BV17" s="6">
        <f t="shared" si="3"/>
        <v>8.4392523364485967</v>
      </c>
      <c r="BW17" s="6">
        <f t="shared" si="4"/>
        <v>129</v>
      </c>
      <c r="BX17" s="6">
        <f t="shared" si="5"/>
        <v>0</v>
      </c>
    </row>
    <row r="18" spans="1:76" x14ac:dyDescent="0.35">
      <c r="A18" t="s">
        <v>302</v>
      </c>
      <c r="B18" t="s">
        <v>107</v>
      </c>
      <c r="C18" t="s">
        <v>107</v>
      </c>
      <c r="E18" t="s">
        <v>108</v>
      </c>
      <c r="F18" t="s">
        <v>268</v>
      </c>
      <c r="G18" t="s">
        <v>269</v>
      </c>
      <c r="H18" t="s">
        <v>270</v>
      </c>
      <c r="I18" t="s">
        <v>271</v>
      </c>
      <c r="J18" t="s">
        <v>113</v>
      </c>
      <c r="K18" s="8" t="s">
        <v>114</v>
      </c>
      <c r="L18" t="s">
        <v>114</v>
      </c>
      <c r="M18" s="6">
        <v>0</v>
      </c>
      <c r="N18" t="s">
        <v>114</v>
      </c>
      <c r="O18" s="6">
        <v>0</v>
      </c>
      <c r="P18" t="s">
        <v>114</v>
      </c>
      <c r="Q18" s="6">
        <v>11</v>
      </c>
      <c r="R18" s="7">
        <f t="shared" si="0"/>
        <v>11</v>
      </c>
      <c r="S18" t="s">
        <v>142</v>
      </c>
      <c r="T18" t="s">
        <v>114</v>
      </c>
      <c r="U18" t="s">
        <v>304</v>
      </c>
      <c r="W18" t="s">
        <v>114</v>
      </c>
      <c r="X18" t="s">
        <v>305</v>
      </c>
      <c r="Z18" t="s">
        <v>306</v>
      </c>
      <c r="AA18" t="s">
        <v>307</v>
      </c>
      <c r="AB18" s="1" t="s">
        <v>308</v>
      </c>
      <c r="AC18" t="s">
        <v>309</v>
      </c>
      <c r="AD18" t="s">
        <v>310</v>
      </c>
      <c r="AH18" t="s">
        <v>123</v>
      </c>
      <c r="AI18" t="s">
        <v>124</v>
      </c>
      <c r="AJ18" t="s">
        <v>311</v>
      </c>
      <c r="AK18" t="s">
        <v>126</v>
      </c>
      <c r="AL18" t="s">
        <v>127</v>
      </c>
      <c r="AN18" t="s">
        <v>312</v>
      </c>
      <c r="AO18" t="s">
        <v>313</v>
      </c>
      <c r="AP18" t="s">
        <v>314</v>
      </c>
      <c r="AQ18" t="s">
        <v>131</v>
      </c>
      <c r="AR18" t="s">
        <v>132</v>
      </c>
      <c r="AS18" t="s">
        <v>152</v>
      </c>
      <c r="AT18" t="s">
        <v>315</v>
      </c>
      <c r="AV18" t="s">
        <v>316</v>
      </c>
      <c r="AX18" t="s">
        <v>317</v>
      </c>
      <c r="AY18" t="s">
        <v>272</v>
      </c>
      <c r="AZ18" t="s">
        <v>273</v>
      </c>
      <c r="BA18" t="s">
        <v>318</v>
      </c>
      <c r="BC18" t="s">
        <v>140</v>
      </c>
      <c r="BT18" s="7">
        <f t="shared" si="1"/>
        <v>11</v>
      </c>
      <c r="BU18" s="6">
        <f t="shared" si="2"/>
        <v>10.2803738317757</v>
      </c>
      <c r="BV18" s="6">
        <f t="shared" si="3"/>
        <v>0.71962616822429892</v>
      </c>
      <c r="BW18" s="6">
        <f t="shared" si="4"/>
        <v>10.999999999999998</v>
      </c>
      <c r="BX18" s="6">
        <f t="shared" si="5"/>
        <v>0</v>
      </c>
    </row>
    <row r="19" spans="1:76" x14ac:dyDescent="0.35">
      <c r="A19" t="s">
        <v>302</v>
      </c>
      <c r="B19" t="s">
        <v>107</v>
      </c>
      <c r="C19" t="s">
        <v>107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s="8" t="s">
        <v>114</v>
      </c>
      <c r="L19" t="s">
        <v>115</v>
      </c>
      <c r="M19" s="6">
        <v>318</v>
      </c>
      <c r="N19" t="s">
        <v>319</v>
      </c>
      <c r="O19" s="6">
        <v>189</v>
      </c>
      <c r="P19" t="s">
        <v>320</v>
      </c>
      <c r="Q19" s="6">
        <v>11</v>
      </c>
      <c r="R19" s="7">
        <f t="shared" si="0"/>
        <v>140</v>
      </c>
      <c r="S19" t="s">
        <v>142</v>
      </c>
      <c r="T19" t="s">
        <v>114</v>
      </c>
      <c r="U19" t="s">
        <v>304</v>
      </c>
      <c r="W19" t="s">
        <v>114</v>
      </c>
      <c r="X19" t="s">
        <v>305</v>
      </c>
      <c r="Z19" t="s">
        <v>306</v>
      </c>
      <c r="AA19" t="s">
        <v>307</v>
      </c>
      <c r="AB19" s="1" t="s">
        <v>308</v>
      </c>
      <c r="AC19" t="s">
        <v>309</v>
      </c>
      <c r="AD19" t="s">
        <v>310</v>
      </c>
      <c r="AH19" t="s">
        <v>123</v>
      </c>
      <c r="AI19" t="s">
        <v>124</v>
      </c>
      <c r="AJ19" t="s">
        <v>311</v>
      </c>
      <c r="AK19" t="s">
        <v>126</v>
      </c>
      <c r="AL19" t="s">
        <v>127</v>
      </c>
      <c r="AN19" t="s">
        <v>312</v>
      </c>
      <c r="AO19" t="s">
        <v>313</v>
      </c>
      <c r="AP19" t="s">
        <v>314</v>
      </c>
      <c r="AQ19" t="s">
        <v>131</v>
      </c>
      <c r="AR19" t="s">
        <v>132</v>
      </c>
      <c r="AS19" t="s">
        <v>152</v>
      </c>
      <c r="AT19" t="s">
        <v>315</v>
      </c>
      <c r="AV19" t="s">
        <v>316</v>
      </c>
      <c r="AX19" t="s">
        <v>317</v>
      </c>
      <c r="AY19" t="s">
        <v>137</v>
      </c>
      <c r="AZ19" t="s">
        <v>138</v>
      </c>
      <c r="BA19" t="s">
        <v>318</v>
      </c>
      <c r="BC19" t="s">
        <v>140</v>
      </c>
      <c r="BT19" s="7">
        <f t="shared" si="1"/>
        <v>140</v>
      </c>
      <c r="BU19" s="6">
        <f t="shared" si="2"/>
        <v>130.84112149532709</v>
      </c>
      <c r="BV19" s="6">
        <f t="shared" si="3"/>
        <v>9.1588785046728951</v>
      </c>
      <c r="BW19" s="6">
        <f t="shared" si="4"/>
        <v>139.99999999999997</v>
      </c>
      <c r="BX19" s="6">
        <f t="shared" si="5"/>
        <v>0</v>
      </c>
    </row>
    <row r="20" spans="1:76" x14ac:dyDescent="0.35">
      <c r="A20" t="s">
        <v>321</v>
      </c>
      <c r="B20" t="s">
        <v>107</v>
      </c>
      <c r="C20" t="s">
        <v>107</v>
      </c>
      <c r="E20" t="s">
        <v>108</v>
      </c>
      <c r="F20" t="s">
        <v>268</v>
      </c>
      <c r="G20" t="s">
        <v>269</v>
      </c>
      <c r="H20" t="s">
        <v>270</v>
      </c>
      <c r="I20" t="s">
        <v>271</v>
      </c>
      <c r="J20" t="s">
        <v>113</v>
      </c>
      <c r="K20" s="8" t="s">
        <v>114</v>
      </c>
      <c r="L20" t="s">
        <v>114</v>
      </c>
      <c r="M20" s="6">
        <v>0</v>
      </c>
      <c r="N20" t="s">
        <v>114</v>
      </c>
      <c r="O20" s="6">
        <v>0</v>
      </c>
      <c r="P20" t="s">
        <v>114</v>
      </c>
      <c r="Q20" s="6">
        <v>0</v>
      </c>
      <c r="R20" s="7">
        <f t="shared" si="0"/>
        <v>0</v>
      </c>
      <c r="S20" t="s">
        <v>180</v>
      </c>
      <c r="T20" t="s">
        <v>114</v>
      </c>
      <c r="U20" t="s">
        <v>180</v>
      </c>
      <c r="W20" t="s">
        <v>114</v>
      </c>
      <c r="X20" t="s">
        <v>322</v>
      </c>
      <c r="Z20" t="s">
        <v>323</v>
      </c>
      <c r="AA20" t="s">
        <v>324</v>
      </c>
      <c r="AB20" s="1" t="s">
        <v>325</v>
      </c>
      <c r="AC20" t="s">
        <v>326</v>
      </c>
      <c r="AD20" t="s">
        <v>324</v>
      </c>
      <c r="AH20" t="s">
        <v>123</v>
      </c>
      <c r="AI20" t="s">
        <v>124</v>
      </c>
      <c r="AJ20" t="s">
        <v>327</v>
      </c>
      <c r="AK20" t="s">
        <v>126</v>
      </c>
      <c r="AL20" t="s">
        <v>127</v>
      </c>
      <c r="AN20" t="s">
        <v>328</v>
      </c>
      <c r="AO20" t="s">
        <v>329</v>
      </c>
      <c r="AP20" t="s">
        <v>330</v>
      </c>
      <c r="AQ20" t="s">
        <v>131</v>
      </c>
      <c r="AR20" t="s">
        <v>132</v>
      </c>
      <c r="AS20" t="s">
        <v>331</v>
      </c>
      <c r="AT20" t="s">
        <v>332</v>
      </c>
      <c r="AV20" t="s">
        <v>219</v>
      </c>
      <c r="AX20" t="s">
        <v>136</v>
      </c>
      <c r="AY20" t="s">
        <v>272</v>
      </c>
      <c r="AZ20" t="s">
        <v>273</v>
      </c>
      <c r="BA20" t="s">
        <v>333</v>
      </c>
      <c r="BC20" t="s">
        <v>140</v>
      </c>
      <c r="BT20" s="7">
        <f t="shared" si="1"/>
        <v>0</v>
      </c>
      <c r="BU20" s="6">
        <f t="shared" si="2"/>
        <v>0</v>
      </c>
      <c r="BV20" s="6">
        <f t="shared" si="3"/>
        <v>0</v>
      </c>
      <c r="BW20" s="6">
        <f t="shared" si="4"/>
        <v>0</v>
      </c>
      <c r="BX20" s="6">
        <f t="shared" si="5"/>
        <v>0</v>
      </c>
    </row>
    <row r="21" spans="1:76" x14ac:dyDescent="0.35">
      <c r="A21" t="s">
        <v>321</v>
      </c>
      <c r="B21" t="s">
        <v>107</v>
      </c>
      <c r="C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s="8" t="s">
        <v>114</v>
      </c>
      <c r="L21" t="s">
        <v>115</v>
      </c>
      <c r="M21" s="6">
        <v>318</v>
      </c>
      <c r="N21" t="s">
        <v>334</v>
      </c>
      <c r="O21" s="6">
        <v>189</v>
      </c>
      <c r="P21" t="s">
        <v>322</v>
      </c>
      <c r="Q21" s="6">
        <v>0</v>
      </c>
      <c r="R21" s="7">
        <f t="shared" si="0"/>
        <v>129</v>
      </c>
      <c r="S21" t="s">
        <v>180</v>
      </c>
      <c r="T21" t="s">
        <v>114</v>
      </c>
      <c r="U21" t="s">
        <v>180</v>
      </c>
      <c r="W21" t="s">
        <v>114</v>
      </c>
      <c r="X21" t="s">
        <v>322</v>
      </c>
      <c r="Z21" t="s">
        <v>323</v>
      </c>
      <c r="AA21" t="s">
        <v>324</v>
      </c>
      <c r="AB21" s="1" t="s">
        <v>325</v>
      </c>
      <c r="AC21" t="s">
        <v>326</v>
      </c>
      <c r="AD21" t="s">
        <v>324</v>
      </c>
      <c r="AH21" t="s">
        <v>123</v>
      </c>
      <c r="AI21" t="s">
        <v>124</v>
      </c>
      <c r="AJ21" t="s">
        <v>327</v>
      </c>
      <c r="AK21" t="s">
        <v>126</v>
      </c>
      <c r="AL21" t="s">
        <v>127</v>
      </c>
      <c r="AN21" t="s">
        <v>328</v>
      </c>
      <c r="AO21" t="s">
        <v>329</v>
      </c>
      <c r="AP21" t="s">
        <v>330</v>
      </c>
      <c r="AQ21" t="s">
        <v>131</v>
      </c>
      <c r="AR21" t="s">
        <v>132</v>
      </c>
      <c r="AS21" t="s">
        <v>331</v>
      </c>
      <c r="AT21" t="s">
        <v>332</v>
      </c>
      <c r="AV21" t="s">
        <v>219</v>
      </c>
      <c r="AX21" t="s">
        <v>136</v>
      </c>
      <c r="AY21" t="s">
        <v>137</v>
      </c>
      <c r="AZ21" t="s">
        <v>138</v>
      </c>
      <c r="BA21" t="s">
        <v>333</v>
      </c>
      <c r="BC21" t="s">
        <v>140</v>
      </c>
      <c r="BT21" s="7">
        <f t="shared" si="1"/>
        <v>129</v>
      </c>
      <c r="BU21" s="6">
        <f t="shared" si="2"/>
        <v>120.5607476635514</v>
      </c>
      <c r="BV21" s="6">
        <f t="shared" si="3"/>
        <v>8.4392523364485967</v>
      </c>
      <c r="BW21" s="6">
        <f t="shared" si="4"/>
        <v>129</v>
      </c>
      <c r="BX21" s="6">
        <f t="shared" si="5"/>
        <v>0</v>
      </c>
    </row>
    <row r="22" spans="1:76" x14ac:dyDescent="0.35">
      <c r="A22" t="s">
        <v>335</v>
      </c>
      <c r="B22" t="s">
        <v>336</v>
      </c>
      <c r="C22" t="s">
        <v>336</v>
      </c>
      <c r="D22" t="s">
        <v>337</v>
      </c>
      <c r="E22" t="s">
        <v>108</v>
      </c>
      <c r="F22" t="s">
        <v>338</v>
      </c>
      <c r="G22" t="s">
        <v>339</v>
      </c>
      <c r="H22" t="s">
        <v>340</v>
      </c>
      <c r="I22" t="s">
        <v>341</v>
      </c>
      <c r="J22" t="s">
        <v>113</v>
      </c>
      <c r="K22" s="8" t="s">
        <v>113</v>
      </c>
      <c r="L22" t="s">
        <v>114</v>
      </c>
      <c r="M22" s="6">
        <v>0</v>
      </c>
      <c r="N22" t="s">
        <v>114</v>
      </c>
      <c r="O22" s="6">
        <v>0</v>
      </c>
      <c r="P22" t="s">
        <v>114</v>
      </c>
      <c r="Q22" s="6">
        <v>0</v>
      </c>
      <c r="R22" s="7">
        <f t="shared" si="0"/>
        <v>0</v>
      </c>
      <c r="S22" t="s">
        <v>180</v>
      </c>
      <c r="T22" t="s">
        <v>114</v>
      </c>
      <c r="U22" t="s">
        <v>180</v>
      </c>
      <c r="W22" t="s">
        <v>114</v>
      </c>
      <c r="X22" t="s">
        <v>322</v>
      </c>
      <c r="Y22" t="s">
        <v>114</v>
      </c>
      <c r="Z22" t="s">
        <v>342</v>
      </c>
      <c r="AA22" t="s">
        <v>343</v>
      </c>
      <c r="AB22" s="1" t="s">
        <v>344</v>
      </c>
      <c r="AE22" t="s">
        <v>345</v>
      </c>
      <c r="AF22" t="s">
        <v>346</v>
      </c>
      <c r="AG22" t="s">
        <v>347</v>
      </c>
      <c r="AH22" t="s">
        <v>123</v>
      </c>
      <c r="AI22" t="s">
        <v>124</v>
      </c>
      <c r="AJ22" t="s">
        <v>348</v>
      </c>
      <c r="AK22" t="s">
        <v>126</v>
      </c>
      <c r="AL22" t="s">
        <v>127</v>
      </c>
      <c r="AN22" t="s">
        <v>349</v>
      </c>
      <c r="AO22" t="s">
        <v>350</v>
      </c>
      <c r="AP22" t="s">
        <v>351</v>
      </c>
      <c r="AQ22" t="s">
        <v>131</v>
      </c>
      <c r="AR22" t="s">
        <v>132</v>
      </c>
      <c r="AS22" t="s">
        <v>352</v>
      </c>
      <c r="AT22" t="s">
        <v>353</v>
      </c>
      <c r="AV22" t="s">
        <v>354</v>
      </c>
      <c r="AW22" t="s">
        <v>355</v>
      </c>
      <c r="AX22" t="s">
        <v>155</v>
      </c>
      <c r="AY22" t="s">
        <v>177</v>
      </c>
      <c r="AZ22" t="s">
        <v>356</v>
      </c>
      <c r="BA22" t="s">
        <v>357</v>
      </c>
      <c r="BC22" t="s">
        <v>140</v>
      </c>
      <c r="BT22" s="7">
        <f t="shared" si="1"/>
        <v>0</v>
      </c>
      <c r="BU22" s="6">
        <f t="shared" si="2"/>
        <v>0</v>
      </c>
      <c r="BV22" s="6">
        <f t="shared" si="3"/>
        <v>0</v>
      </c>
      <c r="BW22" s="6">
        <f t="shared" si="4"/>
        <v>0</v>
      </c>
      <c r="BX22" s="6">
        <f t="shared" si="5"/>
        <v>0</v>
      </c>
    </row>
    <row r="23" spans="1:76" x14ac:dyDescent="0.35">
      <c r="A23" t="s">
        <v>335</v>
      </c>
      <c r="B23" t="s">
        <v>336</v>
      </c>
      <c r="C23" t="s">
        <v>336</v>
      </c>
      <c r="D23" t="s">
        <v>337</v>
      </c>
      <c r="E23" t="s">
        <v>108</v>
      </c>
      <c r="F23" t="s">
        <v>358</v>
      </c>
      <c r="G23" t="s">
        <v>359</v>
      </c>
      <c r="H23" t="s">
        <v>360</v>
      </c>
      <c r="I23" t="s">
        <v>341</v>
      </c>
      <c r="J23" t="s">
        <v>113</v>
      </c>
      <c r="K23" s="8" t="s">
        <v>113</v>
      </c>
      <c r="L23" t="s">
        <v>361</v>
      </c>
      <c r="M23" s="6">
        <v>233</v>
      </c>
      <c r="N23" t="s">
        <v>362</v>
      </c>
      <c r="O23" s="6">
        <v>127</v>
      </c>
      <c r="P23" t="s">
        <v>322</v>
      </c>
      <c r="Q23" s="6">
        <v>0</v>
      </c>
      <c r="R23" s="7">
        <f t="shared" si="0"/>
        <v>106</v>
      </c>
      <c r="S23" t="s">
        <v>180</v>
      </c>
      <c r="T23" t="s">
        <v>114</v>
      </c>
      <c r="U23" t="s">
        <v>180</v>
      </c>
      <c r="W23" t="s">
        <v>114</v>
      </c>
      <c r="X23" t="s">
        <v>322</v>
      </c>
      <c r="Y23" t="s">
        <v>322</v>
      </c>
      <c r="Z23" t="s">
        <v>342</v>
      </c>
      <c r="AA23" t="s">
        <v>343</v>
      </c>
      <c r="AB23" s="1" t="s">
        <v>344</v>
      </c>
      <c r="AE23" t="s">
        <v>345</v>
      </c>
      <c r="AF23" t="s">
        <v>346</v>
      </c>
      <c r="AG23" t="s">
        <v>347</v>
      </c>
      <c r="AH23" t="s">
        <v>123</v>
      </c>
      <c r="AI23" t="s">
        <v>124</v>
      </c>
      <c r="AJ23" t="s">
        <v>348</v>
      </c>
      <c r="AK23" t="s">
        <v>126</v>
      </c>
      <c r="AL23" t="s">
        <v>127</v>
      </c>
      <c r="AN23" t="s">
        <v>349</v>
      </c>
      <c r="AO23" t="s">
        <v>350</v>
      </c>
      <c r="AP23" t="s">
        <v>351</v>
      </c>
      <c r="AQ23" t="s">
        <v>131</v>
      </c>
      <c r="AR23" t="s">
        <v>132</v>
      </c>
      <c r="AS23" t="s">
        <v>352</v>
      </c>
      <c r="AT23" t="s">
        <v>353</v>
      </c>
      <c r="AV23" t="s">
        <v>354</v>
      </c>
      <c r="AW23" t="s">
        <v>355</v>
      </c>
      <c r="AX23" t="s">
        <v>155</v>
      </c>
      <c r="AY23" t="s">
        <v>177</v>
      </c>
      <c r="AZ23" t="s">
        <v>364</v>
      </c>
      <c r="BA23" t="s">
        <v>357</v>
      </c>
      <c r="BC23" t="s">
        <v>140</v>
      </c>
      <c r="BT23" s="7">
        <f t="shared" si="1"/>
        <v>106</v>
      </c>
      <c r="BU23" s="6">
        <f t="shared" si="2"/>
        <v>99.065420560747654</v>
      </c>
      <c r="BV23" s="6">
        <f t="shared" si="3"/>
        <v>6.9345794392523361</v>
      </c>
      <c r="BW23" s="6">
        <f t="shared" si="4"/>
        <v>105.99999999999999</v>
      </c>
      <c r="BX23" s="6">
        <f t="shared" si="5"/>
        <v>0</v>
      </c>
    </row>
    <row r="24" spans="1:76" x14ac:dyDescent="0.35">
      <c r="A24" t="s">
        <v>365</v>
      </c>
      <c r="B24" t="s">
        <v>107</v>
      </c>
      <c r="C24" t="s">
        <v>107</v>
      </c>
      <c r="E24" t="s">
        <v>108</v>
      </c>
      <c r="F24" t="s">
        <v>158</v>
      </c>
      <c r="G24" t="s">
        <v>159</v>
      </c>
      <c r="H24" t="s">
        <v>111</v>
      </c>
      <c r="I24" t="s">
        <v>160</v>
      </c>
      <c r="J24" t="s">
        <v>113</v>
      </c>
      <c r="K24" s="8" t="s">
        <v>114</v>
      </c>
      <c r="L24" t="s">
        <v>161</v>
      </c>
      <c r="M24" s="6">
        <v>459</v>
      </c>
      <c r="N24" t="s">
        <v>114</v>
      </c>
      <c r="O24" s="6">
        <v>268.01</v>
      </c>
      <c r="P24" t="s">
        <v>240</v>
      </c>
      <c r="Q24" s="6">
        <v>0</v>
      </c>
      <c r="R24" s="7">
        <f t="shared" si="0"/>
        <v>190.99</v>
      </c>
      <c r="S24" t="s">
        <v>180</v>
      </c>
      <c r="T24" t="s">
        <v>114</v>
      </c>
      <c r="U24" t="s">
        <v>180</v>
      </c>
      <c r="W24" t="s">
        <v>114</v>
      </c>
      <c r="X24" t="s">
        <v>240</v>
      </c>
      <c r="Z24" t="s">
        <v>366</v>
      </c>
      <c r="AA24" t="s">
        <v>367</v>
      </c>
      <c r="AB24" s="1" t="s">
        <v>368</v>
      </c>
      <c r="AC24" t="s">
        <v>369</v>
      </c>
      <c r="AD24" t="s">
        <v>367</v>
      </c>
      <c r="AH24" t="s">
        <v>123</v>
      </c>
      <c r="AI24" t="s">
        <v>124</v>
      </c>
      <c r="AJ24" t="s">
        <v>370</v>
      </c>
      <c r="AK24" t="s">
        <v>126</v>
      </c>
      <c r="AL24" t="s">
        <v>127</v>
      </c>
      <c r="AN24" t="s">
        <v>371</v>
      </c>
      <c r="AO24" t="s">
        <v>372</v>
      </c>
      <c r="AP24" t="s">
        <v>373</v>
      </c>
      <c r="AQ24" t="s">
        <v>131</v>
      </c>
      <c r="AR24" t="s">
        <v>132</v>
      </c>
      <c r="AS24" t="s">
        <v>352</v>
      </c>
      <c r="AT24" t="s">
        <v>374</v>
      </c>
      <c r="AV24" t="s">
        <v>375</v>
      </c>
      <c r="AX24" t="s">
        <v>136</v>
      </c>
      <c r="AY24" t="s">
        <v>177</v>
      </c>
      <c r="AZ24" t="s">
        <v>138</v>
      </c>
      <c r="BA24" t="s">
        <v>376</v>
      </c>
      <c r="BC24" t="s">
        <v>140</v>
      </c>
      <c r="BT24" s="7">
        <f t="shared" si="1"/>
        <v>190.99</v>
      </c>
      <c r="BU24" s="6">
        <f t="shared" si="2"/>
        <v>178.49532710280374</v>
      </c>
      <c r="BV24" s="6">
        <f t="shared" si="3"/>
        <v>12.494672897196262</v>
      </c>
      <c r="BW24" s="6">
        <f t="shared" si="4"/>
        <v>190.99</v>
      </c>
      <c r="BX24" s="6">
        <f t="shared" si="5"/>
        <v>0</v>
      </c>
    </row>
    <row r="25" spans="1:76" x14ac:dyDescent="0.35">
      <c r="A25" t="s">
        <v>365</v>
      </c>
      <c r="B25" t="s">
        <v>107</v>
      </c>
      <c r="C25" t="s">
        <v>107</v>
      </c>
      <c r="E25" t="s">
        <v>108</v>
      </c>
      <c r="F25" t="s">
        <v>268</v>
      </c>
      <c r="G25" t="s">
        <v>269</v>
      </c>
      <c r="H25" t="s">
        <v>270</v>
      </c>
      <c r="I25" t="s">
        <v>271</v>
      </c>
      <c r="J25" t="s">
        <v>113</v>
      </c>
      <c r="K25" s="8" t="s">
        <v>114</v>
      </c>
      <c r="L25" t="s">
        <v>114</v>
      </c>
      <c r="M25" s="6">
        <v>0</v>
      </c>
      <c r="N25" t="s">
        <v>114</v>
      </c>
      <c r="O25" s="6">
        <v>0</v>
      </c>
      <c r="P25" t="s">
        <v>114</v>
      </c>
      <c r="Q25" s="6">
        <v>0</v>
      </c>
      <c r="R25" s="7">
        <f t="shared" si="0"/>
        <v>0</v>
      </c>
      <c r="S25" t="s">
        <v>180</v>
      </c>
      <c r="T25" t="s">
        <v>114</v>
      </c>
      <c r="U25" t="s">
        <v>180</v>
      </c>
      <c r="W25" t="s">
        <v>114</v>
      </c>
      <c r="X25" t="s">
        <v>240</v>
      </c>
      <c r="Z25" t="s">
        <v>366</v>
      </c>
      <c r="AA25" t="s">
        <v>367</v>
      </c>
      <c r="AB25" s="1" t="s">
        <v>368</v>
      </c>
      <c r="AC25" t="s">
        <v>369</v>
      </c>
      <c r="AD25" t="s">
        <v>367</v>
      </c>
      <c r="AH25" t="s">
        <v>123</v>
      </c>
      <c r="AI25" t="s">
        <v>124</v>
      </c>
      <c r="AJ25" t="s">
        <v>370</v>
      </c>
      <c r="AK25" t="s">
        <v>126</v>
      </c>
      <c r="AL25" t="s">
        <v>127</v>
      </c>
      <c r="AN25" t="s">
        <v>371</v>
      </c>
      <c r="AO25" t="s">
        <v>372</v>
      </c>
      <c r="AP25" t="s">
        <v>373</v>
      </c>
      <c r="AQ25" t="s">
        <v>131</v>
      </c>
      <c r="AR25" t="s">
        <v>132</v>
      </c>
      <c r="AS25" t="s">
        <v>352</v>
      </c>
      <c r="AT25" t="s">
        <v>374</v>
      </c>
      <c r="AV25" t="s">
        <v>375</v>
      </c>
      <c r="AX25" t="s">
        <v>136</v>
      </c>
      <c r="AY25" t="s">
        <v>272</v>
      </c>
      <c r="AZ25" t="s">
        <v>273</v>
      </c>
      <c r="BA25" t="s">
        <v>376</v>
      </c>
      <c r="BC25" t="s">
        <v>140</v>
      </c>
      <c r="BT25" s="7">
        <f t="shared" si="1"/>
        <v>0</v>
      </c>
      <c r="BU25" s="6">
        <f t="shared" si="2"/>
        <v>0</v>
      </c>
      <c r="BV25" s="6">
        <f t="shared" si="3"/>
        <v>0</v>
      </c>
      <c r="BW25" s="6">
        <f t="shared" si="4"/>
        <v>0</v>
      </c>
      <c r="BX25" s="6">
        <f t="shared" si="5"/>
        <v>0</v>
      </c>
    </row>
    <row r="26" spans="1:76" x14ac:dyDescent="0.35">
      <c r="A26" t="s">
        <v>377</v>
      </c>
      <c r="B26" t="s">
        <v>107</v>
      </c>
      <c r="C26" t="s">
        <v>107</v>
      </c>
      <c r="E26" t="s">
        <v>108</v>
      </c>
      <c r="F26" t="s">
        <v>158</v>
      </c>
      <c r="G26" t="s">
        <v>159</v>
      </c>
      <c r="H26" t="s">
        <v>111</v>
      </c>
      <c r="I26" t="s">
        <v>160</v>
      </c>
      <c r="J26" t="s">
        <v>113</v>
      </c>
      <c r="K26" s="8" t="s">
        <v>114</v>
      </c>
      <c r="L26" t="s">
        <v>161</v>
      </c>
      <c r="M26" s="6">
        <v>459</v>
      </c>
      <c r="N26" t="s">
        <v>114</v>
      </c>
      <c r="O26" s="6">
        <v>268.01</v>
      </c>
      <c r="P26" t="s">
        <v>240</v>
      </c>
      <c r="Q26" s="6">
        <v>0</v>
      </c>
      <c r="R26" s="7">
        <f t="shared" si="0"/>
        <v>190.99</v>
      </c>
      <c r="S26" t="s">
        <v>142</v>
      </c>
      <c r="T26" t="s">
        <v>114</v>
      </c>
      <c r="U26" t="s">
        <v>142</v>
      </c>
      <c r="W26" t="s">
        <v>114</v>
      </c>
      <c r="X26" t="s">
        <v>240</v>
      </c>
      <c r="Z26" t="s">
        <v>378</v>
      </c>
      <c r="AA26" t="s">
        <v>379</v>
      </c>
      <c r="AB26" s="1" t="s">
        <v>380</v>
      </c>
      <c r="AC26" t="s">
        <v>381</v>
      </c>
      <c r="AD26" t="s">
        <v>382</v>
      </c>
      <c r="AH26" t="s">
        <v>123</v>
      </c>
      <c r="AI26" t="s">
        <v>124</v>
      </c>
      <c r="AJ26" t="s">
        <v>383</v>
      </c>
      <c r="AK26" t="s">
        <v>126</v>
      </c>
      <c r="AL26" t="s">
        <v>127</v>
      </c>
      <c r="AN26" t="s">
        <v>384</v>
      </c>
      <c r="AO26" t="s">
        <v>385</v>
      </c>
      <c r="AP26" t="s">
        <v>386</v>
      </c>
      <c r="AQ26" t="s">
        <v>131</v>
      </c>
      <c r="AR26" t="s">
        <v>132</v>
      </c>
      <c r="AS26" t="s">
        <v>387</v>
      </c>
      <c r="AT26" t="s">
        <v>388</v>
      </c>
      <c r="AV26" t="s">
        <v>389</v>
      </c>
      <c r="AX26" t="s">
        <v>155</v>
      </c>
      <c r="AY26" t="s">
        <v>177</v>
      </c>
      <c r="AZ26" t="s">
        <v>138</v>
      </c>
      <c r="BA26" t="s">
        <v>390</v>
      </c>
      <c r="BC26" t="s">
        <v>140</v>
      </c>
      <c r="BT26" s="7">
        <f t="shared" si="1"/>
        <v>190.99</v>
      </c>
      <c r="BU26" s="6">
        <f t="shared" si="2"/>
        <v>178.49532710280374</v>
      </c>
      <c r="BV26" s="6">
        <f t="shared" si="3"/>
        <v>12.494672897196262</v>
      </c>
      <c r="BW26" s="6">
        <f t="shared" si="4"/>
        <v>190.99</v>
      </c>
      <c r="BX26" s="6">
        <f t="shared" si="5"/>
        <v>0</v>
      </c>
    </row>
    <row r="27" spans="1:76" x14ac:dyDescent="0.35">
      <c r="A27" t="s">
        <v>377</v>
      </c>
      <c r="B27" t="s">
        <v>107</v>
      </c>
      <c r="C27" t="s">
        <v>107</v>
      </c>
      <c r="E27" t="s">
        <v>108</v>
      </c>
      <c r="F27" t="s">
        <v>268</v>
      </c>
      <c r="G27" t="s">
        <v>269</v>
      </c>
      <c r="H27" t="s">
        <v>270</v>
      </c>
      <c r="I27" t="s">
        <v>271</v>
      </c>
      <c r="J27" t="s">
        <v>113</v>
      </c>
      <c r="K27" s="8" t="s">
        <v>114</v>
      </c>
      <c r="L27" t="s">
        <v>114</v>
      </c>
      <c r="M27" s="6">
        <v>0</v>
      </c>
      <c r="N27" t="s">
        <v>114</v>
      </c>
      <c r="O27" s="6">
        <v>0</v>
      </c>
      <c r="P27" t="s">
        <v>114</v>
      </c>
      <c r="Q27" s="6">
        <v>0</v>
      </c>
      <c r="R27" s="7">
        <f t="shared" si="0"/>
        <v>0</v>
      </c>
      <c r="S27" t="s">
        <v>142</v>
      </c>
      <c r="T27" t="s">
        <v>114</v>
      </c>
      <c r="U27" t="s">
        <v>142</v>
      </c>
      <c r="W27" t="s">
        <v>114</v>
      </c>
      <c r="X27" t="s">
        <v>240</v>
      </c>
      <c r="Z27" t="s">
        <v>378</v>
      </c>
      <c r="AA27" t="s">
        <v>379</v>
      </c>
      <c r="AB27" s="1" t="s">
        <v>380</v>
      </c>
      <c r="AC27" t="s">
        <v>381</v>
      </c>
      <c r="AD27" t="s">
        <v>382</v>
      </c>
      <c r="AH27" t="s">
        <v>123</v>
      </c>
      <c r="AI27" t="s">
        <v>124</v>
      </c>
      <c r="AJ27" t="s">
        <v>383</v>
      </c>
      <c r="AK27" t="s">
        <v>126</v>
      </c>
      <c r="AL27" t="s">
        <v>127</v>
      </c>
      <c r="AN27" t="s">
        <v>384</v>
      </c>
      <c r="AO27" t="s">
        <v>385</v>
      </c>
      <c r="AP27" t="s">
        <v>386</v>
      </c>
      <c r="AQ27" t="s">
        <v>131</v>
      </c>
      <c r="AR27" t="s">
        <v>132</v>
      </c>
      <c r="AS27" t="s">
        <v>387</v>
      </c>
      <c r="AT27" t="s">
        <v>388</v>
      </c>
      <c r="AV27" t="s">
        <v>389</v>
      </c>
      <c r="AX27" t="s">
        <v>155</v>
      </c>
      <c r="AY27" t="s">
        <v>272</v>
      </c>
      <c r="AZ27" t="s">
        <v>273</v>
      </c>
      <c r="BA27" t="s">
        <v>390</v>
      </c>
      <c r="BC27" t="s">
        <v>140</v>
      </c>
      <c r="BT27" s="7">
        <f t="shared" si="1"/>
        <v>0</v>
      </c>
      <c r="BU27" s="6">
        <f t="shared" si="2"/>
        <v>0</v>
      </c>
      <c r="BV27" s="6">
        <f t="shared" si="3"/>
        <v>0</v>
      </c>
      <c r="BW27" s="6">
        <f t="shared" si="4"/>
        <v>0</v>
      </c>
      <c r="BX27" s="6">
        <f t="shared" si="5"/>
        <v>0</v>
      </c>
    </row>
    <row r="28" spans="1:76" x14ac:dyDescent="0.35">
      <c r="A28" t="s">
        <v>391</v>
      </c>
      <c r="B28" t="s">
        <v>107</v>
      </c>
      <c r="C28" t="s">
        <v>107</v>
      </c>
      <c r="E28" t="s">
        <v>108</v>
      </c>
      <c r="F28" t="s">
        <v>158</v>
      </c>
      <c r="G28" t="s">
        <v>159</v>
      </c>
      <c r="H28" t="s">
        <v>111</v>
      </c>
      <c r="I28" t="s">
        <v>160</v>
      </c>
      <c r="J28" t="s">
        <v>113</v>
      </c>
      <c r="K28" s="8" t="s">
        <v>114</v>
      </c>
      <c r="L28" t="s">
        <v>161</v>
      </c>
      <c r="M28" s="6">
        <v>459</v>
      </c>
      <c r="N28" t="s">
        <v>392</v>
      </c>
      <c r="O28" s="6">
        <v>220.01</v>
      </c>
      <c r="P28" t="s">
        <v>394</v>
      </c>
      <c r="Q28" s="6">
        <v>0</v>
      </c>
      <c r="R28" s="7">
        <f t="shared" si="0"/>
        <v>238.99</v>
      </c>
      <c r="S28" t="s">
        <v>180</v>
      </c>
      <c r="T28" t="s">
        <v>114</v>
      </c>
      <c r="U28" t="s">
        <v>180</v>
      </c>
      <c r="W28" t="s">
        <v>114</v>
      </c>
      <c r="X28" t="s">
        <v>394</v>
      </c>
      <c r="Z28" t="s">
        <v>395</v>
      </c>
      <c r="AA28" t="s">
        <v>396</v>
      </c>
      <c r="AB28" s="1" t="s">
        <v>397</v>
      </c>
      <c r="AC28" t="s">
        <v>398</v>
      </c>
      <c r="AD28" t="s">
        <v>396</v>
      </c>
      <c r="AH28" t="s">
        <v>123</v>
      </c>
      <c r="AI28" t="s">
        <v>124</v>
      </c>
      <c r="AJ28" t="s">
        <v>399</v>
      </c>
      <c r="AK28" t="s">
        <v>126</v>
      </c>
      <c r="AL28" t="s">
        <v>127</v>
      </c>
      <c r="AN28" t="s">
        <v>400</v>
      </c>
      <c r="AO28" t="s">
        <v>401</v>
      </c>
      <c r="AP28" t="s">
        <v>402</v>
      </c>
      <c r="AQ28" t="s">
        <v>131</v>
      </c>
      <c r="AR28" t="s">
        <v>403</v>
      </c>
      <c r="AS28" t="s">
        <v>404</v>
      </c>
      <c r="AT28" t="s">
        <v>405</v>
      </c>
      <c r="AV28" t="s">
        <v>406</v>
      </c>
      <c r="AX28" t="s">
        <v>136</v>
      </c>
      <c r="AY28" t="s">
        <v>177</v>
      </c>
      <c r="AZ28" t="s">
        <v>138</v>
      </c>
      <c r="BA28" t="s">
        <v>407</v>
      </c>
      <c r="BC28" t="s">
        <v>140</v>
      </c>
      <c r="BT28" s="7">
        <f t="shared" si="1"/>
        <v>238.99</v>
      </c>
      <c r="BU28" s="6">
        <f t="shared" si="2"/>
        <v>223.35514018691589</v>
      </c>
      <c r="BV28" s="6">
        <f t="shared" si="3"/>
        <v>15.634859813084113</v>
      </c>
      <c r="BW28" s="6">
        <f t="shared" si="4"/>
        <v>238.99</v>
      </c>
      <c r="BX28" s="6">
        <f t="shared" si="5"/>
        <v>0</v>
      </c>
    </row>
    <row r="29" spans="1:76" x14ac:dyDescent="0.35">
      <c r="A29" t="s">
        <v>391</v>
      </c>
      <c r="B29" t="s">
        <v>107</v>
      </c>
      <c r="C29" t="s">
        <v>107</v>
      </c>
      <c r="E29" t="s">
        <v>108</v>
      </c>
      <c r="F29" t="s">
        <v>268</v>
      </c>
      <c r="G29" t="s">
        <v>269</v>
      </c>
      <c r="H29" t="s">
        <v>270</v>
      </c>
      <c r="I29" t="s">
        <v>271</v>
      </c>
      <c r="J29" t="s">
        <v>113</v>
      </c>
      <c r="K29" s="8" t="s">
        <v>114</v>
      </c>
      <c r="L29" t="s">
        <v>114</v>
      </c>
      <c r="M29" s="6">
        <v>0</v>
      </c>
      <c r="N29" t="s">
        <v>114</v>
      </c>
      <c r="O29" s="6">
        <v>0</v>
      </c>
      <c r="P29" t="s">
        <v>114</v>
      </c>
      <c r="Q29" s="6">
        <v>0</v>
      </c>
      <c r="R29" s="7">
        <f t="shared" si="0"/>
        <v>0</v>
      </c>
      <c r="S29" t="s">
        <v>180</v>
      </c>
      <c r="T29" t="s">
        <v>114</v>
      </c>
      <c r="U29" t="s">
        <v>180</v>
      </c>
      <c r="W29" t="s">
        <v>114</v>
      </c>
      <c r="X29" t="s">
        <v>394</v>
      </c>
      <c r="Z29" t="s">
        <v>395</v>
      </c>
      <c r="AA29" t="s">
        <v>396</v>
      </c>
      <c r="AB29" s="1" t="s">
        <v>397</v>
      </c>
      <c r="AC29" t="s">
        <v>398</v>
      </c>
      <c r="AD29" t="s">
        <v>396</v>
      </c>
      <c r="AH29" t="s">
        <v>123</v>
      </c>
      <c r="AI29" t="s">
        <v>124</v>
      </c>
      <c r="AJ29" t="s">
        <v>399</v>
      </c>
      <c r="AK29" t="s">
        <v>126</v>
      </c>
      <c r="AL29" t="s">
        <v>127</v>
      </c>
      <c r="AN29" t="s">
        <v>400</v>
      </c>
      <c r="AO29" t="s">
        <v>401</v>
      </c>
      <c r="AP29" t="s">
        <v>402</v>
      </c>
      <c r="AQ29" t="s">
        <v>131</v>
      </c>
      <c r="AR29" t="s">
        <v>403</v>
      </c>
      <c r="AS29" t="s">
        <v>404</v>
      </c>
      <c r="AT29" t="s">
        <v>405</v>
      </c>
      <c r="AV29" t="s">
        <v>406</v>
      </c>
      <c r="AX29" t="s">
        <v>136</v>
      </c>
      <c r="AY29" t="s">
        <v>272</v>
      </c>
      <c r="AZ29" t="s">
        <v>273</v>
      </c>
      <c r="BA29" t="s">
        <v>407</v>
      </c>
      <c r="BC29" t="s">
        <v>140</v>
      </c>
      <c r="BT29" s="7">
        <f t="shared" si="1"/>
        <v>0</v>
      </c>
      <c r="BU29" s="6">
        <f t="shared" si="2"/>
        <v>0</v>
      </c>
      <c r="BV29" s="6">
        <f t="shared" si="3"/>
        <v>0</v>
      </c>
      <c r="BW29" s="6">
        <f t="shared" si="4"/>
        <v>0</v>
      </c>
      <c r="BX29" s="6">
        <f t="shared" si="5"/>
        <v>0</v>
      </c>
    </row>
    <row r="30" spans="1:76" x14ac:dyDescent="0.35">
      <c r="A30" t="s">
        <v>408</v>
      </c>
      <c r="B30" t="s">
        <v>107</v>
      </c>
      <c r="C30" t="s">
        <v>107</v>
      </c>
      <c r="E30" t="s">
        <v>108</v>
      </c>
      <c r="F30" t="s">
        <v>158</v>
      </c>
      <c r="G30" t="s">
        <v>159</v>
      </c>
      <c r="H30" t="s">
        <v>111</v>
      </c>
      <c r="I30" t="s">
        <v>341</v>
      </c>
      <c r="J30" t="s">
        <v>113</v>
      </c>
      <c r="K30" s="8" t="s">
        <v>114</v>
      </c>
      <c r="L30" t="s">
        <v>161</v>
      </c>
      <c r="M30" s="6">
        <v>459</v>
      </c>
      <c r="N30" t="s">
        <v>409</v>
      </c>
      <c r="O30" s="6">
        <v>220.01</v>
      </c>
      <c r="P30" t="s">
        <v>410</v>
      </c>
      <c r="Q30" s="6">
        <v>0</v>
      </c>
      <c r="R30" s="7">
        <f t="shared" si="0"/>
        <v>238.99</v>
      </c>
      <c r="S30" t="s">
        <v>180</v>
      </c>
      <c r="T30" t="s">
        <v>114</v>
      </c>
      <c r="U30" t="s">
        <v>180</v>
      </c>
      <c r="W30" t="s">
        <v>114</v>
      </c>
      <c r="X30" t="s">
        <v>410</v>
      </c>
      <c r="Z30" t="s">
        <v>411</v>
      </c>
      <c r="AA30" t="s">
        <v>412</v>
      </c>
      <c r="AB30" s="1" t="s">
        <v>413</v>
      </c>
      <c r="AC30" t="s">
        <v>414</v>
      </c>
      <c r="AD30" t="s">
        <v>412</v>
      </c>
      <c r="AH30" t="s">
        <v>123</v>
      </c>
      <c r="AI30" t="s">
        <v>124</v>
      </c>
      <c r="AJ30" t="s">
        <v>415</v>
      </c>
      <c r="AK30" t="s">
        <v>126</v>
      </c>
      <c r="AL30" t="s">
        <v>127</v>
      </c>
      <c r="AN30" t="s">
        <v>416</v>
      </c>
      <c r="AO30" t="s">
        <v>417</v>
      </c>
      <c r="AP30" t="s">
        <v>418</v>
      </c>
      <c r="AQ30" t="s">
        <v>131</v>
      </c>
      <c r="AR30" t="s">
        <v>132</v>
      </c>
      <c r="AS30" t="s">
        <v>331</v>
      </c>
      <c r="AT30" t="s">
        <v>419</v>
      </c>
      <c r="AV30" t="s">
        <v>135</v>
      </c>
      <c r="AW30" t="s">
        <v>191</v>
      </c>
      <c r="AX30" t="s">
        <v>136</v>
      </c>
      <c r="AY30" t="s">
        <v>177</v>
      </c>
      <c r="AZ30" t="s">
        <v>138</v>
      </c>
      <c r="BA30" t="s">
        <v>420</v>
      </c>
      <c r="BC30" t="s">
        <v>140</v>
      </c>
      <c r="BT30" s="7">
        <f t="shared" si="1"/>
        <v>238.99</v>
      </c>
      <c r="BU30" s="6">
        <f t="shared" si="2"/>
        <v>223.35514018691589</v>
      </c>
      <c r="BV30" s="6">
        <f t="shared" si="3"/>
        <v>15.634859813084113</v>
      </c>
      <c r="BW30" s="6">
        <f t="shared" si="4"/>
        <v>238.99</v>
      </c>
      <c r="BX30" s="6">
        <f t="shared" si="5"/>
        <v>0</v>
      </c>
    </row>
    <row r="31" spans="1:76" x14ac:dyDescent="0.35">
      <c r="A31" t="s">
        <v>408</v>
      </c>
      <c r="B31" t="s">
        <v>107</v>
      </c>
      <c r="C31" t="s">
        <v>107</v>
      </c>
      <c r="E31" t="s">
        <v>108</v>
      </c>
      <c r="F31" t="s">
        <v>268</v>
      </c>
      <c r="G31" t="s">
        <v>269</v>
      </c>
      <c r="H31" t="s">
        <v>270</v>
      </c>
      <c r="I31" t="s">
        <v>271</v>
      </c>
      <c r="J31" t="s">
        <v>113</v>
      </c>
      <c r="K31" s="8" t="s">
        <v>114</v>
      </c>
      <c r="L31" t="s">
        <v>114</v>
      </c>
      <c r="M31" s="6">
        <v>0</v>
      </c>
      <c r="N31" t="s">
        <v>114</v>
      </c>
      <c r="O31" s="6">
        <v>0</v>
      </c>
      <c r="P31" t="s">
        <v>114</v>
      </c>
      <c r="Q31" s="6">
        <v>0</v>
      </c>
      <c r="R31" s="7">
        <f t="shared" si="0"/>
        <v>0</v>
      </c>
      <c r="S31" t="s">
        <v>180</v>
      </c>
      <c r="T31" t="s">
        <v>114</v>
      </c>
      <c r="U31" t="s">
        <v>180</v>
      </c>
      <c r="W31" t="s">
        <v>114</v>
      </c>
      <c r="X31" t="s">
        <v>410</v>
      </c>
      <c r="Z31" t="s">
        <v>411</v>
      </c>
      <c r="AA31" t="s">
        <v>412</v>
      </c>
      <c r="AB31" s="1" t="s">
        <v>413</v>
      </c>
      <c r="AC31" t="s">
        <v>414</v>
      </c>
      <c r="AD31" t="s">
        <v>412</v>
      </c>
      <c r="AH31" t="s">
        <v>123</v>
      </c>
      <c r="AI31" t="s">
        <v>124</v>
      </c>
      <c r="AJ31" t="s">
        <v>415</v>
      </c>
      <c r="AK31" t="s">
        <v>126</v>
      </c>
      <c r="AL31" t="s">
        <v>127</v>
      </c>
      <c r="AN31" t="s">
        <v>416</v>
      </c>
      <c r="AO31" t="s">
        <v>417</v>
      </c>
      <c r="AP31" t="s">
        <v>418</v>
      </c>
      <c r="AQ31" t="s">
        <v>131</v>
      </c>
      <c r="AR31" t="s">
        <v>132</v>
      </c>
      <c r="AS31" t="s">
        <v>331</v>
      </c>
      <c r="AT31" t="s">
        <v>419</v>
      </c>
      <c r="AV31" t="s">
        <v>135</v>
      </c>
      <c r="AW31" t="s">
        <v>191</v>
      </c>
      <c r="AX31" t="s">
        <v>136</v>
      </c>
      <c r="AY31" t="s">
        <v>272</v>
      </c>
      <c r="AZ31" t="s">
        <v>273</v>
      </c>
      <c r="BA31" t="s">
        <v>420</v>
      </c>
      <c r="BC31" t="s">
        <v>140</v>
      </c>
      <c r="BT31" s="7">
        <f t="shared" si="1"/>
        <v>0</v>
      </c>
      <c r="BU31" s="6">
        <f t="shared" si="2"/>
        <v>0</v>
      </c>
      <c r="BV31" s="6">
        <f t="shared" si="3"/>
        <v>0</v>
      </c>
      <c r="BW31" s="6">
        <f t="shared" si="4"/>
        <v>0</v>
      </c>
      <c r="BX31" s="6">
        <f t="shared" si="5"/>
        <v>0</v>
      </c>
    </row>
    <row r="32" spans="1:76" x14ac:dyDescent="0.35">
      <c r="A32" t="s">
        <v>421</v>
      </c>
      <c r="B32" t="s">
        <v>107</v>
      </c>
      <c r="C32" t="s">
        <v>107</v>
      </c>
      <c r="E32" t="s">
        <v>108</v>
      </c>
      <c r="F32" t="s">
        <v>268</v>
      </c>
      <c r="G32" t="s">
        <v>269</v>
      </c>
      <c r="H32" t="s">
        <v>270</v>
      </c>
      <c r="I32" t="s">
        <v>271</v>
      </c>
      <c r="J32" t="s">
        <v>113</v>
      </c>
      <c r="K32" s="8" t="s">
        <v>114</v>
      </c>
      <c r="L32" t="s">
        <v>114</v>
      </c>
      <c r="M32" s="6">
        <v>0</v>
      </c>
      <c r="N32" t="s">
        <v>114</v>
      </c>
      <c r="O32" s="6">
        <v>0</v>
      </c>
      <c r="P32" t="s">
        <v>114</v>
      </c>
      <c r="Q32" s="6">
        <v>0</v>
      </c>
      <c r="R32" s="7">
        <f t="shared" si="0"/>
        <v>0</v>
      </c>
      <c r="S32" t="s">
        <v>180</v>
      </c>
      <c r="T32" t="s">
        <v>114</v>
      </c>
      <c r="U32" t="s">
        <v>180</v>
      </c>
      <c r="W32" t="s">
        <v>114</v>
      </c>
      <c r="X32" t="s">
        <v>422</v>
      </c>
      <c r="Z32" t="s">
        <v>423</v>
      </c>
      <c r="AA32" t="s">
        <v>424</v>
      </c>
      <c r="AB32" s="1" t="s">
        <v>425</v>
      </c>
      <c r="AC32" t="s">
        <v>426</v>
      </c>
      <c r="AD32" t="s">
        <v>427</v>
      </c>
      <c r="AH32" t="s">
        <v>123</v>
      </c>
      <c r="AI32" t="s">
        <v>124</v>
      </c>
      <c r="AJ32" t="s">
        <v>428</v>
      </c>
      <c r="AK32" t="s">
        <v>126</v>
      </c>
      <c r="AL32" t="s">
        <v>127</v>
      </c>
      <c r="AN32" t="s">
        <v>429</v>
      </c>
      <c r="AO32" t="s">
        <v>430</v>
      </c>
      <c r="AP32" t="s">
        <v>431</v>
      </c>
      <c r="AQ32" t="s">
        <v>131</v>
      </c>
      <c r="AR32" t="s">
        <v>132</v>
      </c>
      <c r="AS32" t="s">
        <v>432</v>
      </c>
      <c r="AT32" t="s">
        <v>433</v>
      </c>
      <c r="AV32" t="s">
        <v>434</v>
      </c>
      <c r="AX32" t="s">
        <v>155</v>
      </c>
      <c r="AY32" t="s">
        <v>272</v>
      </c>
      <c r="AZ32" t="s">
        <v>273</v>
      </c>
      <c r="BA32" t="s">
        <v>435</v>
      </c>
      <c r="BC32" t="s">
        <v>140</v>
      </c>
      <c r="BT32" s="7">
        <f t="shared" si="1"/>
        <v>0</v>
      </c>
      <c r="BU32" s="6">
        <f t="shared" si="2"/>
        <v>0</v>
      </c>
      <c r="BV32" s="6">
        <f t="shared" si="3"/>
        <v>0</v>
      </c>
      <c r="BW32" s="6">
        <f t="shared" si="4"/>
        <v>0</v>
      </c>
      <c r="BX32" s="6">
        <f t="shared" si="5"/>
        <v>0</v>
      </c>
    </row>
    <row r="33" spans="1:76" x14ac:dyDescent="0.35">
      <c r="A33" t="s">
        <v>421</v>
      </c>
      <c r="B33" t="s">
        <v>107</v>
      </c>
      <c r="C33" t="s">
        <v>107</v>
      </c>
      <c r="E33" t="s">
        <v>108</v>
      </c>
      <c r="F33" t="s">
        <v>158</v>
      </c>
      <c r="G33" t="s">
        <v>159</v>
      </c>
      <c r="H33" t="s">
        <v>111</v>
      </c>
      <c r="I33" t="s">
        <v>341</v>
      </c>
      <c r="J33" t="s">
        <v>113</v>
      </c>
      <c r="K33" s="8" t="s">
        <v>114</v>
      </c>
      <c r="L33" t="s">
        <v>161</v>
      </c>
      <c r="M33" s="6">
        <v>459</v>
      </c>
      <c r="N33" t="s">
        <v>436</v>
      </c>
      <c r="O33" s="6">
        <v>220.01</v>
      </c>
      <c r="P33" t="s">
        <v>422</v>
      </c>
      <c r="Q33" s="6">
        <v>0</v>
      </c>
      <c r="R33" s="7">
        <f t="shared" si="0"/>
        <v>238.99</v>
      </c>
      <c r="S33" t="s">
        <v>180</v>
      </c>
      <c r="T33" t="s">
        <v>114</v>
      </c>
      <c r="U33" t="s">
        <v>180</v>
      </c>
      <c r="W33" t="s">
        <v>114</v>
      </c>
      <c r="X33" t="s">
        <v>422</v>
      </c>
      <c r="Z33" t="s">
        <v>423</v>
      </c>
      <c r="AA33" t="s">
        <v>424</v>
      </c>
      <c r="AB33" s="1" t="s">
        <v>425</v>
      </c>
      <c r="AC33" t="s">
        <v>426</v>
      </c>
      <c r="AD33" t="s">
        <v>427</v>
      </c>
      <c r="AH33" t="s">
        <v>123</v>
      </c>
      <c r="AI33" t="s">
        <v>124</v>
      </c>
      <c r="AJ33" t="s">
        <v>428</v>
      </c>
      <c r="AK33" t="s">
        <v>126</v>
      </c>
      <c r="AL33" t="s">
        <v>127</v>
      </c>
      <c r="AN33" t="s">
        <v>429</v>
      </c>
      <c r="AO33" t="s">
        <v>430</v>
      </c>
      <c r="AP33" t="s">
        <v>431</v>
      </c>
      <c r="AQ33" t="s">
        <v>131</v>
      </c>
      <c r="AR33" t="s">
        <v>132</v>
      </c>
      <c r="AS33" t="s">
        <v>432</v>
      </c>
      <c r="AT33" t="s">
        <v>433</v>
      </c>
      <c r="AV33" t="s">
        <v>434</v>
      </c>
      <c r="AX33" t="s">
        <v>155</v>
      </c>
      <c r="AY33" t="s">
        <v>177</v>
      </c>
      <c r="AZ33" t="s">
        <v>138</v>
      </c>
      <c r="BA33" t="s">
        <v>435</v>
      </c>
      <c r="BC33" t="s">
        <v>140</v>
      </c>
      <c r="BT33" s="7">
        <f t="shared" si="1"/>
        <v>238.99</v>
      </c>
      <c r="BU33" s="6">
        <f t="shared" si="2"/>
        <v>223.35514018691589</v>
      </c>
      <c r="BV33" s="6">
        <f t="shared" si="3"/>
        <v>15.634859813084113</v>
      </c>
      <c r="BW33" s="6">
        <f t="shared" si="4"/>
        <v>238.99</v>
      </c>
      <c r="BX33" s="6">
        <f t="shared" si="5"/>
        <v>0</v>
      </c>
    </row>
    <row r="34" spans="1:76" x14ac:dyDescent="0.35">
      <c r="A34" t="s">
        <v>437</v>
      </c>
      <c r="B34" t="s">
        <v>107</v>
      </c>
      <c r="C34" t="s">
        <v>107</v>
      </c>
      <c r="E34" t="s">
        <v>108</v>
      </c>
      <c r="F34" t="s">
        <v>158</v>
      </c>
      <c r="G34" t="s">
        <v>159</v>
      </c>
      <c r="H34" t="s">
        <v>111</v>
      </c>
      <c r="I34" t="s">
        <v>341</v>
      </c>
      <c r="J34" t="s">
        <v>113</v>
      </c>
      <c r="K34" s="8" t="s">
        <v>114</v>
      </c>
      <c r="L34" t="s">
        <v>161</v>
      </c>
      <c r="M34" s="6">
        <v>459</v>
      </c>
      <c r="N34" t="s">
        <v>438</v>
      </c>
      <c r="O34" s="6">
        <v>220.01</v>
      </c>
      <c r="P34" t="s">
        <v>439</v>
      </c>
      <c r="Q34" s="6">
        <v>0</v>
      </c>
      <c r="R34" s="7">
        <f t="shared" si="0"/>
        <v>238.99</v>
      </c>
      <c r="S34" t="s">
        <v>180</v>
      </c>
      <c r="T34" t="s">
        <v>114</v>
      </c>
      <c r="U34" t="s">
        <v>180</v>
      </c>
      <c r="W34" t="s">
        <v>114</v>
      </c>
      <c r="X34" t="s">
        <v>439</v>
      </c>
      <c r="Z34" t="s">
        <v>440</v>
      </c>
      <c r="AA34" t="s">
        <v>441</v>
      </c>
      <c r="AB34" s="1" t="s">
        <v>442</v>
      </c>
      <c r="AC34" t="s">
        <v>443</v>
      </c>
      <c r="AD34" t="s">
        <v>441</v>
      </c>
      <c r="AH34" t="s">
        <v>123</v>
      </c>
      <c r="AI34" t="s">
        <v>124</v>
      </c>
      <c r="AJ34" t="s">
        <v>444</v>
      </c>
      <c r="AK34" t="s">
        <v>126</v>
      </c>
      <c r="AL34" t="s">
        <v>127</v>
      </c>
      <c r="AN34" t="s">
        <v>445</v>
      </c>
      <c r="AO34" t="s">
        <v>446</v>
      </c>
      <c r="AP34" t="s">
        <v>447</v>
      </c>
      <c r="AQ34" t="s">
        <v>131</v>
      </c>
      <c r="AR34" t="s">
        <v>132</v>
      </c>
      <c r="AS34" t="s">
        <v>448</v>
      </c>
      <c r="AT34" t="s">
        <v>449</v>
      </c>
      <c r="AV34" t="s">
        <v>450</v>
      </c>
      <c r="AX34" t="s">
        <v>136</v>
      </c>
      <c r="AY34" t="s">
        <v>177</v>
      </c>
      <c r="AZ34" t="s">
        <v>138</v>
      </c>
      <c r="BA34" t="s">
        <v>451</v>
      </c>
      <c r="BC34" t="s">
        <v>140</v>
      </c>
      <c r="BT34" s="7">
        <f t="shared" si="1"/>
        <v>238.99</v>
      </c>
      <c r="BU34" s="6">
        <f t="shared" si="2"/>
        <v>223.35514018691589</v>
      </c>
      <c r="BV34" s="6">
        <f t="shared" si="3"/>
        <v>15.634859813084113</v>
      </c>
      <c r="BW34" s="6">
        <f t="shared" si="4"/>
        <v>238.99</v>
      </c>
      <c r="BX34" s="6">
        <f t="shared" si="5"/>
        <v>0</v>
      </c>
    </row>
    <row r="35" spans="1:76" x14ac:dyDescent="0.35">
      <c r="A35" t="s">
        <v>437</v>
      </c>
      <c r="B35" t="s">
        <v>107</v>
      </c>
      <c r="C35" t="s">
        <v>107</v>
      </c>
      <c r="E35" t="s">
        <v>108</v>
      </c>
      <c r="F35" t="s">
        <v>268</v>
      </c>
      <c r="G35" t="s">
        <v>269</v>
      </c>
      <c r="H35" t="s">
        <v>270</v>
      </c>
      <c r="I35" t="s">
        <v>271</v>
      </c>
      <c r="J35" t="s">
        <v>113</v>
      </c>
      <c r="K35" s="8" t="s">
        <v>114</v>
      </c>
      <c r="L35" t="s">
        <v>114</v>
      </c>
      <c r="M35" s="6">
        <v>0</v>
      </c>
      <c r="N35" t="s">
        <v>114</v>
      </c>
      <c r="O35" s="6">
        <v>0</v>
      </c>
      <c r="P35" t="s">
        <v>114</v>
      </c>
      <c r="Q35" s="6">
        <v>0</v>
      </c>
      <c r="R35" s="7">
        <f t="shared" si="0"/>
        <v>0</v>
      </c>
      <c r="S35" t="s">
        <v>180</v>
      </c>
      <c r="T35" t="s">
        <v>114</v>
      </c>
      <c r="U35" t="s">
        <v>180</v>
      </c>
      <c r="W35" t="s">
        <v>114</v>
      </c>
      <c r="X35" t="s">
        <v>439</v>
      </c>
      <c r="Z35" t="s">
        <v>440</v>
      </c>
      <c r="AA35" t="s">
        <v>441</v>
      </c>
      <c r="AB35" s="1" t="s">
        <v>442</v>
      </c>
      <c r="AC35" t="s">
        <v>443</v>
      </c>
      <c r="AD35" t="s">
        <v>441</v>
      </c>
      <c r="AH35" t="s">
        <v>123</v>
      </c>
      <c r="AI35" t="s">
        <v>124</v>
      </c>
      <c r="AJ35" t="s">
        <v>444</v>
      </c>
      <c r="AK35" t="s">
        <v>126</v>
      </c>
      <c r="AL35" t="s">
        <v>127</v>
      </c>
      <c r="AN35" t="s">
        <v>445</v>
      </c>
      <c r="AO35" t="s">
        <v>446</v>
      </c>
      <c r="AP35" t="s">
        <v>447</v>
      </c>
      <c r="AQ35" t="s">
        <v>131</v>
      </c>
      <c r="AR35" t="s">
        <v>132</v>
      </c>
      <c r="AS35" t="s">
        <v>448</v>
      </c>
      <c r="AT35" t="s">
        <v>449</v>
      </c>
      <c r="AV35" t="s">
        <v>450</v>
      </c>
      <c r="AX35" t="s">
        <v>136</v>
      </c>
      <c r="AY35" t="s">
        <v>272</v>
      </c>
      <c r="AZ35" t="s">
        <v>273</v>
      </c>
      <c r="BA35" t="s">
        <v>451</v>
      </c>
      <c r="BC35" t="s">
        <v>140</v>
      </c>
      <c r="BT35" s="7">
        <f t="shared" si="1"/>
        <v>0</v>
      </c>
      <c r="BU35" s="6">
        <f t="shared" si="2"/>
        <v>0</v>
      </c>
      <c r="BV35" s="6">
        <f t="shared" si="3"/>
        <v>0</v>
      </c>
      <c r="BW35" s="6">
        <f t="shared" si="4"/>
        <v>0</v>
      </c>
      <c r="BX35" s="6">
        <f t="shared" si="5"/>
        <v>0</v>
      </c>
    </row>
    <row r="36" spans="1:76" x14ac:dyDescent="0.35">
      <c r="A36" t="s">
        <v>452</v>
      </c>
      <c r="B36" t="s">
        <v>107</v>
      </c>
      <c r="C36" t="s">
        <v>107</v>
      </c>
      <c r="E36" t="s">
        <v>108</v>
      </c>
      <c r="F36" t="s">
        <v>453</v>
      </c>
      <c r="G36" t="s">
        <v>110</v>
      </c>
      <c r="H36" t="s">
        <v>454</v>
      </c>
      <c r="I36" t="s">
        <v>341</v>
      </c>
      <c r="J36" t="s">
        <v>113</v>
      </c>
      <c r="K36" s="8" t="s">
        <v>114</v>
      </c>
      <c r="L36" t="s">
        <v>455</v>
      </c>
      <c r="M36" s="6">
        <v>330</v>
      </c>
      <c r="N36" t="s">
        <v>114</v>
      </c>
      <c r="O36" s="6">
        <v>171</v>
      </c>
      <c r="P36" t="s">
        <v>457</v>
      </c>
      <c r="Q36" s="6">
        <v>0</v>
      </c>
      <c r="R36" s="7">
        <f t="shared" si="0"/>
        <v>159</v>
      </c>
      <c r="S36" t="s">
        <v>142</v>
      </c>
      <c r="T36" t="s">
        <v>114</v>
      </c>
      <c r="U36" t="s">
        <v>142</v>
      </c>
      <c r="W36" t="s">
        <v>114</v>
      </c>
      <c r="X36" t="s">
        <v>457</v>
      </c>
      <c r="Z36" t="s">
        <v>458</v>
      </c>
      <c r="AA36" t="s">
        <v>459</v>
      </c>
      <c r="AB36" s="1" t="s">
        <v>460</v>
      </c>
      <c r="AC36" t="s">
        <v>461</v>
      </c>
      <c r="AD36" t="s">
        <v>459</v>
      </c>
      <c r="AH36" t="s">
        <v>123</v>
      </c>
      <c r="AI36" t="s">
        <v>124</v>
      </c>
      <c r="AJ36" t="s">
        <v>462</v>
      </c>
      <c r="AK36" t="s">
        <v>126</v>
      </c>
      <c r="AL36" t="s">
        <v>127</v>
      </c>
      <c r="AN36" t="s">
        <v>463</v>
      </c>
      <c r="AO36" t="s">
        <v>464</v>
      </c>
      <c r="AP36" t="s">
        <v>465</v>
      </c>
      <c r="AQ36" t="s">
        <v>131</v>
      </c>
      <c r="AR36" t="s">
        <v>132</v>
      </c>
      <c r="AS36" t="s">
        <v>466</v>
      </c>
      <c r="AT36" t="s">
        <v>467</v>
      </c>
      <c r="AV36" t="s">
        <v>264</v>
      </c>
      <c r="AX36" t="s">
        <v>136</v>
      </c>
      <c r="AY36" t="s">
        <v>137</v>
      </c>
      <c r="AZ36" t="s">
        <v>356</v>
      </c>
      <c r="BA36" t="s">
        <v>468</v>
      </c>
      <c r="BC36" t="s">
        <v>140</v>
      </c>
      <c r="BT36" s="7">
        <f t="shared" si="1"/>
        <v>159</v>
      </c>
      <c r="BU36" s="6">
        <f t="shared" si="2"/>
        <v>148.59813084112147</v>
      </c>
      <c r="BV36" s="6">
        <f t="shared" si="3"/>
        <v>10.401869158878503</v>
      </c>
      <c r="BW36" s="6">
        <f t="shared" si="4"/>
        <v>158.99999999999997</v>
      </c>
      <c r="BX36" s="6">
        <f t="shared" si="5"/>
        <v>0</v>
      </c>
    </row>
    <row r="37" spans="1:76" x14ac:dyDescent="0.35">
      <c r="A37" t="s">
        <v>469</v>
      </c>
      <c r="B37" t="s">
        <v>336</v>
      </c>
      <c r="C37" t="s">
        <v>336</v>
      </c>
      <c r="D37" t="s">
        <v>337</v>
      </c>
      <c r="E37" t="s">
        <v>108</v>
      </c>
      <c r="F37" t="s">
        <v>158</v>
      </c>
      <c r="G37" t="s">
        <v>159</v>
      </c>
      <c r="H37" t="s">
        <v>111</v>
      </c>
      <c r="I37" t="s">
        <v>341</v>
      </c>
      <c r="J37" t="s">
        <v>113</v>
      </c>
      <c r="K37" s="8" t="s">
        <v>113</v>
      </c>
      <c r="L37" t="s">
        <v>161</v>
      </c>
      <c r="M37" s="6">
        <v>459</v>
      </c>
      <c r="N37" t="s">
        <v>436</v>
      </c>
      <c r="O37" s="6">
        <v>220.01</v>
      </c>
      <c r="P37" t="s">
        <v>422</v>
      </c>
      <c r="Q37" s="6">
        <v>0</v>
      </c>
      <c r="R37" s="7">
        <f t="shared" si="0"/>
        <v>238.99</v>
      </c>
      <c r="S37" t="s">
        <v>142</v>
      </c>
      <c r="T37" t="s">
        <v>114</v>
      </c>
      <c r="U37" t="s">
        <v>142</v>
      </c>
      <c r="W37" t="s">
        <v>114</v>
      </c>
      <c r="X37" t="s">
        <v>422</v>
      </c>
      <c r="Y37" t="s">
        <v>422</v>
      </c>
      <c r="Z37" t="s">
        <v>470</v>
      </c>
      <c r="AB37" s="1" t="s">
        <v>471</v>
      </c>
      <c r="AC37" t="s">
        <v>472</v>
      </c>
      <c r="AE37" t="s">
        <v>473</v>
      </c>
      <c r="AF37" t="s">
        <v>474</v>
      </c>
      <c r="AG37" t="s">
        <v>475</v>
      </c>
      <c r="AH37" t="s">
        <v>123</v>
      </c>
      <c r="AI37" t="s">
        <v>124</v>
      </c>
      <c r="AJ37" t="s">
        <v>476</v>
      </c>
      <c r="AK37" t="s">
        <v>126</v>
      </c>
      <c r="AL37" t="s">
        <v>127</v>
      </c>
      <c r="AN37" t="s">
        <v>477</v>
      </c>
      <c r="AO37" t="s">
        <v>478</v>
      </c>
      <c r="AP37" t="s">
        <v>479</v>
      </c>
      <c r="AQ37" t="s">
        <v>131</v>
      </c>
      <c r="AR37" t="s">
        <v>132</v>
      </c>
      <c r="AS37" t="s">
        <v>152</v>
      </c>
      <c r="AT37" t="s">
        <v>480</v>
      </c>
      <c r="AV37" t="s">
        <v>481</v>
      </c>
      <c r="AX37" t="s">
        <v>136</v>
      </c>
      <c r="AY37" t="s">
        <v>177</v>
      </c>
      <c r="AZ37" t="s">
        <v>138</v>
      </c>
      <c r="BA37" t="s">
        <v>482</v>
      </c>
      <c r="BC37" t="s">
        <v>140</v>
      </c>
      <c r="BT37" s="7">
        <f t="shared" si="1"/>
        <v>238.99</v>
      </c>
      <c r="BU37" s="6">
        <f t="shared" si="2"/>
        <v>223.35514018691589</v>
      </c>
      <c r="BV37" s="6">
        <f t="shared" si="3"/>
        <v>15.634859813084113</v>
      </c>
      <c r="BW37" s="6">
        <f t="shared" si="4"/>
        <v>238.99</v>
      </c>
      <c r="BX37" s="6">
        <f t="shared" si="5"/>
        <v>0</v>
      </c>
    </row>
    <row r="38" spans="1:76" x14ac:dyDescent="0.35">
      <c r="A38" t="s">
        <v>469</v>
      </c>
      <c r="B38" t="s">
        <v>336</v>
      </c>
      <c r="C38" t="s">
        <v>336</v>
      </c>
      <c r="D38" t="s">
        <v>337</v>
      </c>
      <c r="E38" t="s">
        <v>108</v>
      </c>
      <c r="F38" t="s">
        <v>268</v>
      </c>
      <c r="G38" t="s">
        <v>269</v>
      </c>
      <c r="H38" t="s">
        <v>270</v>
      </c>
      <c r="I38" t="s">
        <v>271</v>
      </c>
      <c r="J38" t="s">
        <v>113</v>
      </c>
      <c r="K38" s="8" t="s">
        <v>113</v>
      </c>
      <c r="L38" t="s">
        <v>114</v>
      </c>
      <c r="M38" s="6">
        <v>0</v>
      </c>
      <c r="N38" t="s">
        <v>114</v>
      </c>
      <c r="O38" s="6">
        <v>0</v>
      </c>
      <c r="P38" t="s">
        <v>114</v>
      </c>
      <c r="Q38" s="6">
        <v>0</v>
      </c>
      <c r="R38" s="7">
        <f t="shared" si="0"/>
        <v>0</v>
      </c>
      <c r="S38" t="s">
        <v>142</v>
      </c>
      <c r="T38" t="s">
        <v>114</v>
      </c>
      <c r="U38" t="s">
        <v>142</v>
      </c>
      <c r="W38" t="s">
        <v>114</v>
      </c>
      <c r="X38" t="s">
        <v>422</v>
      </c>
      <c r="Y38" t="s">
        <v>114</v>
      </c>
      <c r="Z38" t="s">
        <v>470</v>
      </c>
      <c r="AB38" s="1" t="s">
        <v>471</v>
      </c>
      <c r="AC38" t="s">
        <v>472</v>
      </c>
      <c r="AE38" t="s">
        <v>473</v>
      </c>
      <c r="AF38" t="s">
        <v>474</v>
      </c>
      <c r="AG38" t="s">
        <v>475</v>
      </c>
      <c r="AH38" t="s">
        <v>123</v>
      </c>
      <c r="AI38" t="s">
        <v>124</v>
      </c>
      <c r="AJ38" t="s">
        <v>476</v>
      </c>
      <c r="AK38" t="s">
        <v>126</v>
      </c>
      <c r="AL38" t="s">
        <v>127</v>
      </c>
      <c r="AN38" t="s">
        <v>477</v>
      </c>
      <c r="AO38" t="s">
        <v>478</v>
      </c>
      <c r="AP38" t="s">
        <v>479</v>
      </c>
      <c r="AQ38" t="s">
        <v>131</v>
      </c>
      <c r="AR38" t="s">
        <v>132</v>
      </c>
      <c r="AS38" t="s">
        <v>152</v>
      </c>
      <c r="AT38" t="s">
        <v>480</v>
      </c>
      <c r="AV38" t="s">
        <v>481</v>
      </c>
      <c r="AX38" t="s">
        <v>136</v>
      </c>
      <c r="AY38" t="s">
        <v>272</v>
      </c>
      <c r="AZ38" t="s">
        <v>273</v>
      </c>
      <c r="BA38" t="s">
        <v>482</v>
      </c>
      <c r="BC38" t="s">
        <v>140</v>
      </c>
      <c r="BT38" s="7">
        <f t="shared" si="1"/>
        <v>0</v>
      </c>
      <c r="BU38" s="6">
        <f t="shared" si="2"/>
        <v>0</v>
      </c>
      <c r="BV38" s="6">
        <f t="shared" si="3"/>
        <v>0</v>
      </c>
      <c r="BW38" s="6">
        <f t="shared" si="4"/>
        <v>0</v>
      </c>
      <c r="BX38" s="6">
        <f t="shared" si="5"/>
        <v>0</v>
      </c>
    </row>
    <row r="39" spans="1:76" x14ac:dyDescent="0.35">
      <c r="A39" t="s">
        <v>483</v>
      </c>
      <c r="B39" t="s">
        <v>107</v>
      </c>
      <c r="C39" t="s">
        <v>107</v>
      </c>
      <c r="F39" t="s">
        <v>484</v>
      </c>
      <c r="G39" t="s">
        <v>159</v>
      </c>
      <c r="H39" t="s">
        <v>485</v>
      </c>
      <c r="I39" t="s">
        <v>160</v>
      </c>
      <c r="J39" t="s">
        <v>113</v>
      </c>
      <c r="K39" s="8" t="s">
        <v>114</v>
      </c>
      <c r="L39" t="s">
        <v>114</v>
      </c>
      <c r="M39" s="6">
        <v>0</v>
      </c>
      <c r="N39" t="s">
        <v>114</v>
      </c>
      <c r="O39" s="6">
        <v>0</v>
      </c>
      <c r="P39" t="s">
        <v>114</v>
      </c>
      <c r="Q39" s="6">
        <v>0</v>
      </c>
      <c r="R39" s="7">
        <f t="shared" si="0"/>
        <v>0</v>
      </c>
      <c r="S39" t="s">
        <v>114</v>
      </c>
      <c r="T39" t="s">
        <v>114</v>
      </c>
      <c r="U39" t="s">
        <v>114</v>
      </c>
      <c r="W39" t="s">
        <v>114</v>
      </c>
      <c r="X39" t="s">
        <v>114</v>
      </c>
      <c r="Z39" t="s">
        <v>486</v>
      </c>
      <c r="AA39" t="s">
        <v>486</v>
      </c>
      <c r="AB39" s="1" t="s">
        <v>487</v>
      </c>
      <c r="AC39" t="s">
        <v>488</v>
      </c>
      <c r="AD39" t="s">
        <v>489</v>
      </c>
      <c r="AH39" t="s">
        <v>123</v>
      </c>
      <c r="AI39" t="s">
        <v>124</v>
      </c>
      <c r="AJ39" t="s">
        <v>490</v>
      </c>
      <c r="AK39" t="s">
        <v>126</v>
      </c>
      <c r="AL39" t="s">
        <v>127</v>
      </c>
      <c r="AN39" t="s">
        <v>491</v>
      </c>
      <c r="AO39" t="s">
        <v>492</v>
      </c>
      <c r="AP39" t="s">
        <v>493</v>
      </c>
      <c r="AQ39" t="s">
        <v>131</v>
      </c>
      <c r="AR39" t="s">
        <v>132</v>
      </c>
      <c r="AS39" t="s">
        <v>152</v>
      </c>
      <c r="AT39" t="s">
        <v>494</v>
      </c>
      <c r="AV39" t="s">
        <v>495</v>
      </c>
      <c r="AW39" t="s">
        <v>496</v>
      </c>
      <c r="AY39" t="s">
        <v>177</v>
      </c>
      <c r="AZ39" t="s">
        <v>356</v>
      </c>
      <c r="BA39" t="s">
        <v>497</v>
      </c>
      <c r="BC39" t="s">
        <v>140</v>
      </c>
      <c r="BT39" s="7">
        <f t="shared" si="1"/>
        <v>0</v>
      </c>
      <c r="BU39" s="6">
        <f t="shared" si="2"/>
        <v>0</v>
      </c>
      <c r="BV39" s="6">
        <f t="shared" si="3"/>
        <v>0</v>
      </c>
      <c r="BW39" s="6">
        <f t="shared" si="4"/>
        <v>0</v>
      </c>
      <c r="BX39" s="6">
        <f t="shared" si="5"/>
        <v>0</v>
      </c>
    </row>
    <row r="40" spans="1:76" x14ac:dyDescent="0.35">
      <c r="A40" t="s">
        <v>498</v>
      </c>
      <c r="B40" t="s">
        <v>107</v>
      </c>
      <c r="C40" t="s">
        <v>107</v>
      </c>
      <c r="E40" t="s">
        <v>108</v>
      </c>
      <c r="F40" t="s">
        <v>499</v>
      </c>
      <c r="G40" t="s">
        <v>500</v>
      </c>
      <c r="H40" t="s">
        <v>501</v>
      </c>
      <c r="I40" t="s">
        <v>341</v>
      </c>
      <c r="J40" t="s">
        <v>113</v>
      </c>
      <c r="K40" s="8" t="s">
        <v>114</v>
      </c>
      <c r="L40" t="s">
        <v>502</v>
      </c>
      <c r="M40" s="6">
        <v>348</v>
      </c>
      <c r="N40" t="s">
        <v>503</v>
      </c>
      <c r="O40" s="6">
        <v>209</v>
      </c>
      <c r="P40" t="s">
        <v>505</v>
      </c>
      <c r="Q40" s="6">
        <v>0</v>
      </c>
      <c r="R40" s="7">
        <f t="shared" si="0"/>
        <v>139</v>
      </c>
      <c r="S40" t="s">
        <v>180</v>
      </c>
      <c r="T40" t="s">
        <v>114</v>
      </c>
      <c r="U40" t="s">
        <v>180</v>
      </c>
      <c r="W40" t="s">
        <v>114</v>
      </c>
      <c r="X40" t="s">
        <v>505</v>
      </c>
      <c r="Z40" t="s">
        <v>506</v>
      </c>
      <c r="AA40" t="s">
        <v>507</v>
      </c>
      <c r="AB40" s="1" t="s">
        <v>508</v>
      </c>
      <c r="AC40" t="s">
        <v>509</v>
      </c>
      <c r="AD40" t="s">
        <v>507</v>
      </c>
      <c r="AH40" t="s">
        <v>123</v>
      </c>
      <c r="AI40" t="s">
        <v>124</v>
      </c>
      <c r="AJ40" t="s">
        <v>510</v>
      </c>
      <c r="AK40" t="s">
        <v>126</v>
      </c>
      <c r="AL40" t="s">
        <v>127</v>
      </c>
      <c r="AN40" t="s">
        <v>511</v>
      </c>
      <c r="AO40" t="s">
        <v>512</v>
      </c>
      <c r="AP40" t="s">
        <v>513</v>
      </c>
      <c r="AQ40" t="s">
        <v>131</v>
      </c>
      <c r="AR40" t="s">
        <v>132</v>
      </c>
      <c r="AS40" t="s">
        <v>514</v>
      </c>
      <c r="AT40" t="s">
        <v>515</v>
      </c>
      <c r="AV40" t="s">
        <v>516</v>
      </c>
      <c r="AX40" t="s">
        <v>136</v>
      </c>
      <c r="AY40" t="s">
        <v>177</v>
      </c>
      <c r="AZ40" t="s">
        <v>517</v>
      </c>
      <c r="BA40" t="s">
        <v>518</v>
      </c>
      <c r="BC40" t="s">
        <v>140</v>
      </c>
      <c r="BT40" s="7">
        <f t="shared" si="1"/>
        <v>139</v>
      </c>
      <c r="BU40" s="6">
        <f t="shared" si="2"/>
        <v>129.90654205607476</v>
      </c>
      <c r="BV40" s="6">
        <f t="shared" si="3"/>
        <v>9.0934579439252339</v>
      </c>
      <c r="BW40" s="6">
        <f t="shared" si="4"/>
        <v>139</v>
      </c>
      <c r="BX40" s="6">
        <f t="shared" si="5"/>
        <v>0</v>
      </c>
    </row>
    <row r="41" spans="1:76" x14ac:dyDescent="0.35">
      <c r="A41" t="s">
        <v>519</v>
      </c>
      <c r="B41" t="s">
        <v>107</v>
      </c>
      <c r="C41" t="s">
        <v>107</v>
      </c>
      <c r="F41" t="s">
        <v>158</v>
      </c>
      <c r="G41" t="s">
        <v>159</v>
      </c>
      <c r="H41" t="s">
        <v>111</v>
      </c>
      <c r="I41" t="s">
        <v>341</v>
      </c>
      <c r="J41" t="s">
        <v>113</v>
      </c>
      <c r="K41" s="8" t="s">
        <v>114</v>
      </c>
      <c r="L41" t="s">
        <v>114</v>
      </c>
      <c r="M41" s="6">
        <v>0</v>
      </c>
      <c r="N41" t="s">
        <v>114</v>
      </c>
      <c r="O41" s="6">
        <v>0</v>
      </c>
      <c r="P41" t="s">
        <v>114</v>
      </c>
      <c r="Q41" s="6">
        <v>0</v>
      </c>
      <c r="R41" s="7">
        <f t="shared" si="0"/>
        <v>0</v>
      </c>
      <c r="S41" t="s">
        <v>114</v>
      </c>
      <c r="T41" t="s">
        <v>114</v>
      </c>
      <c r="U41" t="s">
        <v>114</v>
      </c>
      <c r="W41" t="s">
        <v>114</v>
      </c>
      <c r="X41" t="s">
        <v>114</v>
      </c>
      <c r="Z41" t="s">
        <v>520</v>
      </c>
      <c r="AA41" t="s">
        <v>520</v>
      </c>
      <c r="AB41" s="1" t="s">
        <v>521</v>
      </c>
      <c r="AC41" t="s">
        <v>522</v>
      </c>
      <c r="AD41" t="s">
        <v>523</v>
      </c>
      <c r="AH41" t="s">
        <v>123</v>
      </c>
      <c r="AI41" t="s">
        <v>124</v>
      </c>
      <c r="AJ41" t="s">
        <v>524</v>
      </c>
      <c r="AK41" t="s">
        <v>126</v>
      </c>
      <c r="AL41" t="s">
        <v>127</v>
      </c>
      <c r="AN41" t="s">
        <v>525</v>
      </c>
      <c r="AO41" t="s">
        <v>526</v>
      </c>
      <c r="AP41" t="s">
        <v>527</v>
      </c>
      <c r="AQ41" t="s">
        <v>131</v>
      </c>
      <c r="AR41" t="s">
        <v>132</v>
      </c>
      <c r="AS41" t="s">
        <v>528</v>
      </c>
      <c r="AT41" t="s">
        <v>529</v>
      </c>
      <c r="AV41" t="s">
        <v>530</v>
      </c>
      <c r="AY41" t="s">
        <v>177</v>
      </c>
      <c r="AZ41" t="s">
        <v>138</v>
      </c>
      <c r="BA41" t="s">
        <v>531</v>
      </c>
      <c r="BC41" t="s">
        <v>140</v>
      </c>
      <c r="BT41" s="7">
        <f t="shared" si="1"/>
        <v>0</v>
      </c>
      <c r="BU41" s="6">
        <f t="shared" si="2"/>
        <v>0</v>
      </c>
      <c r="BV41" s="6">
        <f t="shared" si="3"/>
        <v>0</v>
      </c>
      <c r="BW41" s="6">
        <f t="shared" si="4"/>
        <v>0</v>
      </c>
      <c r="BX41" s="6">
        <f t="shared" si="5"/>
        <v>0</v>
      </c>
    </row>
    <row r="42" spans="1:76" x14ac:dyDescent="0.35">
      <c r="A42" t="s">
        <v>532</v>
      </c>
      <c r="B42" t="s">
        <v>107</v>
      </c>
      <c r="C42" t="s">
        <v>107</v>
      </c>
      <c r="F42" t="s">
        <v>533</v>
      </c>
      <c r="G42" t="s">
        <v>534</v>
      </c>
      <c r="H42" t="s">
        <v>535</v>
      </c>
      <c r="I42" t="s">
        <v>536</v>
      </c>
      <c r="J42" t="s">
        <v>113</v>
      </c>
      <c r="K42" s="8" t="s">
        <v>114</v>
      </c>
      <c r="L42" t="s">
        <v>114</v>
      </c>
      <c r="M42" s="6">
        <v>0</v>
      </c>
      <c r="N42" t="s">
        <v>114</v>
      </c>
      <c r="O42" s="6">
        <v>0</v>
      </c>
      <c r="P42" t="s">
        <v>114</v>
      </c>
      <c r="Q42" s="6">
        <v>0</v>
      </c>
      <c r="R42" s="7">
        <f t="shared" si="0"/>
        <v>0</v>
      </c>
      <c r="S42" t="s">
        <v>114</v>
      </c>
      <c r="T42" t="s">
        <v>114</v>
      </c>
      <c r="U42" t="s">
        <v>114</v>
      </c>
      <c r="W42" t="s">
        <v>114</v>
      </c>
      <c r="X42" t="s">
        <v>114</v>
      </c>
      <c r="Z42" t="s">
        <v>537</v>
      </c>
      <c r="AA42" t="s">
        <v>537</v>
      </c>
      <c r="AB42" s="1" t="s">
        <v>538</v>
      </c>
      <c r="AC42" t="s">
        <v>539</v>
      </c>
      <c r="AD42" t="s">
        <v>540</v>
      </c>
      <c r="AH42" t="s">
        <v>123</v>
      </c>
      <c r="AI42" t="s">
        <v>124</v>
      </c>
      <c r="AJ42" t="s">
        <v>541</v>
      </c>
      <c r="AK42" t="s">
        <v>126</v>
      </c>
      <c r="AL42" t="s">
        <v>127</v>
      </c>
      <c r="AN42" t="s">
        <v>542</v>
      </c>
      <c r="AO42" t="s">
        <v>543</v>
      </c>
      <c r="AP42" t="s">
        <v>544</v>
      </c>
      <c r="AQ42" t="s">
        <v>131</v>
      </c>
      <c r="AR42" t="s">
        <v>132</v>
      </c>
      <c r="AS42" t="s">
        <v>202</v>
      </c>
      <c r="AT42" t="s">
        <v>545</v>
      </c>
      <c r="AV42" t="s">
        <v>546</v>
      </c>
      <c r="AY42" t="s">
        <v>547</v>
      </c>
      <c r="AZ42" t="s">
        <v>364</v>
      </c>
      <c r="BA42" t="s">
        <v>548</v>
      </c>
      <c r="BC42" t="s">
        <v>140</v>
      </c>
      <c r="BT42" s="7">
        <f t="shared" si="1"/>
        <v>0</v>
      </c>
      <c r="BU42" s="6">
        <f t="shared" si="2"/>
        <v>0</v>
      </c>
      <c r="BV42" s="6">
        <f t="shared" si="3"/>
        <v>0</v>
      </c>
      <c r="BW42" s="6">
        <f t="shared" si="4"/>
        <v>0</v>
      </c>
      <c r="BX42" s="6">
        <f t="shared" si="5"/>
        <v>0</v>
      </c>
    </row>
    <row r="43" spans="1:76" x14ac:dyDescent="0.35">
      <c r="A43" t="s">
        <v>549</v>
      </c>
      <c r="B43" t="s">
        <v>107</v>
      </c>
      <c r="C43" t="s">
        <v>107</v>
      </c>
      <c r="E43" t="s">
        <v>108</v>
      </c>
      <c r="F43" t="s">
        <v>158</v>
      </c>
      <c r="G43" t="s">
        <v>159</v>
      </c>
      <c r="H43" t="s">
        <v>111</v>
      </c>
      <c r="I43" t="s">
        <v>341</v>
      </c>
      <c r="J43" t="s">
        <v>113</v>
      </c>
      <c r="K43" s="8" t="s">
        <v>114</v>
      </c>
      <c r="L43" t="s">
        <v>161</v>
      </c>
      <c r="M43" s="6">
        <v>459</v>
      </c>
      <c r="N43" t="s">
        <v>409</v>
      </c>
      <c r="O43" s="6">
        <v>220.01</v>
      </c>
      <c r="P43" t="s">
        <v>410</v>
      </c>
      <c r="Q43" s="6">
        <v>0</v>
      </c>
      <c r="R43" s="7">
        <f t="shared" si="0"/>
        <v>238.99</v>
      </c>
      <c r="S43" t="s">
        <v>180</v>
      </c>
      <c r="T43" t="s">
        <v>114</v>
      </c>
      <c r="U43" t="s">
        <v>180</v>
      </c>
      <c r="W43" t="s">
        <v>114</v>
      </c>
      <c r="X43" t="s">
        <v>410</v>
      </c>
      <c r="Z43" t="s">
        <v>550</v>
      </c>
      <c r="AA43" t="s">
        <v>551</v>
      </c>
      <c r="AB43" s="1" t="s">
        <v>552</v>
      </c>
      <c r="AC43" t="s">
        <v>553</v>
      </c>
      <c r="AD43" t="s">
        <v>551</v>
      </c>
      <c r="AH43" t="s">
        <v>123</v>
      </c>
      <c r="AI43" t="s">
        <v>124</v>
      </c>
      <c r="AJ43" t="s">
        <v>554</v>
      </c>
      <c r="AK43" t="s">
        <v>126</v>
      </c>
      <c r="AL43" t="s">
        <v>127</v>
      </c>
      <c r="AN43" t="s">
        <v>555</v>
      </c>
      <c r="AO43" t="s">
        <v>556</v>
      </c>
      <c r="AP43" t="s">
        <v>557</v>
      </c>
      <c r="AQ43" t="s">
        <v>131</v>
      </c>
      <c r="AR43" t="s">
        <v>132</v>
      </c>
      <c r="AS43" t="s">
        <v>558</v>
      </c>
      <c r="AT43" t="s">
        <v>559</v>
      </c>
      <c r="AV43" t="s">
        <v>389</v>
      </c>
      <c r="AW43" t="s">
        <v>434</v>
      </c>
      <c r="AX43" t="s">
        <v>136</v>
      </c>
      <c r="AY43" t="s">
        <v>177</v>
      </c>
      <c r="AZ43" t="s">
        <v>138</v>
      </c>
      <c r="BA43" t="s">
        <v>560</v>
      </c>
      <c r="BC43" t="s">
        <v>140</v>
      </c>
      <c r="BT43" s="7">
        <f t="shared" si="1"/>
        <v>238.99</v>
      </c>
      <c r="BU43" s="6">
        <f t="shared" si="2"/>
        <v>223.35514018691589</v>
      </c>
      <c r="BV43" s="6">
        <f t="shared" si="3"/>
        <v>15.634859813084113</v>
      </c>
      <c r="BW43" s="6">
        <f t="shared" si="4"/>
        <v>238.99</v>
      </c>
      <c r="BX43" s="6">
        <f t="shared" si="5"/>
        <v>0</v>
      </c>
    </row>
    <row r="44" spans="1:76" x14ac:dyDescent="0.35">
      <c r="A44" t="s">
        <v>549</v>
      </c>
      <c r="B44" t="s">
        <v>107</v>
      </c>
      <c r="C44" t="s">
        <v>107</v>
      </c>
      <c r="E44" t="s">
        <v>108</v>
      </c>
      <c r="F44" t="s">
        <v>268</v>
      </c>
      <c r="G44" t="s">
        <v>269</v>
      </c>
      <c r="H44" t="s">
        <v>270</v>
      </c>
      <c r="I44" t="s">
        <v>271</v>
      </c>
      <c r="J44" t="s">
        <v>113</v>
      </c>
      <c r="K44" s="8" t="s">
        <v>114</v>
      </c>
      <c r="L44" t="s">
        <v>114</v>
      </c>
      <c r="M44" s="6">
        <v>0</v>
      </c>
      <c r="N44" t="s">
        <v>114</v>
      </c>
      <c r="O44" s="6">
        <v>0</v>
      </c>
      <c r="P44" t="s">
        <v>114</v>
      </c>
      <c r="Q44" s="6">
        <v>0</v>
      </c>
      <c r="R44" s="7">
        <f t="shared" si="0"/>
        <v>0</v>
      </c>
      <c r="S44" t="s">
        <v>180</v>
      </c>
      <c r="T44" t="s">
        <v>114</v>
      </c>
      <c r="U44" t="s">
        <v>180</v>
      </c>
      <c r="W44" t="s">
        <v>114</v>
      </c>
      <c r="X44" t="s">
        <v>410</v>
      </c>
      <c r="Z44" t="s">
        <v>550</v>
      </c>
      <c r="AA44" t="s">
        <v>551</v>
      </c>
      <c r="AB44" s="1" t="s">
        <v>552</v>
      </c>
      <c r="AC44" t="s">
        <v>553</v>
      </c>
      <c r="AD44" t="s">
        <v>551</v>
      </c>
      <c r="AH44" t="s">
        <v>123</v>
      </c>
      <c r="AI44" t="s">
        <v>124</v>
      </c>
      <c r="AJ44" t="s">
        <v>554</v>
      </c>
      <c r="AK44" t="s">
        <v>126</v>
      </c>
      <c r="AL44" t="s">
        <v>127</v>
      </c>
      <c r="AN44" t="s">
        <v>555</v>
      </c>
      <c r="AO44" t="s">
        <v>556</v>
      </c>
      <c r="AP44" t="s">
        <v>557</v>
      </c>
      <c r="AQ44" t="s">
        <v>131</v>
      </c>
      <c r="AR44" t="s">
        <v>132</v>
      </c>
      <c r="AS44" t="s">
        <v>558</v>
      </c>
      <c r="AT44" t="s">
        <v>559</v>
      </c>
      <c r="AV44" t="s">
        <v>389</v>
      </c>
      <c r="AW44" t="s">
        <v>434</v>
      </c>
      <c r="AX44" t="s">
        <v>136</v>
      </c>
      <c r="AY44" t="s">
        <v>272</v>
      </c>
      <c r="AZ44" t="s">
        <v>273</v>
      </c>
      <c r="BA44" t="s">
        <v>560</v>
      </c>
      <c r="BC44" t="s">
        <v>140</v>
      </c>
      <c r="BT44" s="7">
        <f t="shared" si="1"/>
        <v>0</v>
      </c>
      <c r="BU44" s="6">
        <f t="shared" si="2"/>
        <v>0</v>
      </c>
      <c r="BV44" s="6">
        <f t="shared" si="3"/>
        <v>0</v>
      </c>
      <c r="BW44" s="6">
        <f t="shared" si="4"/>
        <v>0</v>
      </c>
      <c r="BX44" s="6">
        <f t="shared" si="5"/>
        <v>0</v>
      </c>
    </row>
    <row r="45" spans="1:76" x14ac:dyDescent="0.35">
      <c r="A45" t="s">
        <v>561</v>
      </c>
      <c r="B45" t="s">
        <v>107</v>
      </c>
      <c r="C45" t="s">
        <v>107</v>
      </c>
      <c r="E45" t="s">
        <v>108</v>
      </c>
      <c r="F45" t="s">
        <v>338</v>
      </c>
      <c r="G45" t="s">
        <v>339</v>
      </c>
      <c r="H45" t="s">
        <v>340</v>
      </c>
      <c r="I45" t="s">
        <v>341</v>
      </c>
      <c r="J45" t="s">
        <v>113</v>
      </c>
      <c r="K45" s="8" t="s">
        <v>114</v>
      </c>
      <c r="L45" t="s">
        <v>114</v>
      </c>
      <c r="M45" s="6">
        <v>0</v>
      </c>
      <c r="N45" t="s">
        <v>114</v>
      </c>
      <c r="O45" s="6">
        <v>0</v>
      </c>
      <c r="P45" t="s">
        <v>114</v>
      </c>
      <c r="Q45" s="6">
        <v>0</v>
      </c>
      <c r="R45" s="7">
        <f t="shared" si="0"/>
        <v>0</v>
      </c>
      <c r="S45" t="s">
        <v>118</v>
      </c>
      <c r="T45" t="s">
        <v>114</v>
      </c>
      <c r="U45" t="s">
        <v>118</v>
      </c>
      <c r="W45" t="s">
        <v>114</v>
      </c>
      <c r="X45" t="s">
        <v>562</v>
      </c>
      <c r="Z45" t="s">
        <v>563</v>
      </c>
      <c r="AA45" t="s">
        <v>564</v>
      </c>
      <c r="AB45" s="1" t="s">
        <v>565</v>
      </c>
      <c r="AC45" t="s">
        <v>566</v>
      </c>
      <c r="AD45" t="s">
        <v>564</v>
      </c>
      <c r="AH45" t="s">
        <v>123</v>
      </c>
      <c r="AI45" t="s">
        <v>124</v>
      </c>
      <c r="AJ45" t="s">
        <v>567</v>
      </c>
      <c r="AK45" t="s">
        <v>126</v>
      </c>
      <c r="AL45" t="s">
        <v>127</v>
      </c>
      <c r="AN45" t="s">
        <v>568</v>
      </c>
      <c r="AO45" t="s">
        <v>569</v>
      </c>
      <c r="AP45" t="s">
        <v>570</v>
      </c>
      <c r="AQ45" t="s">
        <v>131</v>
      </c>
      <c r="AR45" t="s">
        <v>132</v>
      </c>
      <c r="AS45" t="s">
        <v>262</v>
      </c>
      <c r="AT45" t="s">
        <v>571</v>
      </c>
      <c r="AV45" t="s">
        <v>572</v>
      </c>
      <c r="AW45" t="s">
        <v>573</v>
      </c>
      <c r="AX45" t="s">
        <v>136</v>
      </c>
      <c r="AY45" t="s">
        <v>177</v>
      </c>
      <c r="AZ45" t="s">
        <v>356</v>
      </c>
      <c r="BA45" t="s">
        <v>574</v>
      </c>
      <c r="BC45" t="s">
        <v>140</v>
      </c>
      <c r="BT45" s="7">
        <f t="shared" si="1"/>
        <v>0</v>
      </c>
      <c r="BU45" s="6">
        <f t="shared" si="2"/>
        <v>0</v>
      </c>
      <c r="BV45" s="6">
        <f t="shared" si="3"/>
        <v>0</v>
      </c>
      <c r="BW45" s="6">
        <f t="shared" si="4"/>
        <v>0</v>
      </c>
      <c r="BX45" s="6">
        <f t="shared" si="5"/>
        <v>0</v>
      </c>
    </row>
    <row r="46" spans="1:76" x14ac:dyDescent="0.35">
      <c r="A46" t="s">
        <v>561</v>
      </c>
      <c r="B46" t="s">
        <v>107</v>
      </c>
      <c r="C46" t="s">
        <v>107</v>
      </c>
      <c r="E46" t="s">
        <v>108</v>
      </c>
      <c r="F46" t="s">
        <v>358</v>
      </c>
      <c r="G46" t="s">
        <v>359</v>
      </c>
      <c r="H46" t="s">
        <v>360</v>
      </c>
      <c r="I46" t="s">
        <v>341</v>
      </c>
      <c r="J46" t="s">
        <v>113</v>
      </c>
      <c r="K46" s="8" t="s">
        <v>114</v>
      </c>
      <c r="L46" t="s">
        <v>361</v>
      </c>
      <c r="M46" s="6">
        <v>233</v>
      </c>
      <c r="N46" t="s">
        <v>113</v>
      </c>
      <c r="O46" s="6">
        <v>127</v>
      </c>
      <c r="P46" t="s">
        <v>562</v>
      </c>
      <c r="Q46" s="6">
        <v>0</v>
      </c>
      <c r="R46" s="7">
        <f t="shared" si="0"/>
        <v>106</v>
      </c>
      <c r="S46" t="s">
        <v>118</v>
      </c>
      <c r="T46" t="s">
        <v>114</v>
      </c>
      <c r="U46" t="s">
        <v>118</v>
      </c>
      <c r="W46" t="s">
        <v>114</v>
      </c>
      <c r="X46" t="s">
        <v>562</v>
      </c>
      <c r="Z46" t="s">
        <v>563</v>
      </c>
      <c r="AA46" t="s">
        <v>564</v>
      </c>
      <c r="AB46" s="1" t="s">
        <v>565</v>
      </c>
      <c r="AC46" t="s">
        <v>566</v>
      </c>
      <c r="AD46" t="s">
        <v>564</v>
      </c>
      <c r="AH46" t="s">
        <v>123</v>
      </c>
      <c r="AI46" t="s">
        <v>124</v>
      </c>
      <c r="AJ46" t="s">
        <v>567</v>
      </c>
      <c r="AK46" t="s">
        <v>126</v>
      </c>
      <c r="AL46" t="s">
        <v>127</v>
      </c>
      <c r="AN46" t="s">
        <v>568</v>
      </c>
      <c r="AO46" t="s">
        <v>569</v>
      </c>
      <c r="AP46" t="s">
        <v>570</v>
      </c>
      <c r="AQ46" t="s">
        <v>131</v>
      </c>
      <c r="AR46" t="s">
        <v>132</v>
      </c>
      <c r="AS46" t="s">
        <v>262</v>
      </c>
      <c r="AT46" t="s">
        <v>571</v>
      </c>
      <c r="AV46" t="s">
        <v>572</v>
      </c>
      <c r="AW46" t="s">
        <v>573</v>
      </c>
      <c r="AX46" t="s">
        <v>136</v>
      </c>
      <c r="AY46" t="s">
        <v>177</v>
      </c>
      <c r="AZ46" t="s">
        <v>364</v>
      </c>
      <c r="BA46" t="s">
        <v>574</v>
      </c>
      <c r="BC46" t="s">
        <v>140</v>
      </c>
      <c r="BT46" s="7">
        <f t="shared" si="1"/>
        <v>106</v>
      </c>
      <c r="BU46" s="6">
        <f t="shared" si="2"/>
        <v>99.065420560747654</v>
      </c>
      <c r="BV46" s="6">
        <f t="shared" si="3"/>
        <v>6.9345794392523361</v>
      </c>
      <c r="BW46" s="6">
        <f t="shared" si="4"/>
        <v>105.99999999999999</v>
      </c>
      <c r="BX46" s="6">
        <f t="shared" si="5"/>
        <v>0</v>
      </c>
    </row>
    <row r="47" spans="1:76" x14ac:dyDescent="0.35">
      <c r="A47" t="s">
        <v>575</v>
      </c>
      <c r="B47" t="s">
        <v>107</v>
      </c>
      <c r="C47" t="s">
        <v>107</v>
      </c>
      <c r="F47" t="s">
        <v>158</v>
      </c>
      <c r="G47" t="s">
        <v>159</v>
      </c>
      <c r="H47" t="s">
        <v>111</v>
      </c>
      <c r="I47" t="s">
        <v>341</v>
      </c>
      <c r="J47" t="s">
        <v>113</v>
      </c>
      <c r="K47" s="8" t="s">
        <v>114</v>
      </c>
      <c r="L47" t="s">
        <v>114</v>
      </c>
      <c r="M47" s="6">
        <v>0</v>
      </c>
      <c r="N47" t="s">
        <v>114</v>
      </c>
      <c r="O47" s="6">
        <v>0</v>
      </c>
      <c r="P47" t="s">
        <v>114</v>
      </c>
      <c r="Q47" s="6">
        <v>0</v>
      </c>
      <c r="R47" s="7">
        <f t="shared" si="0"/>
        <v>0</v>
      </c>
      <c r="S47" t="s">
        <v>114</v>
      </c>
      <c r="T47" t="s">
        <v>114</v>
      </c>
      <c r="U47" t="s">
        <v>114</v>
      </c>
      <c r="W47" t="s">
        <v>114</v>
      </c>
      <c r="X47" t="s">
        <v>114</v>
      </c>
      <c r="Z47" t="s">
        <v>576</v>
      </c>
      <c r="AA47" t="s">
        <v>576</v>
      </c>
      <c r="AB47" s="1" t="s">
        <v>577</v>
      </c>
      <c r="AC47" t="s">
        <v>578</v>
      </c>
      <c r="AD47" t="s">
        <v>579</v>
      </c>
      <c r="AH47" t="s">
        <v>123</v>
      </c>
      <c r="AI47" t="s">
        <v>124</v>
      </c>
      <c r="AJ47" t="s">
        <v>580</v>
      </c>
      <c r="AK47" t="s">
        <v>126</v>
      </c>
      <c r="AL47" t="s">
        <v>127</v>
      </c>
      <c r="AN47" t="s">
        <v>581</v>
      </c>
      <c r="AO47" t="s">
        <v>582</v>
      </c>
      <c r="AP47" t="s">
        <v>583</v>
      </c>
      <c r="AQ47" t="s">
        <v>131</v>
      </c>
      <c r="AR47" t="s">
        <v>132</v>
      </c>
      <c r="AS47" t="s">
        <v>466</v>
      </c>
      <c r="AT47" t="s">
        <v>584</v>
      </c>
      <c r="AV47" t="s">
        <v>585</v>
      </c>
      <c r="AW47" t="s">
        <v>135</v>
      </c>
      <c r="AY47" t="s">
        <v>177</v>
      </c>
      <c r="AZ47" t="s">
        <v>138</v>
      </c>
      <c r="BA47" t="s">
        <v>586</v>
      </c>
      <c r="BC47" t="s">
        <v>140</v>
      </c>
      <c r="BT47" s="7">
        <f t="shared" si="1"/>
        <v>0</v>
      </c>
      <c r="BU47" s="6">
        <f t="shared" si="2"/>
        <v>0</v>
      </c>
      <c r="BV47" s="6">
        <f t="shared" si="3"/>
        <v>0</v>
      </c>
      <c r="BW47" s="6">
        <f t="shared" si="4"/>
        <v>0</v>
      </c>
      <c r="BX47" s="6">
        <f t="shared" si="5"/>
        <v>0</v>
      </c>
    </row>
    <row r="48" spans="1:76" x14ac:dyDescent="0.35">
      <c r="A48" t="s">
        <v>587</v>
      </c>
      <c r="B48" t="s">
        <v>107</v>
      </c>
      <c r="C48" t="s">
        <v>107</v>
      </c>
      <c r="F48" t="s">
        <v>158</v>
      </c>
      <c r="G48" t="s">
        <v>159</v>
      </c>
      <c r="H48" t="s">
        <v>111</v>
      </c>
      <c r="I48" t="s">
        <v>341</v>
      </c>
      <c r="J48" t="s">
        <v>113</v>
      </c>
      <c r="K48" s="8" t="s">
        <v>114</v>
      </c>
      <c r="L48" t="s">
        <v>114</v>
      </c>
      <c r="M48" s="6">
        <v>0</v>
      </c>
      <c r="N48" t="s">
        <v>114</v>
      </c>
      <c r="O48" s="6">
        <v>0</v>
      </c>
      <c r="P48" t="s">
        <v>114</v>
      </c>
      <c r="Q48" s="6">
        <v>0</v>
      </c>
      <c r="R48" s="7">
        <f t="shared" si="0"/>
        <v>0</v>
      </c>
      <c r="S48" t="s">
        <v>114</v>
      </c>
      <c r="T48" t="s">
        <v>114</v>
      </c>
      <c r="U48" t="s">
        <v>114</v>
      </c>
      <c r="W48" t="s">
        <v>114</v>
      </c>
      <c r="X48" t="s">
        <v>114</v>
      </c>
      <c r="Z48" t="s">
        <v>588</v>
      </c>
      <c r="AA48" t="s">
        <v>588</v>
      </c>
      <c r="AB48" s="1" t="s">
        <v>589</v>
      </c>
      <c r="AC48" t="s">
        <v>590</v>
      </c>
      <c r="AD48" t="s">
        <v>591</v>
      </c>
      <c r="AH48" t="s">
        <v>123</v>
      </c>
      <c r="AI48" t="s">
        <v>124</v>
      </c>
      <c r="AJ48" t="s">
        <v>592</v>
      </c>
      <c r="AK48" t="s">
        <v>126</v>
      </c>
      <c r="AL48" t="s">
        <v>127</v>
      </c>
      <c r="AN48" t="s">
        <v>593</v>
      </c>
      <c r="AO48" t="s">
        <v>594</v>
      </c>
      <c r="AP48" t="s">
        <v>595</v>
      </c>
      <c r="AQ48" t="s">
        <v>131</v>
      </c>
      <c r="AR48" t="s">
        <v>132</v>
      </c>
      <c r="AS48" t="s">
        <v>596</v>
      </c>
      <c r="AT48" t="s">
        <v>597</v>
      </c>
      <c r="AV48" t="s">
        <v>530</v>
      </c>
      <c r="AY48" t="s">
        <v>177</v>
      </c>
      <c r="AZ48" t="s">
        <v>138</v>
      </c>
      <c r="BA48" t="s">
        <v>598</v>
      </c>
      <c r="BC48" t="s">
        <v>140</v>
      </c>
      <c r="BT48" s="7">
        <f t="shared" si="1"/>
        <v>0</v>
      </c>
      <c r="BU48" s="6">
        <f t="shared" si="2"/>
        <v>0</v>
      </c>
      <c r="BV48" s="6">
        <f t="shared" si="3"/>
        <v>0</v>
      </c>
      <c r="BW48" s="6">
        <f t="shared" si="4"/>
        <v>0</v>
      </c>
      <c r="BX48" s="6">
        <f t="shared" si="5"/>
        <v>0</v>
      </c>
    </row>
    <row r="49" spans="1:76" x14ac:dyDescent="0.35">
      <c r="A49" t="s">
        <v>599</v>
      </c>
      <c r="B49" t="s">
        <v>107</v>
      </c>
      <c r="C49" t="s">
        <v>107</v>
      </c>
      <c r="F49" t="s">
        <v>158</v>
      </c>
      <c r="G49" t="s">
        <v>159</v>
      </c>
      <c r="H49" t="s">
        <v>111</v>
      </c>
      <c r="I49" t="s">
        <v>341</v>
      </c>
      <c r="J49" t="s">
        <v>113</v>
      </c>
      <c r="K49" s="8" t="s">
        <v>114</v>
      </c>
      <c r="L49" t="s">
        <v>114</v>
      </c>
      <c r="M49" s="6">
        <v>0</v>
      </c>
      <c r="N49" t="s">
        <v>114</v>
      </c>
      <c r="O49" s="6">
        <v>0</v>
      </c>
      <c r="P49" t="s">
        <v>114</v>
      </c>
      <c r="Q49" s="6">
        <v>0</v>
      </c>
      <c r="R49" s="7">
        <f t="shared" si="0"/>
        <v>0</v>
      </c>
      <c r="S49" t="s">
        <v>114</v>
      </c>
      <c r="T49" t="s">
        <v>114</v>
      </c>
      <c r="U49" t="s">
        <v>114</v>
      </c>
      <c r="W49" t="s">
        <v>114</v>
      </c>
      <c r="X49" t="s">
        <v>114</v>
      </c>
      <c r="Z49" t="s">
        <v>600</v>
      </c>
      <c r="AA49" t="s">
        <v>601</v>
      </c>
      <c r="AB49" s="1" t="s">
        <v>602</v>
      </c>
      <c r="AC49" t="s">
        <v>603</v>
      </c>
      <c r="AD49" t="s">
        <v>604</v>
      </c>
      <c r="AH49" t="s">
        <v>123</v>
      </c>
      <c r="AI49" t="s">
        <v>124</v>
      </c>
      <c r="AJ49" t="s">
        <v>605</v>
      </c>
      <c r="AK49" t="s">
        <v>126</v>
      </c>
      <c r="AL49" t="s">
        <v>127</v>
      </c>
      <c r="AN49" t="s">
        <v>606</v>
      </c>
      <c r="AO49" t="s">
        <v>607</v>
      </c>
      <c r="AP49" t="s">
        <v>608</v>
      </c>
      <c r="AQ49" t="s">
        <v>131</v>
      </c>
      <c r="AR49" t="s">
        <v>132</v>
      </c>
      <c r="AS49" t="s">
        <v>152</v>
      </c>
      <c r="AT49" t="s">
        <v>609</v>
      </c>
      <c r="AV49" t="s">
        <v>610</v>
      </c>
      <c r="AW49" t="s">
        <v>389</v>
      </c>
      <c r="AY49" t="s">
        <v>177</v>
      </c>
      <c r="AZ49" t="s">
        <v>138</v>
      </c>
      <c r="BA49" t="s">
        <v>611</v>
      </c>
      <c r="BC49" t="s">
        <v>140</v>
      </c>
      <c r="BT49" s="7">
        <f t="shared" si="1"/>
        <v>0</v>
      </c>
      <c r="BU49" s="6">
        <f t="shared" si="2"/>
        <v>0</v>
      </c>
      <c r="BV49" s="6">
        <f t="shared" si="3"/>
        <v>0</v>
      </c>
      <c r="BW49" s="6">
        <f t="shared" si="4"/>
        <v>0</v>
      </c>
      <c r="BX49" s="6">
        <f t="shared" si="5"/>
        <v>0</v>
      </c>
    </row>
    <row r="50" spans="1:76" x14ac:dyDescent="0.35">
      <c r="A50" t="s">
        <v>612</v>
      </c>
      <c r="B50" t="s">
        <v>107</v>
      </c>
      <c r="C50" t="s">
        <v>107</v>
      </c>
      <c r="F50" t="s">
        <v>613</v>
      </c>
      <c r="G50" t="s">
        <v>614</v>
      </c>
      <c r="H50" t="s">
        <v>615</v>
      </c>
      <c r="I50" t="s">
        <v>271</v>
      </c>
      <c r="J50" t="s">
        <v>113</v>
      </c>
      <c r="K50" s="8" t="s">
        <v>114</v>
      </c>
      <c r="L50" t="s">
        <v>114</v>
      </c>
      <c r="M50" s="6">
        <v>0</v>
      </c>
      <c r="N50" t="s">
        <v>114</v>
      </c>
      <c r="O50" s="6">
        <v>0</v>
      </c>
      <c r="P50" t="s">
        <v>114</v>
      </c>
      <c r="Q50" s="6">
        <v>0</v>
      </c>
      <c r="R50" s="7">
        <f t="shared" si="0"/>
        <v>0</v>
      </c>
      <c r="S50" t="s">
        <v>114</v>
      </c>
      <c r="T50" t="s">
        <v>114</v>
      </c>
      <c r="U50" t="s">
        <v>114</v>
      </c>
      <c r="W50" t="s">
        <v>114</v>
      </c>
      <c r="X50" t="s">
        <v>114</v>
      </c>
      <c r="Z50" t="s">
        <v>616</v>
      </c>
      <c r="AA50" t="s">
        <v>616</v>
      </c>
      <c r="AB50" s="1" t="s">
        <v>577</v>
      </c>
      <c r="AC50" t="s">
        <v>617</v>
      </c>
      <c r="AD50" t="s">
        <v>618</v>
      </c>
      <c r="AH50" t="s">
        <v>123</v>
      </c>
      <c r="AI50" t="s">
        <v>124</v>
      </c>
      <c r="AJ50" t="s">
        <v>619</v>
      </c>
      <c r="AK50" t="s">
        <v>126</v>
      </c>
      <c r="AL50" t="s">
        <v>127</v>
      </c>
      <c r="AN50" t="s">
        <v>620</v>
      </c>
      <c r="AO50" t="s">
        <v>621</v>
      </c>
      <c r="AP50" t="s">
        <v>622</v>
      </c>
      <c r="AQ50" t="s">
        <v>131</v>
      </c>
      <c r="AR50" t="s">
        <v>132</v>
      </c>
      <c r="AS50" t="s">
        <v>623</v>
      </c>
      <c r="AT50" t="s">
        <v>624</v>
      </c>
      <c r="AV50" t="s">
        <v>625</v>
      </c>
      <c r="AW50" t="s">
        <v>626</v>
      </c>
      <c r="AY50" t="s">
        <v>177</v>
      </c>
      <c r="AZ50" t="s">
        <v>627</v>
      </c>
      <c r="BA50" t="s">
        <v>628</v>
      </c>
      <c r="BC50" t="s">
        <v>140</v>
      </c>
      <c r="BT50" s="7">
        <f t="shared" si="1"/>
        <v>0</v>
      </c>
      <c r="BU50" s="6">
        <f t="shared" si="2"/>
        <v>0</v>
      </c>
      <c r="BV50" s="6">
        <f t="shared" si="3"/>
        <v>0</v>
      </c>
      <c r="BW50" s="6">
        <f t="shared" si="4"/>
        <v>0</v>
      </c>
      <c r="BX50" s="6">
        <f t="shared" si="5"/>
        <v>0</v>
      </c>
    </row>
    <row r="51" spans="1:76" x14ac:dyDescent="0.35">
      <c r="A51" t="s">
        <v>629</v>
      </c>
      <c r="B51" t="s">
        <v>107</v>
      </c>
      <c r="C51" t="s">
        <v>107</v>
      </c>
      <c r="F51" t="s">
        <v>533</v>
      </c>
      <c r="G51" t="s">
        <v>534</v>
      </c>
      <c r="H51" t="s">
        <v>535</v>
      </c>
      <c r="I51" t="s">
        <v>536</v>
      </c>
      <c r="J51" t="s">
        <v>113</v>
      </c>
      <c r="K51" s="8" t="s">
        <v>114</v>
      </c>
      <c r="L51" t="s">
        <v>114</v>
      </c>
      <c r="M51" s="6">
        <v>0</v>
      </c>
      <c r="N51" t="s">
        <v>114</v>
      </c>
      <c r="O51" s="6">
        <v>0</v>
      </c>
      <c r="P51" t="s">
        <v>114</v>
      </c>
      <c r="Q51" s="6">
        <v>0</v>
      </c>
      <c r="R51" s="7">
        <f t="shared" si="0"/>
        <v>0</v>
      </c>
      <c r="S51" t="s">
        <v>114</v>
      </c>
      <c r="T51" t="s">
        <v>114</v>
      </c>
      <c r="U51" t="s">
        <v>114</v>
      </c>
      <c r="W51" t="s">
        <v>114</v>
      </c>
      <c r="X51" t="s">
        <v>114</v>
      </c>
      <c r="Z51" t="s">
        <v>616</v>
      </c>
      <c r="AA51" t="s">
        <v>616</v>
      </c>
      <c r="AB51" s="1" t="s">
        <v>630</v>
      </c>
      <c r="AC51" t="s">
        <v>631</v>
      </c>
      <c r="AD51" t="s">
        <v>632</v>
      </c>
      <c r="AH51" t="s">
        <v>123</v>
      </c>
      <c r="AI51" t="s">
        <v>124</v>
      </c>
      <c r="AJ51" t="s">
        <v>633</v>
      </c>
      <c r="AK51" t="s">
        <v>126</v>
      </c>
      <c r="AL51" t="s">
        <v>127</v>
      </c>
      <c r="AN51" t="s">
        <v>634</v>
      </c>
      <c r="AO51" t="s">
        <v>635</v>
      </c>
      <c r="AP51" t="s">
        <v>636</v>
      </c>
      <c r="AQ51" t="s">
        <v>131</v>
      </c>
      <c r="AR51" t="s">
        <v>132</v>
      </c>
      <c r="AS51" t="s">
        <v>152</v>
      </c>
      <c r="AT51" t="s">
        <v>637</v>
      </c>
      <c r="AV51" t="s">
        <v>638</v>
      </c>
      <c r="AW51" t="s">
        <v>639</v>
      </c>
      <c r="AY51" t="s">
        <v>547</v>
      </c>
      <c r="AZ51" t="s">
        <v>364</v>
      </c>
      <c r="BA51" t="s">
        <v>640</v>
      </c>
      <c r="BC51" t="s">
        <v>140</v>
      </c>
      <c r="BT51" s="7">
        <f t="shared" si="1"/>
        <v>0</v>
      </c>
      <c r="BU51" s="6">
        <f t="shared" si="2"/>
        <v>0</v>
      </c>
      <c r="BV51" s="6">
        <f t="shared" si="3"/>
        <v>0</v>
      </c>
      <c r="BW51" s="6">
        <f t="shared" si="4"/>
        <v>0</v>
      </c>
      <c r="BX51" s="6">
        <f t="shared" si="5"/>
        <v>0</v>
      </c>
    </row>
    <row r="52" spans="1:76" x14ac:dyDescent="0.35">
      <c r="A52" t="s">
        <v>641</v>
      </c>
      <c r="B52" t="s">
        <v>107</v>
      </c>
      <c r="C52" t="s">
        <v>107</v>
      </c>
      <c r="E52" t="s">
        <v>108</v>
      </c>
      <c r="F52" t="s">
        <v>158</v>
      </c>
      <c r="G52" t="s">
        <v>159</v>
      </c>
      <c r="H52" t="s">
        <v>111</v>
      </c>
      <c r="I52" t="s">
        <v>341</v>
      </c>
      <c r="J52" t="s">
        <v>113</v>
      </c>
      <c r="K52" s="8" t="s">
        <v>114</v>
      </c>
      <c r="L52" t="s">
        <v>161</v>
      </c>
      <c r="M52" s="6">
        <v>459</v>
      </c>
      <c r="N52" t="s">
        <v>114</v>
      </c>
      <c r="O52" s="6">
        <v>220.01</v>
      </c>
      <c r="P52" t="s">
        <v>642</v>
      </c>
      <c r="Q52" s="6">
        <v>0</v>
      </c>
      <c r="R52" s="7">
        <f t="shared" si="0"/>
        <v>238.99</v>
      </c>
      <c r="S52" t="s">
        <v>180</v>
      </c>
      <c r="T52" t="s">
        <v>114</v>
      </c>
      <c r="U52" t="s">
        <v>180</v>
      </c>
      <c r="W52" t="s">
        <v>114</v>
      </c>
      <c r="X52" t="s">
        <v>642</v>
      </c>
      <c r="Z52" t="s">
        <v>643</v>
      </c>
      <c r="AA52" t="s">
        <v>644</v>
      </c>
      <c r="AB52" s="1" t="s">
        <v>645</v>
      </c>
      <c r="AC52" t="s">
        <v>646</v>
      </c>
      <c r="AD52" t="s">
        <v>647</v>
      </c>
      <c r="AH52" t="s">
        <v>123</v>
      </c>
      <c r="AI52" t="s">
        <v>124</v>
      </c>
      <c r="AJ52" t="s">
        <v>648</v>
      </c>
      <c r="AK52" t="s">
        <v>126</v>
      </c>
      <c r="AL52" t="s">
        <v>127</v>
      </c>
      <c r="AN52" t="s">
        <v>649</v>
      </c>
      <c r="AO52" t="s">
        <v>650</v>
      </c>
      <c r="AP52" t="s">
        <v>651</v>
      </c>
      <c r="AQ52" t="s">
        <v>131</v>
      </c>
      <c r="AR52" t="s">
        <v>132</v>
      </c>
      <c r="AS52" t="s">
        <v>652</v>
      </c>
      <c r="AT52" t="s">
        <v>653</v>
      </c>
      <c r="AV52" t="s">
        <v>654</v>
      </c>
      <c r="AW52" t="s">
        <v>625</v>
      </c>
      <c r="AX52" t="s">
        <v>655</v>
      </c>
      <c r="AY52" t="s">
        <v>177</v>
      </c>
      <c r="AZ52" t="s">
        <v>138</v>
      </c>
      <c r="BA52" t="s">
        <v>656</v>
      </c>
      <c r="BC52" t="s">
        <v>140</v>
      </c>
      <c r="BT52" s="7">
        <f t="shared" si="1"/>
        <v>238.99</v>
      </c>
      <c r="BU52" s="6">
        <f t="shared" si="2"/>
        <v>223.35514018691589</v>
      </c>
      <c r="BV52" s="6">
        <f t="shared" si="3"/>
        <v>15.634859813084113</v>
      </c>
      <c r="BW52" s="6">
        <f t="shared" si="4"/>
        <v>238.99</v>
      </c>
      <c r="BX52" s="6">
        <f t="shared" si="5"/>
        <v>0</v>
      </c>
    </row>
    <row r="53" spans="1:76" x14ac:dyDescent="0.35">
      <c r="A53" t="s">
        <v>641</v>
      </c>
      <c r="B53" t="s">
        <v>107</v>
      </c>
      <c r="C53" t="s">
        <v>107</v>
      </c>
      <c r="E53" t="s">
        <v>108</v>
      </c>
      <c r="F53" t="s">
        <v>268</v>
      </c>
      <c r="G53" t="s">
        <v>269</v>
      </c>
      <c r="H53" t="s">
        <v>270</v>
      </c>
      <c r="I53" t="s">
        <v>271</v>
      </c>
      <c r="J53" t="s">
        <v>113</v>
      </c>
      <c r="K53" s="8" t="s">
        <v>114</v>
      </c>
      <c r="L53" t="s">
        <v>114</v>
      </c>
      <c r="M53" s="6">
        <v>0</v>
      </c>
      <c r="N53" t="s">
        <v>114</v>
      </c>
      <c r="O53" s="6">
        <v>0</v>
      </c>
      <c r="P53" t="s">
        <v>114</v>
      </c>
      <c r="Q53" s="6">
        <v>0</v>
      </c>
      <c r="R53" s="7">
        <f t="shared" si="0"/>
        <v>0</v>
      </c>
      <c r="S53" t="s">
        <v>180</v>
      </c>
      <c r="T53" t="s">
        <v>114</v>
      </c>
      <c r="U53" t="s">
        <v>180</v>
      </c>
      <c r="W53" t="s">
        <v>114</v>
      </c>
      <c r="X53" t="s">
        <v>642</v>
      </c>
      <c r="Z53" t="s">
        <v>643</v>
      </c>
      <c r="AA53" t="s">
        <v>644</v>
      </c>
      <c r="AB53" s="1" t="s">
        <v>645</v>
      </c>
      <c r="AC53" t="s">
        <v>646</v>
      </c>
      <c r="AD53" t="s">
        <v>647</v>
      </c>
      <c r="AH53" t="s">
        <v>123</v>
      </c>
      <c r="AI53" t="s">
        <v>124</v>
      </c>
      <c r="AJ53" t="s">
        <v>648</v>
      </c>
      <c r="AK53" t="s">
        <v>126</v>
      </c>
      <c r="AL53" t="s">
        <v>127</v>
      </c>
      <c r="AN53" t="s">
        <v>649</v>
      </c>
      <c r="AO53" t="s">
        <v>650</v>
      </c>
      <c r="AP53" t="s">
        <v>651</v>
      </c>
      <c r="AQ53" t="s">
        <v>131</v>
      </c>
      <c r="AR53" t="s">
        <v>132</v>
      </c>
      <c r="AS53" t="s">
        <v>652</v>
      </c>
      <c r="AT53" t="s">
        <v>653</v>
      </c>
      <c r="AV53" t="s">
        <v>654</v>
      </c>
      <c r="AW53" t="s">
        <v>625</v>
      </c>
      <c r="AX53" t="s">
        <v>655</v>
      </c>
      <c r="AY53" t="s">
        <v>272</v>
      </c>
      <c r="AZ53" t="s">
        <v>273</v>
      </c>
      <c r="BA53" t="s">
        <v>656</v>
      </c>
      <c r="BC53" t="s">
        <v>140</v>
      </c>
      <c r="BT53" s="7">
        <f t="shared" si="1"/>
        <v>0</v>
      </c>
      <c r="BU53" s="6">
        <f t="shared" si="2"/>
        <v>0</v>
      </c>
      <c r="BV53" s="6">
        <f t="shared" si="3"/>
        <v>0</v>
      </c>
      <c r="BW53" s="6">
        <f t="shared" si="4"/>
        <v>0</v>
      </c>
      <c r="BX53" s="6">
        <f t="shared" si="5"/>
        <v>0</v>
      </c>
    </row>
    <row r="54" spans="1:76" x14ac:dyDescent="0.35">
      <c r="A54" t="s">
        <v>657</v>
      </c>
      <c r="B54" t="s">
        <v>107</v>
      </c>
      <c r="C54" t="s">
        <v>107</v>
      </c>
      <c r="E54" t="s">
        <v>108</v>
      </c>
      <c r="F54" t="s">
        <v>158</v>
      </c>
      <c r="G54" t="s">
        <v>159</v>
      </c>
      <c r="H54" t="s">
        <v>111</v>
      </c>
      <c r="I54" t="s">
        <v>341</v>
      </c>
      <c r="J54" t="s">
        <v>113</v>
      </c>
      <c r="K54" s="8" t="s">
        <v>114</v>
      </c>
      <c r="L54" t="s">
        <v>161</v>
      </c>
      <c r="M54" s="6">
        <v>459</v>
      </c>
      <c r="N54" t="s">
        <v>114</v>
      </c>
      <c r="O54" s="6">
        <v>220.01</v>
      </c>
      <c r="P54" t="s">
        <v>642</v>
      </c>
      <c r="Q54" s="6">
        <v>0</v>
      </c>
      <c r="R54" s="7">
        <f t="shared" si="0"/>
        <v>238.99</v>
      </c>
      <c r="S54" t="s">
        <v>180</v>
      </c>
      <c r="T54" t="s">
        <v>114</v>
      </c>
      <c r="U54" t="s">
        <v>180</v>
      </c>
      <c r="W54" t="s">
        <v>114</v>
      </c>
      <c r="X54" t="s">
        <v>642</v>
      </c>
      <c r="Z54" t="s">
        <v>658</v>
      </c>
      <c r="AA54" t="s">
        <v>659</v>
      </c>
      <c r="AB54" s="1" t="s">
        <v>660</v>
      </c>
      <c r="AC54" t="s">
        <v>661</v>
      </c>
      <c r="AD54" t="s">
        <v>662</v>
      </c>
      <c r="AH54" t="s">
        <v>123</v>
      </c>
      <c r="AI54" t="s">
        <v>124</v>
      </c>
      <c r="AJ54" t="s">
        <v>663</v>
      </c>
      <c r="AK54" t="s">
        <v>126</v>
      </c>
      <c r="AL54" t="s">
        <v>127</v>
      </c>
      <c r="AN54" t="s">
        <v>664</v>
      </c>
      <c r="AO54" t="s">
        <v>665</v>
      </c>
      <c r="AP54" t="s">
        <v>666</v>
      </c>
      <c r="AQ54" t="s">
        <v>131</v>
      </c>
      <c r="AR54" t="s">
        <v>132</v>
      </c>
      <c r="AS54" t="s">
        <v>352</v>
      </c>
      <c r="AT54" t="s">
        <v>667</v>
      </c>
      <c r="AV54" t="s">
        <v>668</v>
      </c>
      <c r="AW54" t="s">
        <v>669</v>
      </c>
      <c r="AX54" t="s">
        <v>155</v>
      </c>
      <c r="AY54" t="s">
        <v>177</v>
      </c>
      <c r="AZ54" t="s">
        <v>138</v>
      </c>
      <c r="BA54" t="s">
        <v>670</v>
      </c>
      <c r="BC54" t="s">
        <v>140</v>
      </c>
      <c r="BT54" s="7">
        <f t="shared" si="1"/>
        <v>238.99</v>
      </c>
      <c r="BU54" s="6">
        <f t="shared" si="2"/>
        <v>223.35514018691589</v>
      </c>
      <c r="BV54" s="6">
        <f t="shared" si="3"/>
        <v>15.634859813084113</v>
      </c>
      <c r="BW54" s="6">
        <f t="shared" si="4"/>
        <v>238.99</v>
      </c>
      <c r="BX54" s="6">
        <f t="shared" si="5"/>
        <v>0</v>
      </c>
    </row>
    <row r="55" spans="1:76" x14ac:dyDescent="0.35">
      <c r="A55" t="s">
        <v>657</v>
      </c>
      <c r="B55" t="s">
        <v>107</v>
      </c>
      <c r="C55" t="s">
        <v>107</v>
      </c>
      <c r="E55" t="s">
        <v>108</v>
      </c>
      <c r="F55" t="s">
        <v>268</v>
      </c>
      <c r="G55" t="s">
        <v>269</v>
      </c>
      <c r="H55" t="s">
        <v>270</v>
      </c>
      <c r="I55" t="s">
        <v>271</v>
      </c>
      <c r="J55" t="s">
        <v>113</v>
      </c>
      <c r="K55" s="8" t="s">
        <v>114</v>
      </c>
      <c r="L55" t="s">
        <v>114</v>
      </c>
      <c r="M55" s="6">
        <v>0</v>
      </c>
      <c r="N55" t="s">
        <v>114</v>
      </c>
      <c r="O55" s="6">
        <v>0</v>
      </c>
      <c r="P55" t="s">
        <v>114</v>
      </c>
      <c r="Q55" s="6">
        <v>0</v>
      </c>
      <c r="R55" s="7">
        <f t="shared" si="0"/>
        <v>0</v>
      </c>
      <c r="S55" t="s">
        <v>180</v>
      </c>
      <c r="T55" t="s">
        <v>114</v>
      </c>
      <c r="U55" t="s">
        <v>180</v>
      </c>
      <c r="W55" t="s">
        <v>114</v>
      </c>
      <c r="X55" t="s">
        <v>642</v>
      </c>
      <c r="Z55" t="s">
        <v>658</v>
      </c>
      <c r="AA55" t="s">
        <v>659</v>
      </c>
      <c r="AB55" s="1" t="s">
        <v>660</v>
      </c>
      <c r="AC55" t="s">
        <v>661</v>
      </c>
      <c r="AD55" t="s">
        <v>662</v>
      </c>
      <c r="AH55" t="s">
        <v>123</v>
      </c>
      <c r="AI55" t="s">
        <v>124</v>
      </c>
      <c r="AJ55" t="s">
        <v>663</v>
      </c>
      <c r="AK55" t="s">
        <v>126</v>
      </c>
      <c r="AL55" t="s">
        <v>127</v>
      </c>
      <c r="AN55" t="s">
        <v>664</v>
      </c>
      <c r="AO55" t="s">
        <v>665</v>
      </c>
      <c r="AP55" t="s">
        <v>666</v>
      </c>
      <c r="AQ55" t="s">
        <v>131</v>
      </c>
      <c r="AR55" t="s">
        <v>132</v>
      </c>
      <c r="AS55" t="s">
        <v>352</v>
      </c>
      <c r="AT55" t="s">
        <v>667</v>
      </c>
      <c r="AV55" t="s">
        <v>668</v>
      </c>
      <c r="AW55" t="s">
        <v>669</v>
      </c>
      <c r="AX55" t="s">
        <v>155</v>
      </c>
      <c r="AY55" t="s">
        <v>272</v>
      </c>
      <c r="AZ55" t="s">
        <v>273</v>
      </c>
      <c r="BA55" t="s">
        <v>670</v>
      </c>
      <c r="BC55" t="s">
        <v>140</v>
      </c>
      <c r="BT55" s="7">
        <f t="shared" si="1"/>
        <v>0</v>
      </c>
      <c r="BU55" s="6">
        <f t="shared" si="2"/>
        <v>0</v>
      </c>
      <c r="BV55" s="6">
        <f t="shared" si="3"/>
        <v>0</v>
      </c>
      <c r="BW55" s="6">
        <f t="shared" si="4"/>
        <v>0</v>
      </c>
      <c r="BX55" s="6">
        <f t="shared" si="5"/>
        <v>0</v>
      </c>
    </row>
    <row r="56" spans="1:76" x14ac:dyDescent="0.35">
      <c r="A56" t="s">
        <v>671</v>
      </c>
      <c r="B56" t="s">
        <v>107</v>
      </c>
      <c r="C56" t="s">
        <v>107</v>
      </c>
      <c r="E56" t="s">
        <v>108</v>
      </c>
      <c r="F56" t="s">
        <v>158</v>
      </c>
      <c r="G56" t="s">
        <v>159</v>
      </c>
      <c r="H56" t="s">
        <v>111</v>
      </c>
      <c r="I56" t="s">
        <v>341</v>
      </c>
      <c r="J56" t="s">
        <v>113</v>
      </c>
      <c r="K56" s="8" t="s">
        <v>114</v>
      </c>
      <c r="L56" t="s">
        <v>161</v>
      </c>
      <c r="M56" s="6">
        <v>459</v>
      </c>
      <c r="N56" t="s">
        <v>672</v>
      </c>
      <c r="O56" s="6">
        <v>220.01</v>
      </c>
      <c r="P56" t="s">
        <v>673</v>
      </c>
      <c r="Q56" s="6">
        <v>0</v>
      </c>
      <c r="R56" s="7">
        <f t="shared" si="0"/>
        <v>238.99</v>
      </c>
      <c r="S56" t="s">
        <v>142</v>
      </c>
      <c r="T56" t="s">
        <v>114</v>
      </c>
      <c r="U56" t="s">
        <v>142</v>
      </c>
      <c r="W56" t="s">
        <v>114</v>
      </c>
      <c r="X56" t="s">
        <v>673</v>
      </c>
      <c r="Z56" t="s">
        <v>674</v>
      </c>
      <c r="AA56" t="s">
        <v>675</v>
      </c>
      <c r="AB56" s="1" t="s">
        <v>676</v>
      </c>
      <c r="AC56" t="s">
        <v>677</v>
      </c>
      <c r="AD56" t="s">
        <v>675</v>
      </c>
      <c r="AH56" t="s">
        <v>123</v>
      </c>
      <c r="AI56" t="s">
        <v>124</v>
      </c>
      <c r="AJ56" t="s">
        <v>678</v>
      </c>
      <c r="AK56" t="s">
        <v>126</v>
      </c>
      <c r="AL56" t="s">
        <v>127</v>
      </c>
      <c r="AN56" t="s">
        <v>477</v>
      </c>
      <c r="AO56" t="s">
        <v>478</v>
      </c>
      <c r="AP56" t="s">
        <v>479</v>
      </c>
      <c r="AQ56" t="s">
        <v>131</v>
      </c>
      <c r="AR56" t="s">
        <v>132</v>
      </c>
      <c r="AS56" t="s">
        <v>152</v>
      </c>
      <c r="AT56" t="s">
        <v>480</v>
      </c>
      <c r="AV56" t="s">
        <v>481</v>
      </c>
      <c r="AX56" t="s">
        <v>136</v>
      </c>
      <c r="AY56" t="s">
        <v>177</v>
      </c>
      <c r="AZ56" t="s">
        <v>138</v>
      </c>
      <c r="BA56" t="s">
        <v>679</v>
      </c>
      <c r="BC56" t="s">
        <v>140</v>
      </c>
      <c r="BT56" s="7">
        <f t="shared" si="1"/>
        <v>238.99</v>
      </c>
      <c r="BU56" s="6">
        <f t="shared" si="2"/>
        <v>223.35514018691589</v>
      </c>
      <c r="BV56" s="6">
        <f t="shared" si="3"/>
        <v>15.634859813084113</v>
      </c>
      <c r="BW56" s="6">
        <f t="shared" si="4"/>
        <v>238.99</v>
      </c>
      <c r="BX56" s="6">
        <f t="shared" si="5"/>
        <v>0</v>
      </c>
    </row>
    <row r="57" spans="1:76" x14ac:dyDescent="0.35">
      <c r="A57" t="s">
        <v>671</v>
      </c>
      <c r="B57" t="s">
        <v>107</v>
      </c>
      <c r="C57" t="s">
        <v>107</v>
      </c>
      <c r="E57" t="s">
        <v>108</v>
      </c>
      <c r="F57" t="s">
        <v>268</v>
      </c>
      <c r="G57" t="s">
        <v>269</v>
      </c>
      <c r="H57" t="s">
        <v>270</v>
      </c>
      <c r="I57" t="s">
        <v>271</v>
      </c>
      <c r="J57" t="s">
        <v>113</v>
      </c>
      <c r="K57" s="8" t="s">
        <v>114</v>
      </c>
      <c r="L57" t="s">
        <v>114</v>
      </c>
      <c r="M57" s="6">
        <v>0</v>
      </c>
      <c r="N57" t="s">
        <v>114</v>
      </c>
      <c r="O57" s="6">
        <v>0</v>
      </c>
      <c r="P57" t="s">
        <v>114</v>
      </c>
      <c r="Q57" s="6">
        <v>0</v>
      </c>
      <c r="R57" s="7">
        <f t="shared" si="0"/>
        <v>0</v>
      </c>
      <c r="S57" t="s">
        <v>142</v>
      </c>
      <c r="T57" t="s">
        <v>114</v>
      </c>
      <c r="U57" t="s">
        <v>142</v>
      </c>
      <c r="W57" t="s">
        <v>114</v>
      </c>
      <c r="X57" t="s">
        <v>673</v>
      </c>
      <c r="Z57" t="s">
        <v>674</v>
      </c>
      <c r="AA57" t="s">
        <v>675</v>
      </c>
      <c r="AB57" s="1" t="s">
        <v>676</v>
      </c>
      <c r="AC57" t="s">
        <v>677</v>
      </c>
      <c r="AD57" t="s">
        <v>675</v>
      </c>
      <c r="AH57" t="s">
        <v>123</v>
      </c>
      <c r="AI57" t="s">
        <v>124</v>
      </c>
      <c r="AJ57" t="s">
        <v>678</v>
      </c>
      <c r="AK57" t="s">
        <v>126</v>
      </c>
      <c r="AL57" t="s">
        <v>127</v>
      </c>
      <c r="AN57" t="s">
        <v>477</v>
      </c>
      <c r="AO57" t="s">
        <v>478</v>
      </c>
      <c r="AP57" t="s">
        <v>479</v>
      </c>
      <c r="AQ57" t="s">
        <v>131</v>
      </c>
      <c r="AR57" t="s">
        <v>132</v>
      </c>
      <c r="AS57" t="s">
        <v>152</v>
      </c>
      <c r="AT57" t="s">
        <v>480</v>
      </c>
      <c r="AV57" t="s">
        <v>481</v>
      </c>
      <c r="AX57" t="s">
        <v>136</v>
      </c>
      <c r="AY57" t="s">
        <v>272</v>
      </c>
      <c r="AZ57" t="s">
        <v>273</v>
      </c>
      <c r="BA57" t="s">
        <v>679</v>
      </c>
      <c r="BC57" t="s">
        <v>140</v>
      </c>
      <c r="BT57" s="7">
        <f t="shared" si="1"/>
        <v>0</v>
      </c>
      <c r="BU57" s="6">
        <f t="shared" si="2"/>
        <v>0</v>
      </c>
      <c r="BV57" s="6">
        <f t="shared" si="3"/>
        <v>0</v>
      </c>
      <c r="BW57" s="6">
        <f t="shared" si="4"/>
        <v>0</v>
      </c>
      <c r="BX57" s="6">
        <f t="shared" si="5"/>
        <v>0</v>
      </c>
    </row>
    <row r="58" spans="1:76" x14ac:dyDescent="0.35">
      <c r="A58" t="s">
        <v>680</v>
      </c>
      <c r="B58" t="s">
        <v>107</v>
      </c>
      <c r="C58" t="s">
        <v>107</v>
      </c>
      <c r="E58" t="s">
        <v>108</v>
      </c>
      <c r="F58" t="s">
        <v>158</v>
      </c>
      <c r="G58" t="s">
        <v>159</v>
      </c>
      <c r="H58" t="s">
        <v>111</v>
      </c>
      <c r="I58" t="s">
        <v>341</v>
      </c>
      <c r="J58" t="s">
        <v>113</v>
      </c>
      <c r="K58" s="8" t="s">
        <v>114</v>
      </c>
      <c r="L58" t="s">
        <v>161</v>
      </c>
      <c r="M58" s="6">
        <v>459</v>
      </c>
      <c r="N58" t="s">
        <v>114</v>
      </c>
      <c r="O58" s="6">
        <v>220.01</v>
      </c>
      <c r="P58" t="s">
        <v>642</v>
      </c>
      <c r="Q58" s="6">
        <v>0</v>
      </c>
      <c r="R58" s="7">
        <f t="shared" si="0"/>
        <v>238.99</v>
      </c>
      <c r="S58" t="s">
        <v>142</v>
      </c>
      <c r="T58" t="s">
        <v>114</v>
      </c>
      <c r="U58" t="s">
        <v>142</v>
      </c>
      <c r="W58" t="s">
        <v>114</v>
      </c>
      <c r="X58" t="s">
        <v>642</v>
      </c>
      <c r="Z58" t="s">
        <v>681</v>
      </c>
      <c r="AA58" t="s">
        <v>682</v>
      </c>
      <c r="AB58" s="1" t="s">
        <v>683</v>
      </c>
      <c r="AC58" t="s">
        <v>684</v>
      </c>
      <c r="AD58" t="s">
        <v>682</v>
      </c>
      <c r="AH58" t="s">
        <v>123</v>
      </c>
      <c r="AI58" t="s">
        <v>124</v>
      </c>
      <c r="AJ58" t="s">
        <v>685</v>
      </c>
      <c r="AK58" t="s">
        <v>126</v>
      </c>
      <c r="AL58" t="s">
        <v>127</v>
      </c>
      <c r="AN58" t="s">
        <v>686</v>
      </c>
      <c r="AO58" t="s">
        <v>687</v>
      </c>
      <c r="AP58" t="s">
        <v>688</v>
      </c>
      <c r="AQ58" t="s">
        <v>131</v>
      </c>
      <c r="AR58" t="s">
        <v>132</v>
      </c>
      <c r="AS58" t="s">
        <v>152</v>
      </c>
      <c r="AT58" t="s">
        <v>689</v>
      </c>
      <c r="AV58" t="s">
        <v>690</v>
      </c>
      <c r="AX58" t="s">
        <v>136</v>
      </c>
      <c r="AY58" t="s">
        <v>177</v>
      </c>
      <c r="AZ58" t="s">
        <v>138</v>
      </c>
      <c r="BA58" t="s">
        <v>691</v>
      </c>
      <c r="BC58" t="s">
        <v>140</v>
      </c>
      <c r="BT58" s="7">
        <f t="shared" si="1"/>
        <v>238.99</v>
      </c>
      <c r="BU58" s="6">
        <f t="shared" si="2"/>
        <v>223.35514018691589</v>
      </c>
      <c r="BV58" s="6">
        <f t="shared" si="3"/>
        <v>15.634859813084113</v>
      </c>
      <c r="BW58" s="6">
        <f t="shared" si="4"/>
        <v>238.99</v>
      </c>
      <c r="BX58" s="6">
        <f t="shared" si="5"/>
        <v>0</v>
      </c>
    </row>
    <row r="59" spans="1:76" x14ac:dyDescent="0.35">
      <c r="A59" t="s">
        <v>680</v>
      </c>
      <c r="B59" t="s">
        <v>107</v>
      </c>
      <c r="C59" t="s">
        <v>107</v>
      </c>
      <c r="E59" t="s">
        <v>108</v>
      </c>
      <c r="F59" t="s">
        <v>268</v>
      </c>
      <c r="G59" t="s">
        <v>269</v>
      </c>
      <c r="H59" t="s">
        <v>270</v>
      </c>
      <c r="I59" t="s">
        <v>271</v>
      </c>
      <c r="J59" t="s">
        <v>113</v>
      </c>
      <c r="K59" s="8" t="s">
        <v>114</v>
      </c>
      <c r="L59" t="s">
        <v>114</v>
      </c>
      <c r="M59" s="6">
        <v>0</v>
      </c>
      <c r="N59" t="s">
        <v>114</v>
      </c>
      <c r="O59" s="6">
        <v>0</v>
      </c>
      <c r="P59" t="s">
        <v>114</v>
      </c>
      <c r="Q59" s="6">
        <v>0</v>
      </c>
      <c r="R59" s="7">
        <f t="shared" si="0"/>
        <v>0</v>
      </c>
      <c r="S59" t="s">
        <v>142</v>
      </c>
      <c r="T59" t="s">
        <v>114</v>
      </c>
      <c r="U59" t="s">
        <v>142</v>
      </c>
      <c r="W59" t="s">
        <v>114</v>
      </c>
      <c r="X59" t="s">
        <v>642</v>
      </c>
      <c r="Z59" t="s">
        <v>681</v>
      </c>
      <c r="AA59" t="s">
        <v>682</v>
      </c>
      <c r="AB59" s="1" t="s">
        <v>683</v>
      </c>
      <c r="AC59" t="s">
        <v>684</v>
      </c>
      <c r="AD59" t="s">
        <v>682</v>
      </c>
      <c r="AH59" t="s">
        <v>123</v>
      </c>
      <c r="AI59" t="s">
        <v>124</v>
      </c>
      <c r="AJ59" t="s">
        <v>685</v>
      </c>
      <c r="AK59" t="s">
        <v>126</v>
      </c>
      <c r="AL59" t="s">
        <v>127</v>
      </c>
      <c r="AN59" t="s">
        <v>686</v>
      </c>
      <c r="AO59" t="s">
        <v>687</v>
      </c>
      <c r="AP59" t="s">
        <v>688</v>
      </c>
      <c r="AQ59" t="s">
        <v>131</v>
      </c>
      <c r="AR59" t="s">
        <v>132</v>
      </c>
      <c r="AS59" t="s">
        <v>152</v>
      </c>
      <c r="AT59" t="s">
        <v>689</v>
      </c>
      <c r="AV59" t="s">
        <v>690</v>
      </c>
      <c r="AX59" t="s">
        <v>136</v>
      </c>
      <c r="AY59" t="s">
        <v>272</v>
      </c>
      <c r="AZ59" t="s">
        <v>273</v>
      </c>
      <c r="BA59" t="s">
        <v>691</v>
      </c>
      <c r="BC59" t="s">
        <v>140</v>
      </c>
      <c r="BT59" s="7">
        <f t="shared" si="1"/>
        <v>0</v>
      </c>
      <c r="BU59" s="6">
        <f t="shared" si="2"/>
        <v>0</v>
      </c>
      <c r="BV59" s="6">
        <f t="shared" si="3"/>
        <v>0</v>
      </c>
      <c r="BW59" s="6">
        <f t="shared" si="4"/>
        <v>0</v>
      </c>
      <c r="BX59" s="6">
        <f t="shared" si="5"/>
        <v>0</v>
      </c>
    </row>
    <row r="60" spans="1:76" x14ac:dyDescent="0.35">
      <c r="A60" t="s">
        <v>692</v>
      </c>
      <c r="B60" t="s">
        <v>107</v>
      </c>
      <c r="C60" t="s">
        <v>107</v>
      </c>
      <c r="E60" t="s">
        <v>108</v>
      </c>
      <c r="F60" t="s">
        <v>268</v>
      </c>
      <c r="G60" t="s">
        <v>269</v>
      </c>
      <c r="H60" t="s">
        <v>270</v>
      </c>
      <c r="I60" t="s">
        <v>271</v>
      </c>
      <c r="J60" t="s">
        <v>113</v>
      </c>
      <c r="K60" s="8" t="s">
        <v>114</v>
      </c>
      <c r="L60" t="s">
        <v>114</v>
      </c>
      <c r="M60" s="6">
        <v>0</v>
      </c>
      <c r="N60" t="s">
        <v>114</v>
      </c>
      <c r="O60" s="6">
        <v>0</v>
      </c>
      <c r="P60" t="s">
        <v>114</v>
      </c>
      <c r="Q60" s="6">
        <v>0</v>
      </c>
      <c r="R60" s="7">
        <f t="shared" si="0"/>
        <v>0</v>
      </c>
      <c r="S60" t="s">
        <v>142</v>
      </c>
      <c r="T60" t="s">
        <v>114</v>
      </c>
      <c r="U60" t="s">
        <v>142</v>
      </c>
      <c r="W60" t="s">
        <v>114</v>
      </c>
      <c r="X60" t="s">
        <v>642</v>
      </c>
      <c r="Z60" t="s">
        <v>693</v>
      </c>
      <c r="AA60" t="s">
        <v>694</v>
      </c>
      <c r="AB60" s="1" t="s">
        <v>695</v>
      </c>
      <c r="AC60" t="s">
        <v>696</v>
      </c>
      <c r="AD60" t="s">
        <v>694</v>
      </c>
      <c r="AH60" t="s">
        <v>123</v>
      </c>
      <c r="AI60" t="s">
        <v>124</v>
      </c>
      <c r="AJ60" t="s">
        <v>697</v>
      </c>
      <c r="AK60" t="s">
        <v>126</v>
      </c>
      <c r="AL60" t="s">
        <v>127</v>
      </c>
      <c r="AN60" t="s">
        <v>698</v>
      </c>
      <c r="AO60" t="s">
        <v>699</v>
      </c>
      <c r="AP60" t="s">
        <v>700</v>
      </c>
      <c r="AQ60" t="s">
        <v>131</v>
      </c>
      <c r="AR60" t="s">
        <v>132</v>
      </c>
      <c r="AS60" t="s">
        <v>466</v>
      </c>
      <c r="AT60" t="s">
        <v>467</v>
      </c>
      <c r="AV60" t="s">
        <v>701</v>
      </c>
      <c r="AX60" t="s">
        <v>136</v>
      </c>
      <c r="AY60" t="s">
        <v>272</v>
      </c>
      <c r="AZ60" t="s">
        <v>273</v>
      </c>
      <c r="BA60" t="s">
        <v>702</v>
      </c>
      <c r="BC60" t="s">
        <v>140</v>
      </c>
      <c r="BT60" s="7">
        <f t="shared" si="1"/>
        <v>0</v>
      </c>
      <c r="BU60" s="6">
        <f t="shared" si="2"/>
        <v>0</v>
      </c>
      <c r="BV60" s="6">
        <f t="shared" si="3"/>
        <v>0</v>
      </c>
      <c r="BW60" s="6">
        <f t="shared" si="4"/>
        <v>0</v>
      </c>
      <c r="BX60" s="6">
        <f t="shared" si="5"/>
        <v>0</v>
      </c>
    </row>
    <row r="61" spans="1:76" x14ac:dyDescent="0.35">
      <c r="A61" t="s">
        <v>692</v>
      </c>
      <c r="B61" t="s">
        <v>107</v>
      </c>
      <c r="C61" t="s">
        <v>107</v>
      </c>
      <c r="E61" t="s">
        <v>108</v>
      </c>
      <c r="F61" t="s">
        <v>158</v>
      </c>
      <c r="G61" t="s">
        <v>159</v>
      </c>
      <c r="H61" t="s">
        <v>111</v>
      </c>
      <c r="I61" t="s">
        <v>341</v>
      </c>
      <c r="J61" t="s">
        <v>113</v>
      </c>
      <c r="K61" s="8" t="s">
        <v>114</v>
      </c>
      <c r="L61" t="s">
        <v>161</v>
      </c>
      <c r="M61" s="6">
        <v>459</v>
      </c>
      <c r="N61" t="s">
        <v>114</v>
      </c>
      <c r="O61" s="6">
        <v>220.01</v>
      </c>
      <c r="P61" t="s">
        <v>642</v>
      </c>
      <c r="Q61" s="6">
        <v>0</v>
      </c>
      <c r="R61" s="7">
        <f t="shared" si="0"/>
        <v>238.99</v>
      </c>
      <c r="S61" t="s">
        <v>142</v>
      </c>
      <c r="T61" t="s">
        <v>114</v>
      </c>
      <c r="U61" t="s">
        <v>142</v>
      </c>
      <c r="W61" t="s">
        <v>114</v>
      </c>
      <c r="X61" t="s">
        <v>642</v>
      </c>
      <c r="Z61" t="s">
        <v>693</v>
      </c>
      <c r="AA61" t="s">
        <v>694</v>
      </c>
      <c r="AB61" s="1" t="s">
        <v>695</v>
      </c>
      <c r="AC61" t="s">
        <v>696</v>
      </c>
      <c r="AD61" t="s">
        <v>694</v>
      </c>
      <c r="AH61" t="s">
        <v>123</v>
      </c>
      <c r="AI61" t="s">
        <v>124</v>
      </c>
      <c r="AJ61" t="s">
        <v>697</v>
      </c>
      <c r="AK61" t="s">
        <v>126</v>
      </c>
      <c r="AL61" t="s">
        <v>127</v>
      </c>
      <c r="AN61" t="s">
        <v>698</v>
      </c>
      <c r="AO61" t="s">
        <v>699</v>
      </c>
      <c r="AP61" t="s">
        <v>700</v>
      </c>
      <c r="AQ61" t="s">
        <v>131</v>
      </c>
      <c r="AR61" t="s">
        <v>132</v>
      </c>
      <c r="AS61" t="s">
        <v>466</v>
      </c>
      <c r="AT61" t="s">
        <v>467</v>
      </c>
      <c r="AV61" t="s">
        <v>701</v>
      </c>
      <c r="AX61" t="s">
        <v>136</v>
      </c>
      <c r="AY61" t="s">
        <v>177</v>
      </c>
      <c r="AZ61" t="s">
        <v>138</v>
      </c>
      <c r="BA61" t="s">
        <v>702</v>
      </c>
      <c r="BC61" t="s">
        <v>140</v>
      </c>
      <c r="BT61" s="7">
        <f t="shared" si="1"/>
        <v>238.99</v>
      </c>
      <c r="BU61" s="6">
        <f t="shared" si="2"/>
        <v>223.35514018691589</v>
      </c>
      <c r="BV61" s="6">
        <f t="shared" si="3"/>
        <v>15.634859813084113</v>
      </c>
      <c r="BW61" s="6">
        <f t="shared" si="4"/>
        <v>238.99</v>
      </c>
      <c r="BX61" s="6">
        <f t="shared" si="5"/>
        <v>0</v>
      </c>
    </row>
    <row r="62" spans="1:76" x14ac:dyDescent="0.35">
      <c r="A62" t="s">
        <v>703</v>
      </c>
      <c r="B62" t="s">
        <v>107</v>
      </c>
      <c r="C62" t="s">
        <v>107</v>
      </c>
      <c r="E62" t="s">
        <v>108</v>
      </c>
      <c r="F62" t="s">
        <v>158</v>
      </c>
      <c r="G62" t="s">
        <v>159</v>
      </c>
      <c r="H62" t="s">
        <v>111</v>
      </c>
      <c r="I62" t="s">
        <v>341</v>
      </c>
      <c r="J62" t="s">
        <v>113</v>
      </c>
      <c r="K62" s="8" t="s">
        <v>114</v>
      </c>
      <c r="L62" t="s">
        <v>161</v>
      </c>
      <c r="M62" s="6">
        <v>459</v>
      </c>
      <c r="N62" t="s">
        <v>409</v>
      </c>
      <c r="O62" s="6">
        <v>220.01</v>
      </c>
      <c r="P62" t="s">
        <v>410</v>
      </c>
      <c r="Q62" s="6">
        <v>0</v>
      </c>
      <c r="R62" s="7">
        <f t="shared" si="0"/>
        <v>238.99</v>
      </c>
      <c r="S62" t="s">
        <v>180</v>
      </c>
      <c r="T62" t="s">
        <v>114</v>
      </c>
      <c r="U62" t="s">
        <v>180</v>
      </c>
      <c r="W62" t="s">
        <v>114</v>
      </c>
      <c r="X62" t="s">
        <v>410</v>
      </c>
      <c r="Z62" t="s">
        <v>704</v>
      </c>
      <c r="AA62" t="s">
        <v>705</v>
      </c>
      <c r="AB62" s="1" t="s">
        <v>706</v>
      </c>
      <c r="AC62" t="s">
        <v>707</v>
      </c>
      <c r="AD62" t="s">
        <v>705</v>
      </c>
      <c r="AH62" t="s">
        <v>123</v>
      </c>
      <c r="AI62" t="s">
        <v>124</v>
      </c>
      <c r="AJ62" t="s">
        <v>708</v>
      </c>
      <c r="AK62" t="s">
        <v>126</v>
      </c>
      <c r="AL62" t="s">
        <v>127</v>
      </c>
      <c r="AN62" t="s">
        <v>555</v>
      </c>
      <c r="AO62" t="s">
        <v>556</v>
      </c>
      <c r="AP62" t="s">
        <v>557</v>
      </c>
      <c r="AQ62" t="s">
        <v>131</v>
      </c>
      <c r="AR62" t="s">
        <v>132</v>
      </c>
      <c r="AS62" t="s">
        <v>558</v>
      </c>
      <c r="AT62" t="s">
        <v>559</v>
      </c>
      <c r="AV62" t="s">
        <v>389</v>
      </c>
      <c r="AW62" t="s">
        <v>434</v>
      </c>
      <c r="AX62" t="s">
        <v>136</v>
      </c>
      <c r="AY62" t="s">
        <v>177</v>
      </c>
      <c r="AZ62" t="s">
        <v>138</v>
      </c>
      <c r="BA62" t="s">
        <v>709</v>
      </c>
      <c r="BC62" t="s">
        <v>140</v>
      </c>
      <c r="BT62" s="7">
        <f t="shared" si="1"/>
        <v>238.99</v>
      </c>
      <c r="BU62" s="6">
        <f t="shared" si="2"/>
        <v>223.35514018691589</v>
      </c>
      <c r="BV62" s="6">
        <f t="shared" si="3"/>
        <v>15.634859813084113</v>
      </c>
      <c r="BW62" s="6">
        <f t="shared" si="4"/>
        <v>238.99</v>
      </c>
      <c r="BX62" s="6">
        <f t="shared" si="5"/>
        <v>0</v>
      </c>
    </row>
    <row r="63" spans="1:76" x14ac:dyDescent="0.35">
      <c r="A63" t="s">
        <v>703</v>
      </c>
      <c r="B63" t="s">
        <v>107</v>
      </c>
      <c r="C63" t="s">
        <v>107</v>
      </c>
      <c r="E63" t="s">
        <v>108</v>
      </c>
      <c r="F63" t="s">
        <v>268</v>
      </c>
      <c r="G63" t="s">
        <v>269</v>
      </c>
      <c r="H63" t="s">
        <v>270</v>
      </c>
      <c r="I63" t="s">
        <v>271</v>
      </c>
      <c r="J63" t="s">
        <v>113</v>
      </c>
      <c r="K63" s="8" t="s">
        <v>114</v>
      </c>
      <c r="L63" t="s">
        <v>114</v>
      </c>
      <c r="M63" s="6">
        <v>0</v>
      </c>
      <c r="N63" t="s">
        <v>114</v>
      </c>
      <c r="O63" s="6">
        <v>0</v>
      </c>
      <c r="P63" t="s">
        <v>114</v>
      </c>
      <c r="Q63" s="6">
        <v>0</v>
      </c>
      <c r="R63" s="7">
        <f t="shared" si="0"/>
        <v>0</v>
      </c>
      <c r="S63" t="s">
        <v>180</v>
      </c>
      <c r="T63" t="s">
        <v>114</v>
      </c>
      <c r="U63" t="s">
        <v>180</v>
      </c>
      <c r="W63" t="s">
        <v>114</v>
      </c>
      <c r="X63" t="s">
        <v>410</v>
      </c>
      <c r="Z63" t="s">
        <v>704</v>
      </c>
      <c r="AA63" t="s">
        <v>705</v>
      </c>
      <c r="AB63" s="1" t="s">
        <v>706</v>
      </c>
      <c r="AC63" t="s">
        <v>707</v>
      </c>
      <c r="AD63" t="s">
        <v>705</v>
      </c>
      <c r="AH63" t="s">
        <v>123</v>
      </c>
      <c r="AI63" t="s">
        <v>124</v>
      </c>
      <c r="AJ63" t="s">
        <v>708</v>
      </c>
      <c r="AK63" t="s">
        <v>126</v>
      </c>
      <c r="AL63" t="s">
        <v>127</v>
      </c>
      <c r="AN63" t="s">
        <v>555</v>
      </c>
      <c r="AO63" t="s">
        <v>556</v>
      </c>
      <c r="AP63" t="s">
        <v>557</v>
      </c>
      <c r="AQ63" t="s">
        <v>131</v>
      </c>
      <c r="AR63" t="s">
        <v>132</v>
      </c>
      <c r="AS63" t="s">
        <v>558</v>
      </c>
      <c r="AT63" t="s">
        <v>559</v>
      </c>
      <c r="AV63" t="s">
        <v>389</v>
      </c>
      <c r="AW63" t="s">
        <v>434</v>
      </c>
      <c r="AX63" t="s">
        <v>136</v>
      </c>
      <c r="AY63" t="s">
        <v>272</v>
      </c>
      <c r="AZ63" t="s">
        <v>273</v>
      </c>
      <c r="BA63" t="s">
        <v>709</v>
      </c>
      <c r="BC63" t="s">
        <v>140</v>
      </c>
      <c r="BT63" s="7">
        <f t="shared" si="1"/>
        <v>0</v>
      </c>
      <c r="BU63" s="6">
        <f t="shared" si="2"/>
        <v>0</v>
      </c>
      <c r="BV63" s="6">
        <f t="shared" si="3"/>
        <v>0</v>
      </c>
      <c r="BW63" s="6">
        <f t="shared" si="4"/>
        <v>0</v>
      </c>
      <c r="BX63" s="6">
        <f t="shared" si="5"/>
        <v>0</v>
      </c>
    </row>
    <row r="64" spans="1:76" x14ac:dyDescent="0.35">
      <c r="A64" t="s">
        <v>710</v>
      </c>
      <c r="B64" t="s">
        <v>107</v>
      </c>
      <c r="C64" t="s">
        <v>107</v>
      </c>
      <c r="E64" t="s">
        <v>108</v>
      </c>
      <c r="F64" t="s">
        <v>158</v>
      </c>
      <c r="G64" t="s">
        <v>159</v>
      </c>
      <c r="H64" t="s">
        <v>111</v>
      </c>
      <c r="I64" t="s">
        <v>341</v>
      </c>
      <c r="J64" t="s">
        <v>113</v>
      </c>
      <c r="K64" s="8" t="s">
        <v>114</v>
      </c>
      <c r="L64" t="s">
        <v>161</v>
      </c>
      <c r="M64" s="6">
        <v>459</v>
      </c>
      <c r="N64" t="s">
        <v>114</v>
      </c>
      <c r="O64" s="6">
        <v>220.01</v>
      </c>
      <c r="P64" t="s">
        <v>642</v>
      </c>
      <c r="Q64" s="6">
        <v>0</v>
      </c>
      <c r="R64" s="7">
        <f t="shared" si="0"/>
        <v>238.99</v>
      </c>
      <c r="S64" t="s">
        <v>711</v>
      </c>
      <c r="T64" t="s">
        <v>114</v>
      </c>
      <c r="U64" t="s">
        <v>711</v>
      </c>
      <c r="W64" t="s">
        <v>114</v>
      </c>
      <c r="X64" t="s">
        <v>642</v>
      </c>
      <c r="Z64" t="s">
        <v>712</v>
      </c>
      <c r="AA64" t="s">
        <v>713</v>
      </c>
      <c r="AB64" s="1" t="s">
        <v>714</v>
      </c>
      <c r="AC64" t="s">
        <v>715</v>
      </c>
      <c r="AD64" t="s">
        <v>713</v>
      </c>
      <c r="AH64" t="s">
        <v>123</v>
      </c>
      <c r="AI64" t="s">
        <v>124</v>
      </c>
      <c r="AJ64" t="s">
        <v>716</v>
      </c>
      <c r="AK64" t="s">
        <v>126</v>
      </c>
      <c r="AL64" t="s">
        <v>127</v>
      </c>
      <c r="AN64" t="s">
        <v>717</v>
      </c>
      <c r="AO64" t="s">
        <v>718</v>
      </c>
      <c r="AP64" t="s">
        <v>719</v>
      </c>
      <c r="AQ64" t="s">
        <v>131</v>
      </c>
      <c r="AR64" t="s">
        <v>132</v>
      </c>
      <c r="AS64" t="s">
        <v>720</v>
      </c>
      <c r="AT64" t="s">
        <v>721</v>
      </c>
      <c r="AV64" t="s">
        <v>573</v>
      </c>
      <c r="AW64" t="s">
        <v>690</v>
      </c>
      <c r="AX64" t="s">
        <v>136</v>
      </c>
      <c r="AY64" t="s">
        <v>177</v>
      </c>
      <c r="AZ64" t="s">
        <v>138</v>
      </c>
      <c r="BA64" t="s">
        <v>722</v>
      </c>
      <c r="BC64" t="s">
        <v>140</v>
      </c>
      <c r="BT64" s="7">
        <f t="shared" si="1"/>
        <v>238.99</v>
      </c>
      <c r="BU64" s="6">
        <f t="shared" si="2"/>
        <v>223.35514018691589</v>
      </c>
      <c r="BV64" s="6">
        <f t="shared" si="3"/>
        <v>15.634859813084113</v>
      </c>
      <c r="BW64" s="6">
        <f t="shared" si="4"/>
        <v>238.99</v>
      </c>
      <c r="BX64" s="6">
        <f t="shared" si="5"/>
        <v>0</v>
      </c>
    </row>
    <row r="65" spans="1:76" x14ac:dyDescent="0.35">
      <c r="A65" t="s">
        <v>710</v>
      </c>
      <c r="B65" t="s">
        <v>107</v>
      </c>
      <c r="C65" t="s">
        <v>107</v>
      </c>
      <c r="E65" t="s">
        <v>108</v>
      </c>
      <c r="F65" t="s">
        <v>268</v>
      </c>
      <c r="G65" t="s">
        <v>269</v>
      </c>
      <c r="H65" t="s">
        <v>270</v>
      </c>
      <c r="I65" t="s">
        <v>271</v>
      </c>
      <c r="J65" t="s">
        <v>113</v>
      </c>
      <c r="K65" s="8" t="s">
        <v>114</v>
      </c>
      <c r="L65" t="s">
        <v>114</v>
      </c>
      <c r="M65" s="6">
        <v>0</v>
      </c>
      <c r="N65" t="s">
        <v>114</v>
      </c>
      <c r="O65" s="6">
        <v>0</v>
      </c>
      <c r="P65" t="s">
        <v>114</v>
      </c>
      <c r="Q65" s="6">
        <v>0</v>
      </c>
      <c r="R65" s="7">
        <f t="shared" si="0"/>
        <v>0</v>
      </c>
      <c r="S65" t="s">
        <v>711</v>
      </c>
      <c r="T65" t="s">
        <v>114</v>
      </c>
      <c r="U65" t="s">
        <v>711</v>
      </c>
      <c r="W65" t="s">
        <v>114</v>
      </c>
      <c r="X65" t="s">
        <v>642</v>
      </c>
      <c r="Z65" t="s">
        <v>712</v>
      </c>
      <c r="AA65" t="s">
        <v>713</v>
      </c>
      <c r="AB65" s="1" t="s">
        <v>714</v>
      </c>
      <c r="AC65" t="s">
        <v>715</v>
      </c>
      <c r="AD65" t="s">
        <v>713</v>
      </c>
      <c r="AH65" t="s">
        <v>123</v>
      </c>
      <c r="AI65" t="s">
        <v>124</v>
      </c>
      <c r="AJ65" t="s">
        <v>716</v>
      </c>
      <c r="AK65" t="s">
        <v>126</v>
      </c>
      <c r="AL65" t="s">
        <v>127</v>
      </c>
      <c r="AN65" t="s">
        <v>717</v>
      </c>
      <c r="AO65" t="s">
        <v>718</v>
      </c>
      <c r="AP65" t="s">
        <v>719</v>
      </c>
      <c r="AQ65" t="s">
        <v>131</v>
      </c>
      <c r="AR65" t="s">
        <v>132</v>
      </c>
      <c r="AS65" t="s">
        <v>720</v>
      </c>
      <c r="AT65" t="s">
        <v>721</v>
      </c>
      <c r="AV65" t="s">
        <v>573</v>
      </c>
      <c r="AW65" t="s">
        <v>690</v>
      </c>
      <c r="AX65" t="s">
        <v>136</v>
      </c>
      <c r="AY65" t="s">
        <v>272</v>
      </c>
      <c r="AZ65" t="s">
        <v>273</v>
      </c>
      <c r="BA65" t="s">
        <v>722</v>
      </c>
      <c r="BC65" t="s">
        <v>140</v>
      </c>
      <c r="BT65" s="7">
        <f t="shared" si="1"/>
        <v>0</v>
      </c>
      <c r="BU65" s="6">
        <f t="shared" si="2"/>
        <v>0</v>
      </c>
      <c r="BV65" s="6">
        <f t="shared" si="3"/>
        <v>0</v>
      </c>
      <c r="BW65" s="6">
        <f t="shared" si="4"/>
        <v>0</v>
      </c>
      <c r="BX65" s="6">
        <f t="shared" si="5"/>
        <v>0</v>
      </c>
    </row>
    <row r="66" spans="1:76" x14ac:dyDescent="0.35">
      <c r="A66" t="s">
        <v>723</v>
      </c>
      <c r="B66" t="s">
        <v>107</v>
      </c>
      <c r="C66" t="s">
        <v>107</v>
      </c>
      <c r="F66" t="s">
        <v>613</v>
      </c>
      <c r="G66" t="s">
        <v>614</v>
      </c>
      <c r="H66" t="s">
        <v>615</v>
      </c>
      <c r="I66" t="s">
        <v>271</v>
      </c>
      <c r="J66" t="s">
        <v>113</v>
      </c>
      <c r="K66" s="8" t="s">
        <v>114</v>
      </c>
      <c r="L66" t="s">
        <v>114</v>
      </c>
      <c r="M66" s="6">
        <v>0</v>
      </c>
      <c r="N66" t="s">
        <v>114</v>
      </c>
      <c r="O66" s="6">
        <v>0</v>
      </c>
      <c r="P66" t="s">
        <v>114</v>
      </c>
      <c r="Q66" s="6">
        <v>0</v>
      </c>
      <c r="R66" s="7">
        <f t="shared" si="0"/>
        <v>0</v>
      </c>
      <c r="S66" t="s">
        <v>114</v>
      </c>
      <c r="T66" t="s">
        <v>114</v>
      </c>
      <c r="U66" t="s">
        <v>114</v>
      </c>
      <c r="W66" t="s">
        <v>114</v>
      </c>
      <c r="X66" t="s">
        <v>114</v>
      </c>
      <c r="Z66" t="s">
        <v>724</v>
      </c>
      <c r="AA66" t="s">
        <v>724</v>
      </c>
      <c r="AB66" s="1" t="s">
        <v>725</v>
      </c>
      <c r="AC66" t="s">
        <v>726</v>
      </c>
      <c r="AD66" t="s">
        <v>727</v>
      </c>
      <c r="AH66" t="s">
        <v>123</v>
      </c>
      <c r="AI66" t="s">
        <v>124</v>
      </c>
      <c r="AJ66" t="s">
        <v>728</v>
      </c>
      <c r="AK66" t="s">
        <v>126</v>
      </c>
      <c r="AL66" t="s">
        <v>127</v>
      </c>
      <c r="AN66" t="s">
        <v>729</v>
      </c>
      <c r="AO66" t="s">
        <v>730</v>
      </c>
      <c r="AP66" t="s">
        <v>731</v>
      </c>
      <c r="AQ66" t="s">
        <v>131</v>
      </c>
      <c r="AR66" t="s">
        <v>132</v>
      </c>
      <c r="AS66" t="s">
        <v>352</v>
      </c>
      <c r="AT66" t="s">
        <v>353</v>
      </c>
      <c r="AV66" t="s">
        <v>732</v>
      </c>
      <c r="AY66" t="s">
        <v>177</v>
      </c>
      <c r="AZ66" t="s">
        <v>627</v>
      </c>
      <c r="BA66" t="s">
        <v>733</v>
      </c>
      <c r="BC66" t="s">
        <v>140</v>
      </c>
      <c r="BT66" s="7">
        <f t="shared" si="1"/>
        <v>0</v>
      </c>
      <c r="BU66" s="6">
        <f t="shared" si="2"/>
        <v>0</v>
      </c>
      <c r="BV66" s="6">
        <f t="shared" si="3"/>
        <v>0</v>
      </c>
      <c r="BW66" s="6">
        <f t="shared" si="4"/>
        <v>0</v>
      </c>
      <c r="BX66" s="6">
        <f t="shared" si="5"/>
        <v>0</v>
      </c>
    </row>
    <row r="67" spans="1:76" x14ac:dyDescent="0.35">
      <c r="A67" t="s">
        <v>734</v>
      </c>
      <c r="B67" t="s">
        <v>107</v>
      </c>
      <c r="C67" t="s">
        <v>107</v>
      </c>
      <c r="F67" t="s">
        <v>484</v>
      </c>
      <c r="G67" t="s">
        <v>159</v>
      </c>
      <c r="H67" t="s">
        <v>485</v>
      </c>
      <c r="I67" t="s">
        <v>160</v>
      </c>
      <c r="J67" t="s">
        <v>113</v>
      </c>
      <c r="K67" s="8" t="s">
        <v>114</v>
      </c>
      <c r="L67" t="s">
        <v>114</v>
      </c>
      <c r="M67" s="6">
        <v>0</v>
      </c>
      <c r="N67" t="s">
        <v>114</v>
      </c>
      <c r="O67" s="6">
        <v>0</v>
      </c>
      <c r="P67" t="s">
        <v>114</v>
      </c>
      <c r="Q67" s="6">
        <v>0</v>
      </c>
      <c r="R67" s="7">
        <f t="shared" si="0"/>
        <v>0</v>
      </c>
      <c r="S67" t="s">
        <v>114</v>
      </c>
      <c r="T67" t="s">
        <v>114</v>
      </c>
      <c r="U67" t="s">
        <v>114</v>
      </c>
      <c r="W67" t="s">
        <v>114</v>
      </c>
      <c r="X67" t="s">
        <v>114</v>
      </c>
      <c r="Z67" t="s">
        <v>735</v>
      </c>
      <c r="AA67" t="s">
        <v>735</v>
      </c>
      <c r="AB67" s="1" t="s">
        <v>736</v>
      </c>
      <c r="AC67" t="s">
        <v>737</v>
      </c>
      <c r="AD67" t="s">
        <v>738</v>
      </c>
      <c r="AH67" t="s">
        <v>123</v>
      </c>
      <c r="AI67" t="s">
        <v>124</v>
      </c>
      <c r="AJ67" t="s">
        <v>739</v>
      </c>
      <c r="AK67" t="s">
        <v>126</v>
      </c>
      <c r="AL67" t="s">
        <v>127</v>
      </c>
      <c r="AN67" t="s">
        <v>740</v>
      </c>
      <c r="AO67" t="s">
        <v>741</v>
      </c>
      <c r="AP67" t="s">
        <v>742</v>
      </c>
      <c r="AQ67" t="s">
        <v>131</v>
      </c>
      <c r="AR67" t="s">
        <v>132</v>
      </c>
      <c r="AS67" t="s">
        <v>743</v>
      </c>
      <c r="AT67" t="s">
        <v>744</v>
      </c>
      <c r="AV67" t="s">
        <v>745</v>
      </c>
      <c r="AY67" t="s">
        <v>177</v>
      </c>
      <c r="AZ67" t="s">
        <v>356</v>
      </c>
      <c r="BA67" t="s">
        <v>746</v>
      </c>
      <c r="BC67" t="s">
        <v>140</v>
      </c>
      <c r="BT67" s="7">
        <f t="shared" si="1"/>
        <v>0</v>
      </c>
      <c r="BU67" s="6">
        <f t="shared" si="2"/>
        <v>0</v>
      </c>
      <c r="BV67" s="6">
        <f t="shared" si="3"/>
        <v>0</v>
      </c>
      <c r="BW67" s="6">
        <f t="shared" si="4"/>
        <v>0</v>
      </c>
      <c r="BX67" s="6">
        <f t="shared" si="5"/>
        <v>0</v>
      </c>
    </row>
    <row r="68" spans="1:76" x14ac:dyDescent="0.35">
      <c r="A68" t="s">
        <v>747</v>
      </c>
      <c r="B68" t="s">
        <v>107</v>
      </c>
      <c r="C68" t="s">
        <v>107</v>
      </c>
      <c r="F68" t="s">
        <v>533</v>
      </c>
      <c r="G68" t="s">
        <v>534</v>
      </c>
      <c r="H68" t="s">
        <v>535</v>
      </c>
      <c r="I68" t="s">
        <v>536</v>
      </c>
      <c r="J68" t="s">
        <v>113</v>
      </c>
      <c r="K68" s="8" t="s">
        <v>114</v>
      </c>
      <c r="L68" t="s">
        <v>114</v>
      </c>
      <c r="M68" s="6">
        <v>0</v>
      </c>
      <c r="N68" t="s">
        <v>114</v>
      </c>
      <c r="O68" s="6">
        <v>0</v>
      </c>
      <c r="P68" t="s">
        <v>114</v>
      </c>
      <c r="Q68" s="6">
        <v>0</v>
      </c>
      <c r="R68" s="7">
        <f t="shared" si="0"/>
        <v>0</v>
      </c>
      <c r="S68" t="s">
        <v>114</v>
      </c>
      <c r="T68" t="s">
        <v>114</v>
      </c>
      <c r="U68" t="s">
        <v>114</v>
      </c>
      <c r="W68" t="s">
        <v>114</v>
      </c>
      <c r="X68" t="s">
        <v>114</v>
      </c>
      <c r="Z68" t="s">
        <v>748</v>
      </c>
      <c r="AA68" t="s">
        <v>748</v>
      </c>
      <c r="AB68" s="1" t="s">
        <v>749</v>
      </c>
      <c r="AC68" t="s">
        <v>750</v>
      </c>
      <c r="AD68" t="s">
        <v>751</v>
      </c>
      <c r="AH68" t="s">
        <v>123</v>
      </c>
      <c r="AI68" t="s">
        <v>124</v>
      </c>
      <c r="AJ68" t="s">
        <v>752</v>
      </c>
      <c r="AK68" t="s">
        <v>126</v>
      </c>
      <c r="AL68" t="s">
        <v>127</v>
      </c>
      <c r="AN68" t="s">
        <v>753</v>
      </c>
      <c r="AO68" t="s">
        <v>754</v>
      </c>
      <c r="AP68" t="s">
        <v>755</v>
      </c>
      <c r="AQ68" t="s">
        <v>131</v>
      </c>
      <c r="AR68" t="s">
        <v>132</v>
      </c>
      <c r="AS68" t="s">
        <v>756</v>
      </c>
      <c r="AT68" t="s">
        <v>757</v>
      </c>
      <c r="AV68" t="s">
        <v>758</v>
      </c>
      <c r="AW68" t="s">
        <v>759</v>
      </c>
      <c r="AY68" t="s">
        <v>547</v>
      </c>
      <c r="AZ68" t="s">
        <v>364</v>
      </c>
      <c r="BA68" t="s">
        <v>760</v>
      </c>
      <c r="BC68" t="s">
        <v>140</v>
      </c>
      <c r="BT68" s="7">
        <f t="shared" si="1"/>
        <v>0</v>
      </c>
      <c r="BU68" s="6">
        <f t="shared" si="2"/>
        <v>0</v>
      </c>
      <c r="BV68" s="6">
        <f t="shared" si="3"/>
        <v>0</v>
      </c>
      <c r="BW68" s="6">
        <f t="shared" si="4"/>
        <v>0</v>
      </c>
      <c r="BX68" s="6">
        <f t="shared" si="5"/>
        <v>0</v>
      </c>
    </row>
    <row r="69" spans="1:76" x14ac:dyDescent="0.35">
      <c r="A69" t="s">
        <v>761</v>
      </c>
      <c r="B69" t="s">
        <v>107</v>
      </c>
      <c r="C69" t="s">
        <v>107</v>
      </c>
      <c r="E69" t="s">
        <v>108</v>
      </c>
      <c r="F69" t="s">
        <v>158</v>
      </c>
      <c r="G69" t="s">
        <v>159</v>
      </c>
      <c r="H69" t="s">
        <v>111</v>
      </c>
      <c r="I69" t="s">
        <v>341</v>
      </c>
      <c r="J69" t="s">
        <v>113</v>
      </c>
      <c r="K69" s="8" t="s">
        <v>114</v>
      </c>
      <c r="L69" t="s">
        <v>161</v>
      </c>
      <c r="M69" s="6">
        <v>459</v>
      </c>
      <c r="N69" t="s">
        <v>762</v>
      </c>
      <c r="O69" s="6">
        <v>220.01</v>
      </c>
      <c r="P69" t="s">
        <v>763</v>
      </c>
      <c r="Q69" s="6">
        <v>0</v>
      </c>
      <c r="R69" s="7">
        <f t="shared" ref="R69:R132" si="6">M69-O69+Q69</f>
        <v>238.99</v>
      </c>
      <c r="S69" t="s">
        <v>142</v>
      </c>
      <c r="T69" t="s">
        <v>114</v>
      </c>
      <c r="U69" t="s">
        <v>142</v>
      </c>
      <c r="W69" t="s">
        <v>114</v>
      </c>
      <c r="X69" t="s">
        <v>763</v>
      </c>
      <c r="Z69" t="s">
        <v>764</v>
      </c>
      <c r="AA69" t="s">
        <v>765</v>
      </c>
      <c r="AB69" s="1" t="s">
        <v>766</v>
      </c>
      <c r="AC69" t="s">
        <v>767</v>
      </c>
      <c r="AD69" t="s">
        <v>768</v>
      </c>
      <c r="AH69" t="s">
        <v>123</v>
      </c>
      <c r="AI69" t="s">
        <v>124</v>
      </c>
      <c r="AJ69" t="s">
        <v>769</v>
      </c>
      <c r="AK69" t="s">
        <v>126</v>
      </c>
      <c r="AL69" t="s">
        <v>127</v>
      </c>
      <c r="AN69" t="s">
        <v>770</v>
      </c>
      <c r="AO69" t="s">
        <v>771</v>
      </c>
      <c r="AP69" t="s">
        <v>772</v>
      </c>
      <c r="AQ69" t="s">
        <v>131</v>
      </c>
      <c r="AR69" t="s">
        <v>132</v>
      </c>
      <c r="AS69" t="s">
        <v>152</v>
      </c>
      <c r="AT69" t="s">
        <v>609</v>
      </c>
      <c r="AV69" t="s">
        <v>355</v>
      </c>
      <c r="AW69" t="s">
        <v>773</v>
      </c>
      <c r="AX69" t="s">
        <v>655</v>
      </c>
      <c r="AY69" t="s">
        <v>177</v>
      </c>
      <c r="AZ69" t="s">
        <v>138</v>
      </c>
      <c r="BA69" t="s">
        <v>774</v>
      </c>
      <c r="BC69" t="s">
        <v>140</v>
      </c>
      <c r="BT69" s="7">
        <f t="shared" ref="BT69:BT132" si="7">+R69</f>
        <v>238.99</v>
      </c>
      <c r="BU69" s="6">
        <f t="shared" ref="BU69:BU132" si="8">+BT69/1.07</f>
        <v>223.35514018691589</v>
      </c>
      <c r="BV69" s="6">
        <f t="shared" ref="BV69:BV132" si="9">+BU69*7/100</f>
        <v>15.634859813084113</v>
      </c>
      <c r="BW69" s="6">
        <f t="shared" ref="BW69:BW132" si="10">+BU69+BV69</f>
        <v>238.99</v>
      </c>
      <c r="BX69" s="6">
        <f t="shared" ref="BX69:BX132" si="11">+BW69-BT69</f>
        <v>0</v>
      </c>
    </row>
    <row r="70" spans="1:76" x14ac:dyDescent="0.35">
      <c r="A70" t="s">
        <v>775</v>
      </c>
      <c r="B70" t="s">
        <v>107</v>
      </c>
      <c r="C70" t="s">
        <v>107</v>
      </c>
      <c r="F70" t="s">
        <v>158</v>
      </c>
      <c r="G70" t="s">
        <v>159</v>
      </c>
      <c r="H70" t="s">
        <v>111</v>
      </c>
      <c r="I70" t="s">
        <v>341</v>
      </c>
      <c r="J70" t="s">
        <v>113</v>
      </c>
      <c r="K70" s="8" t="s">
        <v>114</v>
      </c>
      <c r="L70" t="s">
        <v>114</v>
      </c>
      <c r="M70" s="6">
        <v>0</v>
      </c>
      <c r="N70" t="s">
        <v>114</v>
      </c>
      <c r="O70" s="6">
        <v>0</v>
      </c>
      <c r="P70" t="s">
        <v>114</v>
      </c>
      <c r="Q70" s="6">
        <v>0</v>
      </c>
      <c r="R70" s="7">
        <f t="shared" si="6"/>
        <v>0</v>
      </c>
      <c r="S70" t="s">
        <v>114</v>
      </c>
      <c r="T70" t="s">
        <v>114</v>
      </c>
      <c r="U70" t="s">
        <v>114</v>
      </c>
      <c r="W70" t="s">
        <v>114</v>
      </c>
      <c r="X70" t="s">
        <v>114</v>
      </c>
      <c r="Z70" t="s">
        <v>776</v>
      </c>
      <c r="AA70" t="s">
        <v>776</v>
      </c>
      <c r="AB70" s="1" t="s">
        <v>777</v>
      </c>
      <c r="AC70" t="s">
        <v>778</v>
      </c>
      <c r="AD70" t="s">
        <v>779</v>
      </c>
      <c r="AH70" t="s">
        <v>123</v>
      </c>
      <c r="AI70" t="s">
        <v>124</v>
      </c>
      <c r="AJ70" t="s">
        <v>780</v>
      </c>
      <c r="AK70" t="s">
        <v>126</v>
      </c>
      <c r="AL70" t="s">
        <v>127</v>
      </c>
      <c r="AN70" t="s">
        <v>781</v>
      </c>
      <c r="AO70" t="s">
        <v>782</v>
      </c>
      <c r="AP70" t="s">
        <v>783</v>
      </c>
      <c r="AQ70" t="s">
        <v>131</v>
      </c>
      <c r="AR70" t="s">
        <v>233</v>
      </c>
      <c r="AS70" t="s">
        <v>234</v>
      </c>
      <c r="AT70" t="s">
        <v>784</v>
      </c>
      <c r="AV70" t="s">
        <v>785</v>
      </c>
      <c r="AY70" t="s">
        <v>177</v>
      </c>
      <c r="AZ70" t="s">
        <v>138</v>
      </c>
      <c r="BA70" t="s">
        <v>786</v>
      </c>
      <c r="BC70" t="s">
        <v>140</v>
      </c>
      <c r="BT70" s="7">
        <f t="shared" si="7"/>
        <v>0</v>
      </c>
      <c r="BU70" s="6">
        <f t="shared" si="8"/>
        <v>0</v>
      </c>
      <c r="BV70" s="6">
        <f t="shared" si="9"/>
        <v>0</v>
      </c>
      <c r="BW70" s="6">
        <f t="shared" si="10"/>
        <v>0</v>
      </c>
      <c r="BX70" s="6">
        <f t="shared" si="11"/>
        <v>0</v>
      </c>
    </row>
    <row r="71" spans="1:76" x14ac:dyDescent="0.35">
      <c r="A71" t="s">
        <v>787</v>
      </c>
      <c r="B71" t="s">
        <v>107</v>
      </c>
      <c r="C71" t="s">
        <v>107</v>
      </c>
      <c r="F71" t="s">
        <v>613</v>
      </c>
      <c r="G71" t="s">
        <v>614</v>
      </c>
      <c r="H71" t="s">
        <v>615</v>
      </c>
      <c r="I71" t="s">
        <v>271</v>
      </c>
      <c r="J71" t="s">
        <v>113</v>
      </c>
      <c r="K71" s="8" t="s">
        <v>114</v>
      </c>
      <c r="L71" t="s">
        <v>114</v>
      </c>
      <c r="M71" s="6">
        <v>0</v>
      </c>
      <c r="N71" t="s">
        <v>114</v>
      </c>
      <c r="O71" s="6">
        <v>0</v>
      </c>
      <c r="P71" t="s">
        <v>114</v>
      </c>
      <c r="Q71" s="6">
        <v>0</v>
      </c>
      <c r="R71" s="7">
        <f t="shared" si="6"/>
        <v>0</v>
      </c>
      <c r="S71" t="s">
        <v>114</v>
      </c>
      <c r="T71" t="s">
        <v>114</v>
      </c>
      <c r="U71" t="s">
        <v>114</v>
      </c>
      <c r="W71" t="s">
        <v>114</v>
      </c>
      <c r="X71" t="s">
        <v>114</v>
      </c>
      <c r="Z71" t="s">
        <v>788</v>
      </c>
      <c r="AA71" t="s">
        <v>788</v>
      </c>
      <c r="AB71" s="1" t="s">
        <v>789</v>
      </c>
      <c r="AC71" t="s">
        <v>790</v>
      </c>
      <c r="AD71" t="s">
        <v>791</v>
      </c>
      <c r="AH71" t="s">
        <v>123</v>
      </c>
      <c r="AI71" t="s">
        <v>124</v>
      </c>
      <c r="AJ71" t="s">
        <v>792</v>
      </c>
      <c r="AK71" t="s">
        <v>126</v>
      </c>
      <c r="AL71" t="s">
        <v>127</v>
      </c>
      <c r="AN71" t="s">
        <v>793</v>
      </c>
      <c r="AO71" t="s">
        <v>794</v>
      </c>
      <c r="AP71" t="s">
        <v>795</v>
      </c>
      <c r="AQ71" t="s">
        <v>131</v>
      </c>
      <c r="AR71" t="s">
        <v>132</v>
      </c>
      <c r="AS71" t="s">
        <v>796</v>
      </c>
      <c r="AT71" t="s">
        <v>797</v>
      </c>
      <c r="AV71" t="s">
        <v>798</v>
      </c>
      <c r="AY71" t="s">
        <v>177</v>
      </c>
      <c r="AZ71" t="s">
        <v>627</v>
      </c>
      <c r="BA71" t="s">
        <v>799</v>
      </c>
      <c r="BC71" t="s">
        <v>140</v>
      </c>
      <c r="BT71" s="7">
        <f t="shared" si="7"/>
        <v>0</v>
      </c>
      <c r="BU71" s="6">
        <f t="shared" si="8"/>
        <v>0</v>
      </c>
      <c r="BV71" s="6">
        <f t="shared" si="9"/>
        <v>0</v>
      </c>
      <c r="BW71" s="6">
        <f t="shared" si="10"/>
        <v>0</v>
      </c>
      <c r="BX71" s="6">
        <f t="shared" si="11"/>
        <v>0</v>
      </c>
    </row>
    <row r="72" spans="1:76" x14ac:dyDescent="0.35">
      <c r="A72" t="s">
        <v>800</v>
      </c>
      <c r="B72" t="s">
        <v>107</v>
      </c>
      <c r="C72" t="s">
        <v>107</v>
      </c>
      <c r="F72" t="s">
        <v>158</v>
      </c>
      <c r="G72" t="s">
        <v>159</v>
      </c>
      <c r="H72" t="s">
        <v>111</v>
      </c>
      <c r="I72" t="s">
        <v>341</v>
      </c>
      <c r="J72" t="s">
        <v>113</v>
      </c>
      <c r="K72" s="8" t="s">
        <v>114</v>
      </c>
      <c r="L72" t="s">
        <v>114</v>
      </c>
      <c r="M72" s="6">
        <v>0</v>
      </c>
      <c r="N72" t="s">
        <v>114</v>
      </c>
      <c r="O72" s="6">
        <v>0</v>
      </c>
      <c r="P72" t="s">
        <v>114</v>
      </c>
      <c r="Q72" s="6">
        <v>0</v>
      </c>
      <c r="R72" s="7">
        <f t="shared" si="6"/>
        <v>0</v>
      </c>
      <c r="S72" t="s">
        <v>114</v>
      </c>
      <c r="T72" t="s">
        <v>114</v>
      </c>
      <c r="U72" t="s">
        <v>114</v>
      </c>
      <c r="W72" t="s">
        <v>114</v>
      </c>
      <c r="X72" t="s">
        <v>114</v>
      </c>
      <c r="Z72" t="s">
        <v>801</v>
      </c>
      <c r="AA72" t="s">
        <v>801</v>
      </c>
      <c r="AB72" s="1" t="s">
        <v>802</v>
      </c>
      <c r="AC72" t="s">
        <v>803</v>
      </c>
      <c r="AD72" t="s">
        <v>804</v>
      </c>
      <c r="AH72" t="s">
        <v>123</v>
      </c>
      <c r="AI72" t="s">
        <v>124</v>
      </c>
      <c r="AJ72" t="s">
        <v>805</v>
      </c>
      <c r="AK72" t="s">
        <v>126</v>
      </c>
      <c r="AL72" t="s">
        <v>127</v>
      </c>
      <c r="AN72" t="s">
        <v>806</v>
      </c>
      <c r="AO72" t="s">
        <v>807</v>
      </c>
      <c r="AP72" t="s">
        <v>808</v>
      </c>
      <c r="AQ72" t="s">
        <v>131</v>
      </c>
      <c r="AR72" t="s">
        <v>132</v>
      </c>
      <c r="AS72" t="s">
        <v>152</v>
      </c>
      <c r="AT72" t="s">
        <v>809</v>
      </c>
      <c r="AV72" t="s">
        <v>810</v>
      </c>
      <c r="AW72" t="s">
        <v>758</v>
      </c>
      <c r="AY72" t="s">
        <v>177</v>
      </c>
      <c r="AZ72" t="s">
        <v>138</v>
      </c>
      <c r="BA72" t="s">
        <v>811</v>
      </c>
      <c r="BC72" t="s">
        <v>140</v>
      </c>
      <c r="BT72" s="7">
        <f t="shared" si="7"/>
        <v>0</v>
      </c>
      <c r="BU72" s="6">
        <f t="shared" si="8"/>
        <v>0</v>
      </c>
      <c r="BV72" s="6">
        <f t="shared" si="9"/>
        <v>0</v>
      </c>
      <c r="BW72" s="6">
        <f t="shared" si="10"/>
        <v>0</v>
      </c>
      <c r="BX72" s="6">
        <f t="shared" si="11"/>
        <v>0</v>
      </c>
    </row>
    <row r="73" spans="1:76" x14ac:dyDescent="0.35">
      <c r="A73" t="s">
        <v>812</v>
      </c>
      <c r="B73" t="s">
        <v>107</v>
      </c>
      <c r="C73" t="s">
        <v>107</v>
      </c>
      <c r="F73" t="s">
        <v>158</v>
      </c>
      <c r="G73" t="s">
        <v>159</v>
      </c>
      <c r="H73" t="s">
        <v>111</v>
      </c>
      <c r="I73" t="s">
        <v>341</v>
      </c>
      <c r="J73" t="s">
        <v>113</v>
      </c>
      <c r="K73" s="8" t="s">
        <v>114</v>
      </c>
      <c r="L73" t="s">
        <v>114</v>
      </c>
      <c r="M73" s="6">
        <v>0</v>
      </c>
      <c r="N73" t="s">
        <v>114</v>
      </c>
      <c r="O73" s="6">
        <v>0</v>
      </c>
      <c r="P73" t="s">
        <v>114</v>
      </c>
      <c r="Q73" s="6">
        <v>0</v>
      </c>
      <c r="R73" s="7">
        <f t="shared" si="6"/>
        <v>0</v>
      </c>
      <c r="S73" t="s">
        <v>114</v>
      </c>
      <c r="T73" t="s">
        <v>114</v>
      </c>
      <c r="U73" t="s">
        <v>114</v>
      </c>
      <c r="W73" t="s">
        <v>114</v>
      </c>
      <c r="X73" t="s">
        <v>114</v>
      </c>
      <c r="Z73" t="s">
        <v>813</v>
      </c>
      <c r="AA73" t="s">
        <v>813</v>
      </c>
      <c r="AB73" s="1" t="s">
        <v>814</v>
      </c>
      <c r="AC73" t="s">
        <v>815</v>
      </c>
      <c r="AD73" t="s">
        <v>816</v>
      </c>
      <c r="AH73" t="s">
        <v>123</v>
      </c>
      <c r="AI73" t="s">
        <v>124</v>
      </c>
      <c r="AJ73" t="s">
        <v>817</v>
      </c>
      <c r="AK73" t="s">
        <v>126</v>
      </c>
      <c r="AL73" t="s">
        <v>127</v>
      </c>
      <c r="AN73" t="s">
        <v>818</v>
      </c>
      <c r="AO73" t="s">
        <v>819</v>
      </c>
      <c r="AP73" t="s">
        <v>820</v>
      </c>
      <c r="AQ73" t="s">
        <v>131</v>
      </c>
      <c r="AR73" t="s">
        <v>132</v>
      </c>
      <c r="AS73" t="s">
        <v>466</v>
      </c>
      <c r="AT73" t="s">
        <v>821</v>
      </c>
      <c r="AV73" t="s">
        <v>798</v>
      </c>
      <c r="AY73" t="s">
        <v>177</v>
      </c>
      <c r="AZ73" t="s">
        <v>138</v>
      </c>
      <c r="BA73" t="s">
        <v>822</v>
      </c>
      <c r="BC73" t="s">
        <v>140</v>
      </c>
      <c r="BT73" s="7">
        <f t="shared" si="7"/>
        <v>0</v>
      </c>
      <c r="BU73" s="6">
        <f t="shared" si="8"/>
        <v>0</v>
      </c>
      <c r="BV73" s="6">
        <f t="shared" si="9"/>
        <v>0</v>
      </c>
      <c r="BW73" s="6">
        <f t="shared" si="10"/>
        <v>0</v>
      </c>
      <c r="BX73" s="6">
        <f t="shared" si="11"/>
        <v>0</v>
      </c>
    </row>
    <row r="74" spans="1:76" x14ac:dyDescent="0.35">
      <c r="A74" t="s">
        <v>823</v>
      </c>
      <c r="B74" t="s">
        <v>107</v>
      </c>
      <c r="C74" t="s">
        <v>107</v>
      </c>
      <c r="F74" t="s">
        <v>613</v>
      </c>
      <c r="G74" t="s">
        <v>614</v>
      </c>
      <c r="H74" t="s">
        <v>615</v>
      </c>
      <c r="I74" t="s">
        <v>271</v>
      </c>
      <c r="J74" t="s">
        <v>113</v>
      </c>
      <c r="K74" s="8" t="s">
        <v>114</v>
      </c>
      <c r="L74" t="s">
        <v>114</v>
      </c>
      <c r="M74" s="6">
        <v>0</v>
      </c>
      <c r="N74" t="s">
        <v>114</v>
      </c>
      <c r="O74" s="6">
        <v>0</v>
      </c>
      <c r="P74" t="s">
        <v>114</v>
      </c>
      <c r="Q74" s="6">
        <v>0</v>
      </c>
      <c r="R74" s="7">
        <f t="shared" si="6"/>
        <v>0</v>
      </c>
      <c r="S74" t="s">
        <v>114</v>
      </c>
      <c r="T74" t="s">
        <v>114</v>
      </c>
      <c r="U74" t="s">
        <v>114</v>
      </c>
      <c r="W74" t="s">
        <v>114</v>
      </c>
      <c r="X74" t="s">
        <v>114</v>
      </c>
      <c r="Z74" t="s">
        <v>824</v>
      </c>
      <c r="AA74" t="s">
        <v>824</v>
      </c>
      <c r="AB74" s="1" t="s">
        <v>825</v>
      </c>
      <c r="AC74" t="s">
        <v>826</v>
      </c>
      <c r="AD74" t="s">
        <v>827</v>
      </c>
      <c r="AH74" t="s">
        <v>123</v>
      </c>
      <c r="AI74" t="s">
        <v>124</v>
      </c>
      <c r="AJ74" t="s">
        <v>828</v>
      </c>
      <c r="AK74" t="s">
        <v>126</v>
      </c>
      <c r="AL74" t="s">
        <v>127</v>
      </c>
      <c r="AN74" t="s">
        <v>829</v>
      </c>
      <c r="AO74" t="s">
        <v>830</v>
      </c>
      <c r="AP74" t="s">
        <v>831</v>
      </c>
      <c r="AQ74" t="s">
        <v>131</v>
      </c>
      <c r="AR74" t="s">
        <v>132</v>
      </c>
      <c r="AS74" t="s">
        <v>152</v>
      </c>
      <c r="AT74" t="s">
        <v>315</v>
      </c>
      <c r="AV74" t="s">
        <v>732</v>
      </c>
      <c r="AY74" t="s">
        <v>177</v>
      </c>
      <c r="AZ74" t="s">
        <v>627</v>
      </c>
      <c r="BA74" t="s">
        <v>832</v>
      </c>
      <c r="BC74" t="s">
        <v>140</v>
      </c>
      <c r="BT74" s="7">
        <f t="shared" si="7"/>
        <v>0</v>
      </c>
      <c r="BU74" s="6">
        <f t="shared" si="8"/>
        <v>0</v>
      </c>
      <c r="BV74" s="6">
        <f t="shared" si="9"/>
        <v>0</v>
      </c>
      <c r="BW74" s="6">
        <f t="shared" si="10"/>
        <v>0</v>
      </c>
      <c r="BX74" s="6">
        <f t="shared" si="11"/>
        <v>0</v>
      </c>
    </row>
    <row r="75" spans="1:76" x14ac:dyDescent="0.35">
      <c r="A75" t="s">
        <v>833</v>
      </c>
      <c r="B75" t="s">
        <v>336</v>
      </c>
      <c r="C75" t="s">
        <v>336</v>
      </c>
      <c r="D75" t="s">
        <v>337</v>
      </c>
      <c r="E75" t="s">
        <v>108</v>
      </c>
      <c r="F75" t="s">
        <v>158</v>
      </c>
      <c r="G75" t="s">
        <v>159</v>
      </c>
      <c r="H75" t="s">
        <v>111</v>
      </c>
      <c r="I75" t="s">
        <v>341</v>
      </c>
      <c r="J75" t="s">
        <v>113</v>
      </c>
      <c r="K75" s="8" t="s">
        <v>113</v>
      </c>
      <c r="L75" t="s">
        <v>161</v>
      </c>
      <c r="M75" s="6">
        <v>459</v>
      </c>
      <c r="N75" t="s">
        <v>114</v>
      </c>
      <c r="O75" s="6">
        <v>220.01</v>
      </c>
      <c r="P75" t="s">
        <v>642</v>
      </c>
      <c r="Q75" s="6">
        <v>0</v>
      </c>
      <c r="R75" s="7">
        <f t="shared" si="6"/>
        <v>238.99</v>
      </c>
      <c r="S75" t="s">
        <v>180</v>
      </c>
      <c r="T75" t="s">
        <v>114</v>
      </c>
      <c r="U75" t="s">
        <v>180</v>
      </c>
      <c r="W75" t="s">
        <v>114</v>
      </c>
      <c r="X75" t="s">
        <v>642</v>
      </c>
      <c r="Y75" t="s">
        <v>642</v>
      </c>
      <c r="Z75" t="s">
        <v>834</v>
      </c>
      <c r="AE75" t="s">
        <v>835</v>
      </c>
      <c r="AF75" t="s">
        <v>346</v>
      </c>
      <c r="AG75" t="s">
        <v>347</v>
      </c>
      <c r="AH75" t="s">
        <v>123</v>
      </c>
      <c r="AI75" t="s">
        <v>124</v>
      </c>
      <c r="AK75" t="s">
        <v>126</v>
      </c>
      <c r="AN75" t="s">
        <v>836</v>
      </c>
      <c r="AO75" t="s">
        <v>837</v>
      </c>
      <c r="AP75" t="s">
        <v>838</v>
      </c>
      <c r="AQ75" t="s">
        <v>131</v>
      </c>
      <c r="AR75" t="s">
        <v>132</v>
      </c>
      <c r="AS75" t="s">
        <v>839</v>
      </c>
      <c r="AT75" t="s">
        <v>840</v>
      </c>
      <c r="AV75" t="s">
        <v>638</v>
      </c>
      <c r="AX75" t="s">
        <v>136</v>
      </c>
      <c r="AY75" t="s">
        <v>177</v>
      </c>
      <c r="AZ75" t="s">
        <v>138</v>
      </c>
      <c r="BA75" t="s">
        <v>841</v>
      </c>
      <c r="BC75" t="s">
        <v>140</v>
      </c>
      <c r="BT75" s="7">
        <f t="shared" si="7"/>
        <v>238.99</v>
      </c>
      <c r="BU75" s="6">
        <f t="shared" si="8"/>
        <v>223.35514018691589</v>
      </c>
      <c r="BV75" s="6">
        <f t="shared" si="9"/>
        <v>15.634859813084113</v>
      </c>
      <c r="BW75" s="6">
        <f t="shared" si="10"/>
        <v>238.99</v>
      </c>
      <c r="BX75" s="6">
        <f t="shared" si="11"/>
        <v>0</v>
      </c>
    </row>
    <row r="76" spans="1:76" x14ac:dyDescent="0.35">
      <c r="A76" t="s">
        <v>842</v>
      </c>
      <c r="B76" t="s">
        <v>107</v>
      </c>
      <c r="C76" t="s">
        <v>107</v>
      </c>
      <c r="E76" t="s">
        <v>108</v>
      </c>
      <c r="F76" t="s">
        <v>158</v>
      </c>
      <c r="G76" t="s">
        <v>159</v>
      </c>
      <c r="H76" t="s">
        <v>111</v>
      </c>
      <c r="I76" t="s">
        <v>341</v>
      </c>
      <c r="J76" t="s">
        <v>113</v>
      </c>
      <c r="K76" s="8" t="s">
        <v>114</v>
      </c>
      <c r="L76" t="s">
        <v>161</v>
      </c>
      <c r="M76" s="6">
        <v>459</v>
      </c>
      <c r="N76" t="s">
        <v>843</v>
      </c>
      <c r="O76" s="6">
        <v>220.01</v>
      </c>
      <c r="P76" t="s">
        <v>844</v>
      </c>
      <c r="Q76" s="6">
        <v>0</v>
      </c>
      <c r="R76" s="7">
        <f t="shared" si="6"/>
        <v>238.99</v>
      </c>
      <c r="S76" t="s">
        <v>142</v>
      </c>
      <c r="T76" t="s">
        <v>114</v>
      </c>
      <c r="U76" t="s">
        <v>142</v>
      </c>
      <c r="W76" t="s">
        <v>114</v>
      </c>
      <c r="X76" t="s">
        <v>844</v>
      </c>
      <c r="Z76" t="s">
        <v>845</v>
      </c>
      <c r="AA76" t="s">
        <v>846</v>
      </c>
      <c r="AB76" s="1" t="s">
        <v>847</v>
      </c>
      <c r="AC76" t="s">
        <v>848</v>
      </c>
      <c r="AD76" t="s">
        <v>849</v>
      </c>
      <c r="AH76" t="s">
        <v>123</v>
      </c>
      <c r="AI76" t="s">
        <v>124</v>
      </c>
      <c r="AJ76" t="s">
        <v>850</v>
      </c>
      <c r="AK76" t="s">
        <v>126</v>
      </c>
      <c r="AL76" t="s">
        <v>127</v>
      </c>
      <c r="AN76" t="s">
        <v>851</v>
      </c>
      <c r="AO76" t="s">
        <v>852</v>
      </c>
      <c r="AP76" t="s">
        <v>853</v>
      </c>
      <c r="AQ76" t="s">
        <v>131</v>
      </c>
      <c r="AR76" t="s">
        <v>132</v>
      </c>
      <c r="AS76" t="s">
        <v>152</v>
      </c>
      <c r="AT76" t="s">
        <v>854</v>
      </c>
      <c r="AV76" t="s">
        <v>154</v>
      </c>
      <c r="AX76" t="s">
        <v>155</v>
      </c>
      <c r="AY76" t="s">
        <v>177</v>
      </c>
      <c r="AZ76" t="s">
        <v>138</v>
      </c>
      <c r="BA76" t="s">
        <v>855</v>
      </c>
      <c r="BC76" t="s">
        <v>140</v>
      </c>
      <c r="BT76" s="7">
        <f t="shared" si="7"/>
        <v>238.99</v>
      </c>
      <c r="BU76" s="6">
        <f t="shared" si="8"/>
        <v>223.35514018691589</v>
      </c>
      <c r="BV76" s="6">
        <f t="shared" si="9"/>
        <v>15.634859813084113</v>
      </c>
      <c r="BW76" s="6">
        <f t="shared" si="10"/>
        <v>238.99</v>
      </c>
      <c r="BX76" s="6">
        <f t="shared" si="11"/>
        <v>0</v>
      </c>
    </row>
    <row r="77" spans="1:76" x14ac:dyDescent="0.35">
      <c r="A77" t="s">
        <v>856</v>
      </c>
      <c r="B77" t="s">
        <v>336</v>
      </c>
      <c r="C77" t="s">
        <v>336</v>
      </c>
      <c r="D77" t="s">
        <v>337</v>
      </c>
      <c r="E77" t="s">
        <v>108</v>
      </c>
      <c r="F77" t="s">
        <v>613</v>
      </c>
      <c r="G77" t="s">
        <v>614</v>
      </c>
      <c r="H77" t="s">
        <v>615</v>
      </c>
      <c r="I77" t="s">
        <v>271</v>
      </c>
      <c r="J77" t="s">
        <v>113</v>
      </c>
      <c r="K77" s="8" t="s">
        <v>113</v>
      </c>
      <c r="L77" t="s">
        <v>857</v>
      </c>
      <c r="M77" s="6">
        <v>218</v>
      </c>
      <c r="N77" t="s">
        <v>114</v>
      </c>
      <c r="O77" s="6">
        <v>109</v>
      </c>
      <c r="P77" t="s">
        <v>858</v>
      </c>
      <c r="Q77" s="6">
        <v>0</v>
      </c>
      <c r="R77" s="7">
        <f t="shared" si="6"/>
        <v>109</v>
      </c>
      <c r="S77" t="s">
        <v>118</v>
      </c>
      <c r="T77" t="s">
        <v>114</v>
      </c>
      <c r="U77" t="s">
        <v>118</v>
      </c>
      <c r="W77" t="s">
        <v>114</v>
      </c>
      <c r="X77" t="s">
        <v>858</v>
      </c>
      <c r="Y77" t="s">
        <v>858</v>
      </c>
      <c r="Z77" t="s">
        <v>859</v>
      </c>
      <c r="AA77" t="s">
        <v>860</v>
      </c>
      <c r="AB77" s="1" t="s">
        <v>861</v>
      </c>
      <c r="AE77" t="s">
        <v>862</v>
      </c>
      <c r="AF77" t="s">
        <v>346</v>
      </c>
      <c r="AG77" t="s">
        <v>347</v>
      </c>
      <c r="AH77" t="s">
        <v>123</v>
      </c>
      <c r="AI77" t="s">
        <v>124</v>
      </c>
      <c r="AJ77" t="s">
        <v>863</v>
      </c>
      <c r="AK77" t="s">
        <v>126</v>
      </c>
      <c r="AL77" t="s">
        <v>127</v>
      </c>
      <c r="AN77" t="s">
        <v>864</v>
      </c>
      <c r="AO77" t="s">
        <v>865</v>
      </c>
      <c r="AP77" t="s">
        <v>866</v>
      </c>
      <c r="AQ77" t="s">
        <v>131</v>
      </c>
      <c r="AR77" t="s">
        <v>132</v>
      </c>
      <c r="AS77" t="s">
        <v>867</v>
      </c>
      <c r="AT77" t="s">
        <v>868</v>
      </c>
      <c r="AV77" t="s">
        <v>355</v>
      </c>
      <c r="AW77" t="s">
        <v>758</v>
      </c>
      <c r="AX77" t="s">
        <v>155</v>
      </c>
      <c r="AY77" t="s">
        <v>177</v>
      </c>
      <c r="AZ77" t="s">
        <v>627</v>
      </c>
      <c r="BA77" t="s">
        <v>869</v>
      </c>
      <c r="BC77" t="s">
        <v>140</v>
      </c>
      <c r="BT77" s="7">
        <f t="shared" si="7"/>
        <v>109</v>
      </c>
      <c r="BU77" s="6">
        <f t="shared" si="8"/>
        <v>101.86915887850466</v>
      </c>
      <c r="BV77" s="6">
        <f t="shared" si="9"/>
        <v>7.130841121495326</v>
      </c>
      <c r="BW77" s="6">
        <f t="shared" si="10"/>
        <v>108.99999999999999</v>
      </c>
      <c r="BX77" s="6">
        <f t="shared" si="11"/>
        <v>0</v>
      </c>
    </row>
    <row r="78" spans="1:76" x14ac:dyDescent="0.35">
      <c r="A78" t="s">
        <v>870</v>
      </c>
      <c r="B78" t="s">
        <v>107</v>
      </c>
      <c r="C78" t="s">
        <v>107</v>
      </c>
      <c r="E78" t="s">
        <v>108</v>
      </c>
      <c r="F78" t="s">
        <v>158</v>
      </c>
      <c r="G78" t="s">
        <v>159</v>
      </c>
      <c r="H78" t="s">
        <v>111</v>
      </c>
      <c r="I78" t="s">
        <v>341</v>
      </c>
      <c r="J78" t="s">
        <v>113</v>
      </c>
      <c r="K78" s="8" t="s">
        <v>114</v>
      </c>
      <c r="L78" t="s">
        <v>161</v>
      </c>
      <c r="M78" s="6">
        <v>459</v>
      </c>
      <c r="N78" t="s">
        <v>114</v>
      </c>
      <c r="O78" s="6">
        <v>220.01</v>
      </c>
      <c r="P78" t="s">
        <v>642</v>
      </c>
      <c r="Q78" s="6">
        <v>0</v>
      </c>
      <c r="R78" s="7">
        <f t="shared" si="6"/>
        <v>238.99</v>
      </c>
      <c r="S78" t="s">
        <v>180</v>
      </c>
      <c r="T78" t="s">
        <v>114</v>
      </c>
      <c r="U78" t="s">
        <v>180</v>
      </c>
      <c r="W78" t="s">
        <v>114</v>
      </c>
      <c r="X78" t="s">
        <v>642</v>
      </c>
      <c r="Z78" t="s">
        <v>871</v>
      </c>
      <c r="AA78" t="s">
        <v>872</v>
      </c>
      <c r="AB78" s="1" t="s">
        <v>873</v>
      </c>
      <c r="AC78" t="s">
        <v>874</v>
      </c>
      <c r="AD78" t="s">
        <v>875</v>
      </c>
      <c r="AH78" t="s">
        <v>123</v>
      </c>
      <c r="AI78" t="s">
        <v>124</v>
      </c>
      <c r="AJ78" t="s">
        <v>876</v>
      </c>
      <c r="AK78" t="s">
        <v>126</v>
      </c>
      <c r="AL78" t="s">
        <v>127</v>
      </c>
      <c r="AN78" t="s">
        <v>877</v>
      </c>
      <c r="AO78" t="s">
        <v>878</v>
      </c>
      <c r="AP78" t="s">
        <v>879</v>
      </c>
      <c r="AQ78" t="s">
        <v>131</v>
      </c>
      <c r="AR78" t="s">
        <v>132</v>
      </c>
      <c r="AS78" t="s">
        <v>880</v>
      </c>
      <c r="AT78" t="s">
        <v>881</v>
      </c>
      <c r="AV78" t="s">
        <v>190</v>
      </c>
      <c r="AX78" t="s">
        <v>655</v>
      </c>
      <c r="AY78" t="s">
        <v>177</v>
      </c>
      <c r="AZ78" t="s">
        <v>138</v>
      </c>
      <c r="BA78" t="s">
        <v>882</v>
      </c>
      <c r="BC78" t="s">
        <v>140</v>
      </c>
      <c r="BT78" s="7">
        <f t="shared" si="7"/>
        <v>238.99</v>
      </c>
      <c r="BU78" s="6">
        <f t="shared" si="8"/>
        <v>223.35514018691589</v>
      </c>
      <c r="BV78" s="6">
        <f t="shared" si="9"/>
        <v>15.634859813084113</v>
      </c>
      <c r="BW78" s="6">
        <f t="shared" si="10"/>
        <v>238.99</v>
      </c>
      <c r="BX78" s="6">
        <f t="shared" si="11"/>
        <v>0</v>
      </c>
    </row>
    <row r="79" spans="1:76" x14ac:dyDescent="0.35">
      <c r="A79" t="s">
        <v>883</v>
      </c>
      <c r="B79" t="s">
        <v>107</v>
      </c>
      <c r="C79" t="s">
        <v>107</v>
      </c>
      <c r="E79" t="s">
        <v>108</v>
      </c>
      <c r="F79" t="s">
        <v>158</v>
      </c>
      <c r="G79" t="s">
        <v>159</v>
      </c>
      <c r="H79" t="s">
        <v>111</v>
      </c>
      <c r="I79" t="s">
        <v>341</v>
      </c>
      <c r="J79" t="s">
        <v>113</v>
      </c>
      <c r="K79" s="8" t="s">
        <v>114</v>
      </c>
      <c r="L79" t="s">
        <v>161</v>
      </c>
      <c r="M79" s="6">
        <v>459</v>
      </c>
      <c r="N79" t="s">
        <v>114</v>
      </c>
      <c r="O79" s="6">
        <v>220.01</v>
      </c>
      <c r="P79" t="s">
        <v>642</v>
      </c>
      <c r="Q79" s="6">
        <v>0</v>
      </c>
      <c r="R79" s="7">
        <f t="shared" si="6"/>
        <v>238.99</v>
      </c>
      <c r="S79" t="s">
        <v>180</v>
      </c>
      <c r="T79" t="s">
        <v>114</v>
      </c>
      <c r="U79" t="s">
        <v>180</v>
      </c>
      <c r="W79" t="s">
        <v>114</v>
      </c>
      <c r="X79" t="s">
        <v>642</v>
      </c>
      <c r="Z79" t="s">
        <v>884</v>
      </c>
      <c r="AA79" t="s">
        <v>885</v>
      </c>
      <c r="AB79" s="1" t="s">
        <v>886</v>
      </c>
      <c r="AC79" t="s">
        <v>887</v>
      </c>
      <c r="AD79" t="s">
        <v>885</v>
      </c>
      <c r="AH79" t="s">
        <v>123</v>
      </c>
      <c r="AI79" t="s">
        <v>124</v>
      </c>
      <c r="AJ79" t="s">
        <v>888</v>
      </c>
      <c r="AK79" t="s">
        <v>126</v>
      </c>
      <c r="AL79" t="s">
        <v>127</v>
      </c>
      <c r="AN79" t="s">
        <v>889</v>
      </c>
      <c r="AO79" t="s">
        <v>890</v>
      </c>
      <c r="AP79" t="s">
        <v>891</v>
      </c>
      <c r="AQ79" t="s">
        <v>131</v>
      </c>
      <c r="AR79" t="s">
        <v>132</v>
      </c>
      <c r="AS79" t="s">
        <v>352</v>
      </c>
      <c r="AT79" t="s">
        <v>374</v>
      </c>
      <c r="AV79" t="s">
        <v>892</v>
      </c>
      <c r="AX79" t="s">
        <v>136</v>
      </c>
      <c r="AY79" t="s">
        <v>177</v>
      </c>
      <c r="AZ79" t="s">
        <v>138</v>
      </c>
      <c r="BA79" t="s">
        <v>893</v>
      </c>
      <c r="BC79" t="s">
        <v>140</v>
      </c>
      <c r="BT79" s="7">
        <f t="shared" si="7"/>
        <v>238.99</v>
      </c>
      <c r="BU79" s="6">
        <f t="shared" si="8"/>
        <v>223.35514018691589</v>
      </c>
      <c r="BV79" s="6">
        <f t="shared" si="9"/>
        <v>15.634859813084113</v>
      </c>
      <c r="BW79" s="6">
        <f t="shared" si="10"/>
        <v>238.99</v>
      </c>
      <c r="BX79" s="6">
        <f t="shared" si="11"/>
        <v>0</v>
      </c>
    </row>
    <row r="80" spans="1:76" x14ac:dyDescent="0.35">
      <c r="A80" t="s">
        <v>894</v>
      </c>
      <c r="B80" t="s">
        <v>107</v>
      </c>
      <c r="C80" t="s">
        <v>107</v>
      </c>
      <c r="E80" t="s">
        <v>108</v>
      </c>
      <c r="F80" t="s">
        <v>499</v>
      </c>
      <c r="G80" t="s">
        <v>500</v>
      </c>
      <c r="H80" t="s">
        <v>501</v>
      </c>
      <c r="I80" t="s">
        <v>341</v>
      </c>
      <c r="J80" t="s">
        <v>113</v>
      </c>
      <c r="K80" s="8" t="s">
        <v>114</v>
      </c>
      <c r="L80" t="s">
        <v>502</v>
      </c>
      <c r="M80" s="6">
        <v>348</v>
      </c>
      <c r="N80" t="s">
        <v>114</v>
      </c>
      <c r="O80" s="6">
        <v>209</v>
      </c>
      <c r="P80" t="s">
        <v>895</v>
      </c>
      <c r="Q80" s="6">
        <v>29</v>
      </c>
      <c r="R80" s="7">
        <f t="shared" si="6"/>
        <v>168</v>
      </c>
      <c r="S80" t="s">
        <v>142</v>
      </c>
      <c r="T80" t="s">
        <v>114</v>
      </c>
      <c r="U80" t="s">
        <v>114</v>
      </c>
      <c r="W80" t="s">
        <v>114</v>
      </c>
      <c r="X80" t="s">
        <v>896</v>
      </c>
      <c r="Z80" t="s">
        <v>897</v>
      </c>
      <c r="AA80" t="s">
        <v>898</v>
      </c>
      <c r="AB80" s="1" t="s">
        <v>899</v>
      </c>
      <c r="AC80" t="s">
        <v>900</v>
      </c>
      <c r="AD80" t="s">
        <v>901</v>
      </c>
      <c r="AH80" t="s">
        <v>123</v>
      </c>
      <c r="AI80" t="s">
        <v>124</v>
      </c>
      <c r="AJ80" t="s">
        <v>902</v>
      </c>
      <c r="AK80" t="s">
        <v>126</v>
      </c>
      <c r="AL80" t="s">
        <v>127</v>
      </c>
      <c r="AN80" t="s">
        <v>903</v>
      </c>
      <c r="AO80" t="s">
        <v>904</v>
      </c>
      <c r="AP80" t="s">
        <v>905</v>
      </c>
      <c r="AQ80" t="s">
        <v>131</v>
      </c>
      <c r="AR80" t="s">
        <v>132</v>
      </c>
      <c r="AS80" t="s">
        <v>720</v>
      </c>
      <c r="AT80" t="s">
        <v>721</v>
      </c>
      <c r="AV80" t="s">
        <v>906</v>
      </c>
      <c r="AW80" t="s">
        <v>495</v>
      </c>
      <c r="AX80" t="s">
        <v>155</v>
      </c>
      <c r="AY80" t="s">
        <v>177</v>
      </c>
      <c r="AZ80" t="s">
        <v>517</v>
      </c>
      <c r="BA80" t="s">
        <v>907</v>
      </c>
      <c r="BC80" t="s">
        <v>140</v>
      </c>
      <c r="BT80" s="7">
        <f t="shared" si="7"/>
        <v>168</v>
      </c>
      <c r="BU80" s="6">
        <f t="shared" si="8"/>
        <v>157.00934579439252</v>
      </c>
      <c r="BV80" s="6">
        <f t="shared" si="9"/>
        <v>10.990654205607475</v>
      </c>
      <c r="BW80" s="6">
        <f t="shared" si="10"/>
        <v>168</v>
      </c>
      <c r="BX80" s="6">
        <f t="shared" si="11"/>
        <v>0</v>
      </c>
    </row>
    <row r="81" spans="1:76" x14ac:dyDescent="0.35">
      <c r="A81" t="s">
        <v>908</v>
      </c>
      <c r="B81" t="s">
        <v>107</v>
      </c>
      <c r="C81" t="s">
        <v>107</v>
      </c>
      <c r="F81" t="s">
        <v>613</v>
      </c>
      <c r="G81" t="s">
        <v>614</v>
      </c>
      <c r="H81" t="s">
        <v>615</v>
      </c>
      <c r="I81" t="s">
        <v>271</v>
      </c>
      <c r="J81" t="s">
        <v>113</v>
      </c>
      <c r="K81" s="8" t="s">
        <v>114</v>
      </c>
      <c r="L81" t="s">
        <v>114</v>
      </c>
      <c r="M81" s="6">
        <v>0</v>
      </c>
      <c r="N81" t="s">
        <v>114</v>
      </c>
      <c r="O81" s="6">
        <v>0</v>
      </c>
      <c r="P81" t="s">
        <v>114</v>
      </c>
      <c r="Q81" s="6">
        <v>0</v>
      </c>
      <c r="R81" s="7">
        <f t="shared" si="6"/>
        <v>0</v>
      </c>
      <c r="S81" t="s">
        <v>114</v>
      </c>
      <c r="T81" t="s">
        <v>114</v>
      </c>
      <c r="U81" t="s">
        <v>114</v>
      </c>
      <c r="W81" t="s">
        <v>114</v>
      </c>
      <c r="X81" t="s">
        <v>114</v>
      </c>
      <c r="Z81" t="s">
        <v>909</v>
      </c>
      <c r="AA81" t="s">
        <v>909</v>
      </c>
      <c r="AB81" s="1" t="s">
        <v>910</v>
      </c>
      <c r="AC81" t="s">
        <v>911</v>
      </c>
      <c r="AD81" t="s">
        <v>912</v>
      </c>
      <c r="AH81" t="s">
        <v>123</v>
      </c>
      <c r="AI81" t="s">
        <v>124</v>
      </c>
      <c r="AJ81" t="s">
        <v>913</v>
      </c>
      <c r="AK81" t="s">
        <v>126</v>
      </c>
      <c r="AL81" t="s">
        <v>127</v>
      </c>
      <c r="AN81" t="s">
        <v>914</v>
      </c>
      <c r="AO81" t="s">
        <v>915</v>
      </c>
      <c r="AP81" t="s">
        <v>916</v>
      </c>
      <c r="AQ81" t="s">
        <v>131</v>
      </c>
      <c r="AR81" t="s">
        <v>132</v>
      </c>
      <c r="AS81" t="s">
        <v>448</v>
      </c>
      <c r="AT81" t="s">
        <v>917</v>
      </c>
      <c r="AV81" t="s">
        <v>918</v>
      </c>
      <c r="AW81" t="s">
        <v>668</v>
      </c>
      <c r="AY81" t="s">
        <v>177</v>
      </c>
      <c r="AZ81" t="s">
        <v>627</v>
      </c>
      <c r="BA81" t="s">
        <v>919</v>
      </c>
      <c r="BC81" t="s">
        <v>140</v>
      </c>
      <c r="BT81" s="7">
        <f t="shared" si="7"/>
        <v>0</v>
      </c>
      <c r="BU81" s="6">
        <f t="shared" si="8"/>
        <v>0</v>
      </c>
      <c r="BV81" s="6">
        <f t="shared" si="9"/>
        <v>0</v>
      </c>
      <c r="BW81" s="6">
        <f t="shared" si="10"/>
        <v>0</v>
      </c>
      <c r="BX81" s="6">
        <f t="shared" si="11"/>
        <v>0</v>
      </c>
    </row>
    <row r="82" spans="1:76" x14ac:dyDescent="0.35">
      <c r="A82" t="s">
        <v>920</v>
      </c>
      <c r="B82" t="s">
        <v>107</v>
      </c>
      <c r="C82" t="s">
        <v>107</v>
      </c>
      <c r="F82" t="s">
        <v>533</v>
      </c>
      <c r="G82" t="s">
        <v>534</v>
      </c>
      <c r="H82" t="s">
        <v>535</v>
      </c>
      <c r="I82" t="s">
        <v>536</v>
      </c>
      <c r="J82" t="s">
        <v>113</v>
      </c>
      <c r="K82" s="8" t="s">
        <v>114</v>
      </c>
      <c r="L82" t="s">
        <v>114</v>
      </c>
      <c r="M82" s="6">
        <v>0</v>
      </c>
      <c r="N82" t="s">
        <v>114</v>
      </c>
      <c r="O82" s="6">
        <v>0</v>
      </c>
      <c r="P82" t="s">
        <v>114</v>
      </c>
      <c r="Q82" s="6">
        <v>0</v>
      </c>
      <c r="R82" s="7">
        <f t="shared" si="6"/>
        <v>0</v>
      </c>
      <c r="S82" t="s">
        <v>114</v>
      </c>
      <c r="T82" t="s">
        <v>114</v>
      </c>
      <c r="U82" t="s">
        <v>114</v>
      </c>
      <c r="W82" t="s">
        <v>114</v>
      </c>
      <c r="X82" t="s">
        <v>114</v>
      </c>
      <c r="Z82" t="s">
        <v>921</v>
      </c>
      <c r="AA82" t="s">
        <v>921</v>
      </c>
      <c r="AB82" s="1" t="s">
        <v>910</v>
      </c>
      <c r="AC82" t="s">
        <v>922</v>
      </c>
      <c r="AD82" t="s">
        <v>923</v>
      </c>
      <c r="AH82" t="s">
        <v>123</v>
      </c>
      <c r="AI82" t="s">
        <v>124</v>
      </c>
      <c r="AJ82" t="s">
        <v>924</v>
      </c>
      <c r="AK82" t="s">
        <v>126</v>
      </c>
      <c r="AL82" t="s">
        <v>127</v>
      </c>
      <c r="AN82" t="s">
        <v>925</v>
      </c>
      <c r="AO82" t="s">
        <v>926</v>
      </c>
      <c r="AP82" t="s">
        <v>927</v>
      </c>
      <c r="AQ82" t="s">
        <v>131</v>
      </c>
      <c r="AR82" t="s">
        <v>132</v>
      </c>
      <c r="AS82" t="s">
        <v>152</v>
      </c>
      <c r="AT82" t="s">
        <v>928</v>
      </c>
      <c r="AV82" t="s">
        <v>798</v>
      </c>
      <c r="AW82" t="s">
        <v>389</v>
      </c>
      <c r="AY82" t="s">
        <v>547</v>
      </c>
      <c r="AZ82" t="s">
        <v>364</v>
      </c>
      <c r="BA82" t="s">
        <v>929</v>
      </c>
      <c r="BC82" t="s">
        <v>140</v>
      </c>
      <c r="BT82" s="7">
        <f t="shared" si="7"/>
        <v>0</v>
      </c>
      <c r="BU82" s="6">
        <f t="shared" si="8"/>
        <v>0</v>
      </c>
      <c r="BV82" s="6">
        <f t="shared" si="9"/>
        <v>0</v>
      </c>
      <c r="BW82" s="6">
        <f t="shared" si="10"/>
        <v>0</v>
      </c>
      <c r="BX82" s="6">
        <f t="shared" si="11"/>
        <v>0</v>
      </c>
    </row>
    <row r="83" spans="1:76" x14ac:dyDescent="0.35">
      <c r="A83" t="s">
        <v>930</v>
      </c>
      <c r="B83" t="s">
        <v>107</v>
      </c>
      <c r="C83" t="s">
        <v>107</v>
      </c>
      <c r="F83" t="s">
        <v>158</v>
      </c>
      <c r="G83" t="s">
        <v>159</v>
      </c>
      <c r="H83" t="s">
        <v>111</v>
      </c>
      <c r="I83" t="s">
        <v>341</v>
      </c>
      <c r="J83" t="s">
        <v>113</v>
      </c>
      <c r="K83" s="8" t="s">
        <v>114</v>
      </c>
      <c r="L83" t="s">
        <v>114</v>
      </c>
      <c r="M83" s="6">
        <v>0</v>
      </c>
      <c r="N83" t="s">
        <v>114</v>
      </c>
      <c r="O83" s="6">
        <v>0</v>
      </c>
      <c r="P83" t="s">
        <v>114</v>
      </c>
      <c r="Q83" s="6">
        <v>0</v>
      </c>
      <c r="R83" s="7">
        <f t="shared" si="6"/>
        <v>0</v>
      </c>
      <c r="S83" t="s">
        <v>114</v>
      </c>
      <c r="T83" t="s">
        <v>114</v>
      </c>
      <c r="U83" t="s">
        <v>114</v>
      </c>
      <c r="W83" t="s">
        <v>114</v>
      </c>
      <c r="X83" t="s">
        <v>114</v>
      </c>
      <c r="Z83" t="s">
        <v>931</v>
      </c>
      <c r="AA83" t="s">
        <v>932</v>
      </c>
      <c r="AB83" s="1" t="s">
        <v>933</v>
      </c>
      <c r="AC83" t="s">
        <v>934</v>
      </c>
      <c r="AD83" t="s">
        <v>935</v>
      </c>
      <c r="AH83" t="s">
        <v>123</v>
      </c>
      <c r="AI83" t="s">
        <v>124</v>
      </c>
      <c r="AJ83" t="s">
        <v>936</v>
      </c>
      <c r="AK83" t="s">
        <v>126</v>
      </c>
      <c r="AL83" t="s">
        <v>127</v>
      </c>
      <c r="AN83" t="s">
        <v>937</v>
      </c>
      <c r="AO83" t="s">
        <v>771</v>
      </c>
      <c r="AP83" t="s">
        <v>938</v>
      </c>
      <c r="AQ83" t="s">
        <v>131</v>
      </c>
      <c r="AR83" t="s">
        <v>132</v>
      </c>
      <c r="AS83" t="s">
        <v>839</v>
      </c>
      <c r="AT83" t="s">
        <v>939</v>
      </c>
      <c r="AV83" t="s">
        <v>940</v>
      </c>
      <c r="AY83" t="s">
        <v>177</v>
      </c>
      <c r="AZ83" t="s">
        <v>138</v>
      </c>
      <c r="BA83" t="s">
        <v>941</v>
      </c>
      <c r="BC83" t="s">
        <v>140</v>
      </c>
      <c r="BT83" s="7">
        <f t="shared" si="7"/>
        <v>0</v>
      </c>
      <c r="BU83" s="6">
        <f t="shared" si="8"/>
        <v>0</v>
      </c>
      <c r="BV83" s="6">
        <f t="shared" si="9"/>
        <v>0</v>
      </c>
      <c r="BW83" s="6">
        <f t="shared" si="10"/>
        <v>0</v>
      </c>
      <c r="BX83" s="6">
        <f t="shared" si="11"/>
        <v>0</v>
      </c>
    </row>
    <row r="84" spans="1:76" x14ac:dyDescent="0.35">
      <c r="A84" t="s">
        <v>942</v>
      </c>
      <c r="B84" t="s">
        <v>107</v>
      </c>
      <c r="C84" t="s">
        <v>107</v>
      </c>
      <c r="F84" t="s">
        <v>613</v>
      </c>
      <c r="G84" t="s">
        <v>614</v>
      </c>
      <c r="H84" t="s">
        <v>615</v>
      </c>
      <c r="I84" t="s">
        <v>271</v>
      </c>
      <c r="J84" t="s">
        <v>113</v>
      </c>
      <c r="K84" s="8" t="s">
        <v>114</v>
      </c>
      <c r="L84" t="s">
        <v>114</v>
      </c>
      <c r="M84" s="6">
        <v>0</v>
      </c>
      <c r="N84" t="s">
        <v>114</v>
      </c>
      <c r="O84" s="6">
        <v>0</v>
      </c>
      <c r="P84" t="s">
        <v>114</v>
      </c>
      <c r="Q84" s="6">
        <v>0</v>
      </c>
      <c r="R84" s="7">
        <f t="shared" si="6"/>
        <v>0</v>
      </c>
      <c r="S84" t="s">
        <v>114</v>
      </c>
      <c r="T84" t="s">
        <v>114</v>
      </c>
      <c r="U84" t="s">
        <v>114</v>
      </c>
      <c r="W84" t="s">
        <v>114</v>
      </c>
      <c r="X84" t="s">
        <v>114</v>
      </c>
      <c r="Z84" t="s">
        <v>943</v>
      </c>
      <c r="AA84" t="s">
        <v>943</v>
      </c>
      <c r="AB84" s="1" t="s">
        <v>944</v>
      </c>
      <c r="AC84" t="s">
        <v>945</v>
      </c>
      <c r="AD84" t="s">
        <v>946</v>
      </c>
      <c r="AH84" t="s">
        <v>123</v>
      </c>
      <c r="AI84" t="s">
        <v>124</v>
      </c>
      <c r="AJ84" t="s">
        <v>947</v>
      </c>
      <c r="AK84" t="s">
        <v>126</v>
      </c>
      <c r="AL84" t="s">
        <v>127</v>
      </c>
      <c r="AN84" t="s">
        <v>948</v>
      </c>
      <c r="AO84" t="s">
        <v>949</v>
      </c>
      <c r="AP84" t="s">
        <v>950</v>
      </c>
      <c r="AQ84" t="s">
        <v>131</v>
      </c>
      <c r="AR84" t="s">
        <v>132</v>
      </c>
      <c r="AS84" t="s">
        <v>152</v>
      </c>
      <c r="AT84" t="s">
        <v>951</v>
      </c>
      <c r="AV84" t="s">
        <v>952</v>
      </c>
      <c r="AY84" t="s">
        <v>177</v>
      </c>
      <c r="AZ84" t="s">
        <v>627</v>
      </c>
      <c r="BA84" t="s">
        <v>953</v>
      </c>
      <c r="BC84" t="s">
        <v>140</v>
      </c>
      <c r="BT84" s="7">
        <f t="shared" si="7"/>
        <v>0</v>
      </c>
      <c r="BU84" s="6">
        <f t="shared" si="8"/>
        <v>0</v>
      </c>
      <c r="BV84" s="6">
        <f t="shared" si="9"/>
        <v>0</v>
      </c>
      <c r="BW84" s="6">
        <f t="shared" si="10"/>
        <v>0</v>
      </c>
      <c r="BX84" s="6">
        <f t="shared" si="11"/>
        <v>0</v>
      </c>
    </row>
    <row r="85" spans="1:76" x14ac:dyDescent="0.35">
      <c r="A85" t="s">
        <v>954</v>
      </c>
      <c r="B85" t="s">
        <v>107</v>
      </c>
      <c r="C85" t="s">
        <v>107</v>
      </c>
      <c r="F85" t="s">
        <v>484</v>
      </c>
      <c r="G85" t="s">
        <v>159</v>
      </c>
      <c r="H85" t="s">
        <v>485</v>
      </c>
      <c r="I85" t="s">
        <v>341</v>
      </c>
      <c r="J85" t="s">
        <v>113</v>
      </c>
      <c r="K85" s="8" t="s">
        <v>114</v>
      </c>
      <c r="L85" t="s">
        <v>114</v>
      </c>
      <c r="M85" s="6">
        <v>0</v>
      </c>
      <c r="N85" t="s">
        <v>114</v>
      </c>
      <c r="O85" s="6">
        <v>0</v>
      </c>
      <c r="P85" t="s">
        <v>114</v>
      </c>
      <c r="Q85" s="6">
        <v>0</v>
      </c>
      <c r="R85" s="7">
        <f t="shared" si="6"/>
        <v>0</v>
      </c>
      <c r="S85" t="s">
        <v>114</v>
      </c>
      <c r="T85" t="s">
        <v>114</v>
      </c>
      <c r="U85" t="s">
        <v>114</v>
      </c>
      <c r="W85" t="s">
        <v>114</v>
      </c>
      <c r="X85" t="s">
        <v>114</v>
      </c>
      <c r="Z85" t="s">
        <v>955</v>
      </c>
      <c r="AA85" t="s">
        <v>955</v>
      </c>
      <c r="AB85" s="1" t="s">
        <v>956</v>
      </c>
      <c r="AC85" t="s">
        <v>957</v>
      </c>
      <c r="AD85" t="s">
        <v>958</v>
      </c>
      <c r="AH85" t="s">
        <v>123</v>
      </c>
      <c r="AI85" t="s">
        <v>124</v>
      </c>
      <c r="AJ85" t="s">
        <v>959</v>
      </c>
      <c r="AK85" t="s">
        <v>126</v>
      </c>
      <c r="AL85" t="s">
        <v>127</v>
      </c>
      <c r="AN85" t="s">
        <v>960</v>
      </c>
      <c r="AO85" t="s">
        <v>961</v>
      </c>
      <c r="AP85" t="s">
        <v>962</v>
      </c>
      <c r="AQ85" t="s">
        <v>131</v>
      </c>
      <c r="AR85" t="s">
        <v>233</v>
      </c>
      <c r="AS85" t="s">
        <v>963</v>
      </c>
      <c r="AT85" t="s">
        <v>964</v>
      </c>
      <c r="AV85" t="s">
        <v>965</v>
      </c>
      <c r="AW85" t="s">
        <v>406</v>
      </c>
      <c r="AY85" t="s">
        <v>177</v>
      </c>
      <c r="AZ85" t="s">
        <v>356</v>
      </c>
      <c r="BA85" t="s">
        <v>966</v>
      </c>
      <c r="BC85" t="s">
        <v>140</v>
      </c>
      <c r="BT85" s="7">
        <f t="shared" si="7"/>
        <v>0</v>
      </c>
      <c r="BU85" s="6">
        <f t="shared" si="8"/>
        <v>0</v>
      </c>
      <c r="BV85" s="6">
        <f t="shared" si="9"/>
        <v>0</v>
      </c>
      <c r="BW85" s="6">
        <f t="shared" si="10"/>
        <v>0</v>
      </c>
      <c r="BX85" s="6">
        <f t="shared" si="11"/>
        <v>0</v>
      </c>
    </row>
    <row r="86" spans="1:76" x14ac:dyDescent="0.35">
      <c r="A86" t="s">
        <v>967</v>
      </c>
      <c r="B86" t="s">
        <v>107</v>
      </c>
      <c r="C86" t="s">
        <v>107</v>
      </c>
      <c r="E86" t="s">
        <v>108</v>
      </c>
      <c r="F86" t="s">
        <v>338</v>
      </c>
      <c r="G86" t="s">
        <v>339</v>
      </c>
      <c r="H86" t="s">
        <v>340</v>
      </c>
      <c r="I86" t="s">
        <v>341</v>
      </c>
      <c r="J86" t="s">
        <v>113</v>
      </c>
      <c r="K86" s="8" t="s">
        <v>114</v>
      </c>
      <c r="L86" t="s">
        <v>114</v>
      </c>
      <c r="M86" s="6">
        <v>0</v>
      </c>
      <c r="N86" t="s">
        <v>114</v>
      </c>
      <c r="O86" s="6">
        <v>0</v>
      </c>
      <c r="P86" t="s">
        <v>114</v>
      </c>
      <c r="Q86" s="6">
        <v>0</v>
      </c>
      <c r="R86" s="7">
        <f t="shared" si="6"/>
        <v>0</v>
      </c>
      <c r="S86" t="s">
        <v>180</v>
      </c>
      <c r="T86" t="s">
        <v>114</v>
      </c>
      <c r="U86" t="s">
        <v>180</v>
      </c>
      <c r="W86" t="s">
        <v>114</v>
      </c>
      <c r="X86" t="s">
        <v>562</v>
      </c>
      <c r="Z86" t="s">
        <v>968</v>
      </c>
      <c r="AA86" t="s">
        <v>969</v>
      </c>
      <c r="AB86" s="1" t="s">
        <v>970</v>
      </c>
      <c r="AC86" t="s">
        <v>971</v>
      </c>
      <c r="AD86" t="s">
        <v>972</v>
      </c>
      <c r="AH86" t="s">
        <v>123</v>
      </c>
      <c r="AI86" t="s">
        <v>124</v>
      </c>
      <c r="AJ86" t="s">
        <v>973</v>
      </c>
      <c r="AK86" t="s">
        <v>126</v>
      </c>
      <c r="AL86" t="s">
        <v>127</v>
      </c>
      <c r="AN86" t="s">
        <v>974</v>
      </c>
      <c r="AO86" t="s">
        <v>975</v>
      </c>
      <c r="AP86" t="s">
        <v>976</v>
      </c>
      <c r="AQ86" t="s">
        <v>131</v>
      </c>
      <c r="AR86" t="s">
        <v>132</v>
      </c>
      <c r="AS86" t="s">
        <v>880</v>
      </c>
      <c r="AT86" t="s">
        <v>881</v>
      </c>
      <c r="AV86" t="s">
        <v>516</v>
      </c>
      <c r="AW86" t="s">
        <v>638</v>
      </c>
      <c r="AX86" t="s">
        <v>317</v>
      </c>
      <c r="AY86" t="s">
        <v>177</v>
      </c>
      <c r="AZ86" t="s">
        <v>356</v>
      </c>
      <c r="BA86" t="s">
        <v>977</v>
      </c>
      <c r="BC86" t="s">
        <v>140</v>
      </c>
      <c r="BT86" s="7">
        <f t="shared" si="7"/>
        <v>0</v>
      </c>
      <c r="BU86" s="6">
        <f t="shared" si="8"/>
        <v>0</v>
      </c>
      <c r="BV86" s="6">
        <f t="shared" si="9"/>
        <v>0</v>
      </c>
      <c r="BW86" s="6">
        <f t="shared" si="10"/>
        <v>0</v>
      </c>
      <c r="BX86" s="6">
        <f t="shared" si="11"/>
        <v>0</v>
      </c>
    </row>
    <row r="87" spans="1:76" x14ac:dyDescent="0.35">
      <c r="A87" t="s">
        <v>967</v>
      </c>
      <c r="B87" t="s">
        <v>107</v>
      </c>
      <c r="C87" t="s">
        <v>107</v>
      </c>
      <c r="E87" t="s">
        <v>108</v>
      </c>
      <c r="F87" t="s">
        <v>358</v>
      </c>
      <c r="G87" t="s">
        <v>359</v>
      </c>
      <c r="H87" t="s">
        <v>360</v>
      </c>
      <c r="I87" t="s">
        <v>341</v>
      </c>
      <c r="J87" t="s">
        <v>113</v>
      </c>
      <c r="K87" s="8" t="s">
        <v>114</v>
      </c>
      <c r="L87" t="s">
        <v>361</v>
      </c>
      <c r="M87" s="6">
        <v>233</v>
      </c>
      <c r="N87" t="s">
        <v>113</v>
      </c>
      <c r="O87" s="6">
        <v>127</v>
      </c>
      <c r="P87" t="s">
        <v>562</v>
      </c>
      <c r="Q87" s="6">
        <v>0</v>
      </c>
      <c r="R87" s="7">
        <f t="shared" si="6"/>
        <v>106</v>
      </c>
      <c r="S87" t="s">
        <v>180</v>
      </c>
      <c r="T87" t="s">
        <v>114</v>
      </c>
      <c r="U87" t="s">
        <v>180</v>
      </c>
      <c r="W87" t="s">
        <v>114</v>
      </c>
      <c r="X87" t="s">
        <v>562</v>
      </c>
      <c r="Z87" t="s">
        <v>968</v>
      </c>
      <c r="AA87" t="s">
        <v>969</v>
      </c>
      <c r="AB87" s="1" t="s">
        <v>970</v>
      </c>
      <c r="AC87" t="s">
        <v>971</v>
      </c>
      <c r="AD87" t="s">
        <v>972</v>
      </c>
      <c r="AH87" t="s">
        <v>123</v>
      </c>
      <c r="AI87" t="s">
        <v>124</v>
      </c>
      <c r="AJ87" t="s">
        <v>973</v>
      </c>
      <c r="AK87" t="s">
        <v>126</v>
      </c>
      <c r="AL87" t="s">
        <v>127</v>
      </c>
      <c r="AN87" t="s">
        <v>974</v>
      </c>
      <c r="AO87" t="s">
        <v>975</v>
      </c>
      <c r="AP87" t="s">
        <v>976</v>
      </c>
      <c r="AQ87" t="s">
        <v>131</v>
      </c>
      <c r="AR87" t="s">
        <v>132</v>
      </c>
      <c r="AS87" t="s">
        <v>880</v>
      </c>
      <c r="AT87" t="s">
        <v>881</v>
      </c>
      <c r="AV87" t="s">
        <v>516</v>
      </c>
      <c r="AW87" t="s">
        <v>638</v>
      </c>
      <c r="AX87" t="s">
        <v>317</v>
      </c>
      <c r="AY87" t="s">
        <v>177</v>
      </c>
      <c r="AZ87" t="s">
        <v>364</v>
      </c>
      <c r="BA87" t="s">
        <v>977</v>
      </c>
      <c r="BC87" t="s">
        <v>140</v>
      </c>
      <c r="BT87" s="7">
        <f t="shared" si="7"/>
        <v>106</v>
      </c>
      <c r="BU87" s="6">
        <f t="shared" si="8"/>
        <v>99.065420560747654</v>
      </c>
      <c r="BV87" s="6">
        <f t="shared" si="9"/>
        <v>6.9345794392523361</v>
      </c>
      <c r="BW87" s="6">
        <f t="shared" si="10"/>
        <v>105.99999999999999</v>
      </c>
      <c r="BX87" s="6">
        <f t="shared" si="11"/>
        <v>0</v>
      </c>
    </row>
    <row r="88" spans="1:76" x14ac:dyDescent="0.35">
      <c r="A88" t="s">
        <v>978</v>
      </c>
      <c r="B88" t="s">
        <v>107</v>
      </c>
      <c r="C88" t="s">
        <v>107</v>
      </c>
      <c r="E88" t="s">
        <v>108</v>
      </c>
      <c r="F88" t="s">
        <v>158</v>
      </c>
      <c r="G88" t="s">
        <v>159</v>
      </c>
      <c r="H88" t="s">
        <v>111</v>
      </c>
      <c r="I88" t="s">
        <v>341</v>
      </c>
      <c r="J88" t="s">
        <v>113</v>
      </c>
      <c r="K88" s="8" t="s">
        <v>114</v>
      </c>
      <c r="L88" t="s">
        <v>161</v>
      </c>
      <c r="M88" s="6">
        <v>459</v>
      </c>
      <c r="N88" t="s">
        <v>979</v>
      </c>
      <c r="O88" s="6">
        <v>220.01</v>
      </c>
      <c r="P88" t="s">
        <v>980</v>
      </c>
      <c r="Q88" s="6">
        <v>0</v>
      </c>
      <c r="R88" s="7">
        <f t="shared" si="6"/>
        <v>238.99</v>
      </c>
      <c r="S88" t="s">
        <v>180</v>
      </c>
      <c r="T88" t="s">
        <v>114</v>
      </c>
      <c r="U88" t="s">
        <v>180</v>
      </c>
      <c r="W88" t="s">
        <v>114</v>
      </c>
      <c r="X88" t="s">
        <v>980</v>
      </c>
      <c r="Z88" t="s">
        <v>981</v>
      </c>
      <c r="AA88" t="s">
        <v>982</v>
      </c>
      <c r="AB88" s="1" t="s">
        <v>983</v>
      </c>
      <c r="AC88" t="s">
        <v>984</v>
      </c>
      <c r="AD88" t="s">
        <v>982</v>
      </c>
      <c r="AH88" t="s">
        <v>123</v>
      </c>
      <c r="AI88" t="s">
        <v>124</v>
      </c>
      <c r="AJ88" t="s">
        <v>985</v>
      </c>
      <c r="AK88" t="s">
        <v>126</v>
      </c>
      <c r="AL88" t="s">
        <v>127</v>
      </c>
      <c r="AN88" t="s">
        <v>986</v>
      </c>
      <c r="AO88" t="s">
        <v>987</v>
      </c>
      <c r="AP88" t="s">
        <v>988</v>
      </c>
      <c r="AQ88" t="s">
        <v>131</v>
      </c>
      <c r="AR88" t="s">
        <v>132</v>
      </c>
      <c r="AS88" t="s">
        <v>989</v>
      </c>
      <c r="AT88" t="s">
        <v>990</v>
      </c>
      <c r="AV88" t="s">
        <v>991</v>
      </c>
      <c r="AX88" t="s">
        <v>136</v>
      </c>
      <c r="AY88" t="s">
        <v>177</v>
      </c>
      <c r="AZ88" t="s">
        <v>138</v>
      </c>
      <c r="BA88" t="s">
        <v>992</v>
      </c>
      <c r="BC88" t="s">
        <v>140</v>
      </c>
      <c r="BT88" s="7">
        <f t="shared" si="7"/>
        <v>238.99</v>
      </c>
      <c r="BU88" s="6">
        <f t="shared" si="8"/>
        <v>223.35514018691589</v>
      </c>
      <c r="BV88" s="6">
        <f t="shared" si="9"/>
        <v>15.634859813084113</v>
      </c>
      <c r="BW88" s="6">
        <f t="shared" si="10"/>
        <v>238.99</v>
      </c>
      <c r="BX88" s="6">
        <f t="shared" si="11"/>
        <v>0</v>
      </c>
    </row>
    <row r="89" spans="1:76" x14ac:dyDescent="0.35">
      <c r="A89" t="s">
        <v>993</v>
      </c>
      <c r="B89" t="s">
        <v>107</v>
      </c>
      <c r="C89" t="s">
        <v>107</v>
      </c>
      <c r="E89" t="s">
        <v>108</v>
      </c>
      <c r="F89" t="s">
        <v>158</v>
      </c>
      <c r="G89" t="s">
        <v>159</v>
      </c>
      <c r="H89" t="s">
        <v>111</v>
      </c>
      <c r="I89" t="s">
        <v>341</v>
      </c>
      <c r="J89" t="s">
        <v>113</v>
      </c>
      <c r="K89" s="8" t="s">
        <v>114</v>
      </c>
      <c r="L89" t="s">
        <v>161</v>
      </c>
      <c r="M89" s="6">
        <v>459</v>
      </c>
      <c r="N89" t="s">
        <v>994</v>
      </c>
      <c r="O89" s="6">
        <v>220.01</v>
      </c>
      <c r="P89" t="s">
        <v>995</v>
      </c>
      <c r="Q89" s="6">
        <v>8</v>
      </c>
      <c r="R89" s="7">
        <f t="shared" si="6"/>
        <v>246.99</v>
      </c>
      <c r="S89" t="s">
        <v>118</v>
      </c>
      <c r="T89" t="s">
        <v>114</v>
      </c>
      <c r="U89" t="s">
        <v>997</v>
      </c>
      <c r="W89" t="s">
        <v>114</v>
      </c>
      <c r="X89" t="s">
        <v>998</v>
      </c>
      <c r="Z89" t="s">
        <v>999</v>
      </c>
      <c r="AA89" t="s">
        <v>1000</v>
      </c>
      <c r="AB89" s="1" t="s">
        <v>1001</v>
      </c>
      <c r="AC89" t="s">
        <v>1002</v>
      </c>
      <c r="AD89" t="s">
        <v>1000</v>
      </c>
      <c r="AH89" t="s">
        <v>123</v>
      </c>
      <c r="AI89" t="s">
        <v>124</v>
      </c>
      <c r="AJ89" t="s">
        <v>1003</v>
      </c>
      <c r="AK89" t="s">
        <v>126</v>
      </c>
      <c r="AL89" t="s">
        <v>127</v>
      </c>
      <c r="AN89" t="s">
        <v>1004</v>
      </c>
      <c r="AO89" t="s">
        <v>1005</v>
      </c>
      <c r="AP89" t="s">
        <v>1006</v>
      </c>
      <c r="AQ89" t="s">
        <v>131</v>
      </c>
      <c r="AR89" t="s">
        <v>132</v>
      </c>
      <c r="AS89" t="s">
        <v>262</v>
      </c>
      <c r="AT89" t="s">
        <v>1007</v>
      </c>
      <c r="AV89" t="s">
        <v>219</v>
      </c>
      <c r="AX89" t="s">
        <v>136</v>
      </c>
      <c r="AY89" t="s">
        <v>177</v>
      </c>
      <c r="AZ89" t="s">
        <v>138</v>
      </c>
      <c r="BA89" t="s">
        <v>1008</v>
      </c>
      <c r="BC89" t="s">
        <v>140</v>
      </c>
      <c r="BT89" s="7">
        <f t="shared" si="7"/>
        <v>246.99</v>
      </c>
      <c r="BU89" s="6">
        <f t="shared" si="8"/>
        <v>230.83177570093457</v>
      </c>
      <c r="BV89" s="6">
        <f t="shared" si="9"/>
        <v>16.15822429906542</v>
      </c>
      <c r="BW89" s="6">
        <f t="shared" si="10"/>
        <v>246.98999999999998</v>
      </c>
      <c r="BX89" s="6">
        <f t="shared" si="11"/>
        <v>0</v>
      </c>
    </row>
    <row r="90" spans="1:76" x14ac:dyDescent="0.35">
      <c r="A90" t="s">
        <v>1009</v>
      </c>
      <c r="B90" t="s">
        <v>107</v>
      </c>
      <c r="C90" t="s">
        <v>107</v>
      </c>
      <c r="E90" t="s">
        <v>108</v>
      </c>
      <c r="F90" t="s">
        <v>158</v>
      </c>
      <c r="G90" t="s">
        <v>159</v>
      </c>
      <c r="H90" t="s">
        <v>111</v>
      </c>
      <c r="I90" t="s">
        <v>341</v>
      </c>
      <c r="J90" t="s">
        <v>113</v>
      </c>
      <c r="K90" s="8" t="s">
        <v>114</v>
      </c>
      <c r="L90" t="s">
        <v>161</v>
      </c>
      <c r="M90" s="6">
        <v>459</v>
      </c>
      <c r="N90" t="s">
        <v>1010</v>
      </c>
      <c r="O90" s="6">
        <v>220.01</v>
      </c>
      <c r="P90" t="s">
        <v>1011</v>
      </c>
      <c r="Q90" s="6">
        <v>0</v>
      </c>
      <c r="R90" s="7">
        <f t="shared" si="6"/>
        <v>238.99</v>
      </c>
      <c r="S90" t="s">
        <v>180</v>
      </c>
      <c r="T90" t="s">
        <v>114</v>
      </c>
      <c r="U90" t="s">
        <v>180</v>
      </c>
      <c r="W90" t="s">
        <v>114</v>
      </c>
      <c r="X90" t="s">
        <v>1011</v>
      </c>
      <c r="Z90" t="s">
        <v>1012</v>
      </c>
      <c r="AA90" t="s">
        <v>1013</v>
      </c>
      <c r="AB90" s="1" t="s">
        <v>1014</v>
      </c>
      <c r="AC90" t="s">
        <v>1015</v>
      </c>
      <c r="AD90" t="s">
        <v>1016</v>
      </c>
      <c r="AH90" t="s">
        <v>123</v>
      </c>
      <c r="AI90" t="s">
        <v>124</v>
      </c>
      <c r="AJ90" t="s">
        <v>1017</v>
      </c>
      <c r="AK90" t="s">
        <v>126</v>
      </c>
      <c r="AL90" t="s">
        <v>127</v>
      </c>
      <c r="AN90" t="s">
        <v>1018</v>
      </c>
      <c r="AO90" t="s">
        <v>1019</v>
      </c>
      <c r="AP90" t="s">
        <v>1020</v>
      </c>
      <c r="AQ90" t="s">
        <v>131</v>
      </c>
      <c r="AR90" t="s">
        <v>132</v>
      </c>
      <c r="AS90" t="s">
        <v>514</v>
      </c>
      <c r="AT90" t="s">
        <v>1021</v>
      </c>
      <c r="AV90" t="s">
        <v>639</v>
      </c>
      <c r="AX90" t="s">
        <v>266</v>
      </c>
      <c r="AY90" t="s">
        <v>177</v>
      </c>
      <c r="AZ90" t="s">
        <v>138</v>
      </c>
      <c r="BA90" t="s">
        <v>1022</v>
      </c>
      <c r="BC90" t="s">
        <v>140</v>
      </c>
      <c r="BT90" s="7">
        <f t="shared" si="7"/>
        <v>238.99</v>
      </c>
      <c r="BU90" s="6">
        <f t="shared" si="8"/>
        <v>223.35514018691589</v>
      </c>
      <c r="BV90" s="6">
        <f t="shared" si="9"/>
        <v>15.634859813084113</v>
      </c>
      <c r="BW90" s="6">
        <f t="shared" si="10"/>
        <v>238.99</v>
      </c>
      <c r="BX90" s="6">
        <f t="shared" si="11"/>
        <v>0</v>
      </c>
    </row>
    <row r="91" spans="1:76" x14ac:dyDescent="0.35">
      <c r="A91" t="s">
        <v>1023</v>
      </c>
      <c r="B91" t="s">
        <v>107</v>
      </c>
      <c r="C91" t="s">
        <v>107</v>
      </c>
      <c r="E91" t="s">
        <v>108</v>
      </c>
      <c r="F91" t="s">
        <v>158</v>
      </c>
      <c r="G91" t="s">
        <v>159</v>
      </c>
      <c r="H91" t="s">
        <v>111</v>
      </c>
      <c r="I91" t="s">
        <v>341</v>
      </c>
      <c r="J91" t="s">
        <v>113</v>
      </c>
      <c r="K91" s="8" t="s">
        <v>114</v>
      </c>
      <c r="L91" t="s">
        <v>161</v>
      </c>
      <c r="M91" s="6">
        <v>459</v>
      </c>
      <c r="N91" t="s">
        <v>114</v>
      </c>
      <c r="O91" s="6">
        <v>220.01</v>
      </c>
      <c r="P91" t="s">
        <v>642</v>
      </c>
      <c r="Q91" s="6">
        <v>0</v>
      </c>
      <c r="R91" s="7">
        <f t="shared" si="6"/>
        <v>238.99</v>
      </c>
      <c r="S91" t="s">
        <v>1024</v>
      </c>
      <c r="T91" t="s">
        <v>114</v>
      </c>
      <c r="U91" t="s">
        <v>1024</v>
      </c>
      <c r="W91" t="s">
        <v>114</v>
      </c>
      <c r="X91" t="s">
        <v>642</v>
      </c>
      <c r="Z91" t="s">
        <v>1025</v>
      </c>
      <c r="AA91" t="s">
        <v>1026</v>
      </c>
      <c r="AB91" s="1" t="s">
        <v>1027</v>
      </c>
      <c r="AC91" t="s">
        <v>1028</v>
      </c>
      <c r="AD91" t="s">
        <v>1026</v>
      </c>
      <c r="AH91" t="s">
        <v>123</v>
      </c>
      <c r="AI91" t="s">
        <v>124</v>
      </c>
      <c r="AJ91" t="s">
        <v>1029</v>
      </c>
      <c r="AK91" t="s">
        <v>126</v>
      </c>
      <c r="AL91" t="s">
        <v>127</v>
      </c>
      <c r="AN91" t="s">
        <v>1030</v>
      </c>
      <c r="AO91" t="s">
        <v>1031</v>
      </c>
      <c r="AP91" t="s">
        <v>1032</v>
      </c>
      <c r="AQ91" t="s">
        <v>131</v>
      </c>
      <c r="AR91" t="s">
        <v>132</v>
      </c>
      <c r="AS91" t="s">
        <v>839</v>
      </c>
      <c r="AT91" t="s">
        <v>1033</v>
      </c>
      <c r="AV91" t="s">
        <v>690</v>
      </c>
      <c r="AX91" t="s">
        <v>136</v>
      </c>
      <c r="AY91" t="s">
        <v>177</v>
      </c>
      <c r="AZ91" t="s">
        <v>138</v>
      </c>
      <c r="BA91" t="s">
        <v>1034</v>
      </c>
      <c r="BC91" t="s">
        <v>140</v>
      </c>
      <c r="BT91" s="7">
        <f t="shared" si="7"/>
        <v>238.99</v>
      </c>
      <c r="BU91" s="6">
        <f t="shared" si="8"/>
        <v>223.35514018691589</v>
      </c>
      <c r="BV91" s="6">
        <f t="shared" si="9"/>
        <v>15.634859813084113</v>
      </c>
      <c r="BW91" s="6">
        <f t="shared" si="10"/>
        <v>238.99</v>
      </c>
      <c r="BX91" s="6">
        <f t="shared" si="11"/>
        <v>0</v>
      </c>
    </row>
    <row r="92" spans="1:76" x14ac:dyDescent="0.35">
      <c r="A92" t="s">
        <v>1035</v>
      </c>
      <c r="B92" t="s">
        <v>107</v>
      </c>
      <c r="C92" t="s">
        <v>107</v>
      </c>
      <c r="E92" t="s">
        <v>108</v>
      </c>
      <c r="F92" t="s">
        <v>158</v>
      </c>
      <c r="G92" t="s">
        <v>159</v>
      </c>
      <c r="H92" t="s">
        <v>111</v>
      </c>
      <c r="I92" t="s">
        <v>341</v>
      </c>
      <c r="J92" t="s">
        <v>113</v>
      </c>
      <c r="K92" s="8" t="s">
        <v>114</v>
      </c>
      <c r="L92" t="s">
        <v>161</v>
      </c>
      <c r="M92" s="6">
        <v>459</v>
      </c>
      <c r="N92" t="s">
        <v>994</v>
      </c>
      <c r="O92" s="6">
        <v>220.01</v>
      </c>
      <c r="P92" t="s">
        <v>995</v>
      </c>
      <c r="Q92" s="6">
        <v>0</v>
      </c>
      <c r="R92" s="7">
        <f t="shared" si="6"/>
        <v>238.99</v>
      </c>
      <c r="S92" t="s">
        <v>142</v>
      </c>
      <c r="T92" t="s">
        <v>114</v>
      </c>
      <c r="U92" t="s">
        <v>142</v>
      </c>
      <c r="W92" t="s">
        <v>114</v>
      </c>
      <c r="X92" t="s">
        <v>995</v>
      </c>
      <c r="Z92" t="s">
        <v>1036</v>
      </c>
      <c r="AA92" t="s">
        <v>1037</v>
      </c>
      <c r="AB92" s="1" t="s">
        <v>1038</v>
      </c>
      <c r="AC92" t="s">
        <v>1039</v>
      </c>
      <c r="AD92" t="s">
        <v>1037</v>
      </c>
      <c r="AH92" t="s">
        <v>123</v>
      </c>
      <c r="AI92" t="s">
        <v>124</v>
      </c>
      <c r="AJ92" t="s">
        <v>1040</v>
      </c>
      <c r="AK92" t="s">
        <v>126</v>
      </c>
      <c r="AL92" t="s">
        <v>127</v>
      </c>
      <c r="AN92" t="s">
        <v>1041</v>
      </c>
      <c r="AO92" t="s">
        <v>1042</v>
      </c>
      <c r="AP92" t="s">
        <v>1043</v>
      </c>
      <c r="AQ92" t="s">
        <v>131</v>
      </c>
      <c r="AR92" t="s">
        <v>132</v>
      </c>
      <c r="AS92" t="s">
        <v>387</v>
      </c>
      <c r="AT92" t="s">
        <v>1044</v>
      </c>
      <c r="AV92" t="s">
        <v>1045</v>
      </c>
      <c r="AW92" t="s">
        <v>626</v>
      </c>
      <c r="AX92" t="s">
        <v>136</v>
      </c>
      <c r="AY92" t="s">
        <v>177</v>
      </c>
      <c r="AZ92" t="s">
        <v>138</v>
      </c>
      <c r="BA92" t="s">
        <v>1046</v>
      </c>
      <c r="BC92" t="s">
        <v>140</v>
      </c>
      <c r="BT92" s="7">
        <f t="shared" si="7"/>
        <v>238.99</v>
      </c>
      <c r="BU92" s="6">
        <f t="shared" si="8"/>
        <v>223.35514018691589</v>
      </c>
      <c r="BV92" s="6">
        <f t="shared" si="9"/>
        <v>15.634859813084113</v>
      </c>
      <c r="BW92" s="6">
        <f t="shared" si="10"/>
        <v>238.99</v>
      </c>
      <c r="BX92" s="6">
        <f t="shared" si="11"/>
        <v>0</v>
      </c>
    </row>
    <row r="93" spans="1:76" x14ac:dyDescent="0.35">
      <c r="A93" t="s">
        <v>1047</v>
      </c>
      <c r="B93" t="s">
        <v>107</v>
      </c>
      <c r="C93" t="s">
        <v>107</v>
      </c>
      <c r="F93" t="s">
        <v>613</v>
      </c>
      <c r="G93" t="s">
        <v>614</v>
      </c>
      <c r="H93" t="s">
        <v>615</v>
      </c>
      <c r="I93" t="s">
        <v>271</v>
      </c>
      <c r="J93" t="s">
        <v>113</v>
      </c>
      <c r="K93" s="8" t="s">
        <v>114</v>
      </c>
      <c r="L93" t="s">
        <v>114</v>
      </c>
      <c r="M93" s="6">
        <v>0</v>
      </c>
      <c r="N93" t="s">
        <v>114</v>
      </c>
      <c r="O93" s="6">
        <v>0</v>
      </c>
      <c r="P93" t="s">
        <v>114</v>
      </c>
      <c r="Q93" s="6">
        <v>0</v>
      </c>
      <c r="R93" s="7">
        <f t="shared" si="6"/>
        <v>0</v>
      </c>
      <c r="S93" t="s">
        <v>114</v>
      </c>
      <c r="T93" t="s">
        <v>114</v>
      </c>
      <c r="U93" t="s">
        <v>114</v>
      </c>
      <c r="W93" t="s">
        <v>114</v>
      </c>
      <c r="X93" t="s">
        <v>114</v>
      </c>
      <c r="Z93" t="s">
        <v>1048</v>
      </c>
      <c r="AA93" t="s">
        <v>1048</v>
      </c>
      <c r="AB93" s="1" t="s">
        <v>1049</v>
      </c>
      <c r="AC93" t="s">
        <v>1050</v>
      </c>
      <c r="AD93" t="s">
        <v>1051</v>
      </c>
      <c r="AH93" t="s">
        <v>123</v>
      </c>
      <c r="AI93" t="s">
        <v>124</v>
      </c>
      <c r="AJ93" t="s">
        <v>1052</v>
      </c>
      <c r="AK93" t="s">
        <v>126</v>
      </c>
      <c r="AL93" t="s">
        <v>127</v>
      </c>
      <c r="AN93" t="s">
        <v>1053</v>
      </c>
      <c r="AO93" t="s">
        <v>1054</v>
      </c>
      <c r="AP93" t="s">
        <v>1055</v>
      </c>
      <c r="AQ93" t="s">
        <v>131</v>
      </c>
      <c r="AR93" t="s">
        <v>132</v>
      </c>
      <c r="AS93" t="s">
        <v>1056</v>
      </c>
      <c r="AT93" t="s">
        <v>1057</v>
      </c>
      <c r="AV93" t="s">
        <v>1058</v>
      </c>
      <c r="AW93" t="s">
        <v>1059</v>
      </c>
      <c r="AY93" t="s">
        <v>177</v>
      </c>
      <c r="AZ93" t="s">
        <v>627</v>
      </c>
      <c r="BA93" t="s">
        <v>1060</v>
      </c>
      <c r="BC93" t="s">
        <v>140</v>
      </c>
      <c r="BT93" s="7">
        <f t="shared" si="7"/>
        <v>0</v>
      </c>
      <c r="BU93" s="6">
        <f t="shared" si="8"/>
        <v>0</v>
      </c>
      <c r="BV93" s="6">
        <f t="shared" si="9"/>
        <v>0</v>
      </c>
      <c r="BW93" s="6">
        <f t="shared" si="10"/>
        <v>0</v>
      </c>
      <c r="BX93" s="6">
        <f t="shared" si="11"/>
        <v>0</v>
      </c>
    </row>
    <row r="94" spans="1:76" x14ac:dyDescent="0.35">
      <c r="A94" t="s">
        <v>1061</v>
      </c>
      <c r="B94" t="s">
        <v>107</v>
      </c>
      <c r="C94" t="s">
        <v>107</v>
      </c>
      <c r="E94" t="s">
        <v>108</v>
      </c>
      <c r="F94" t="s">
        <v>158</v>
      </c>
      <c r="G94" t="s">
        <v>159</v>
      </c>
      <c r="H94" t="s">
        <v>111</v>
      </c>
      <c r="I94" t="s">
        <v>341</v>
      </c>
      <c r="J94" t="s">
        <v>113</v>
      </c>
      <c r="K94" s="8" t="s">
        <v>114</v>
      </c>
      <c r="L94" t="s">
        <v>161</v>
      </c>
      <c r="M94" s="6">
        <v>459</v>
      </c>
      <c r="N94" t="s">
        <v>994</v>
      </c>
      <c r="O94" s="6">
        <v>220.01</v>
      </c>
      <c r="P94" t="s">
        <v>995</v>
      </c>
      <c r="Q94" s="6">
        <v>0</v>
      </c>
      <c r="R94" s="7">
        <f t="shared" si="6"/>
        <v>238.99</v>
      </c>
      <c r="S94" t="s">
        <v>180</v>
      </c>
      <c r="T94" t="s">
        <v>114</v>
      </c>
      <c r="U94" t="s">
        <v>180</v>
      </c>
      <c r="W94" t="s">
        <v>114</v>
      </c>
      <c r="X94" t="s">
        <v>995</v>
      </c>
      <c r="Z94" t="s">
        <v>1062</v>
      </c>
      <c r="AA94" t="s">
        <v>1063</v>
      </c>
      <c r="AB94" s="1" t="s">
        <v>1064</v>
      </c>
      <c r="AC94" t="s">
        <v>1065</v>
      </c>
      <c r="AD94" t="s">
        <v>1063</v>
      </c>
      <c r="AH94" t="s">
        <v>123</v>
      </c>
      <c r="AI94" t="s">
        <v>124</v>
      </c>
      <c r="AJ94" t="s">
        <v>1066</v>
      </c>
      <c r="AK94" t="s">
        <v>126</v>
      </c>
      <c r="AL94" t="s">
        <v>127</v>
      </c>
      <c r="AN94" t="s">
        <v>1067</v>
      </c>
      <c r="AO94" t="s">
        <v>1068</v>
      </c>
      <c r="AP94" t="s">
        <v>1069</v>
      </c>
      <c r="AQ94" t="s">
        <v>131</v>
      </c>
      <c r="AR94" t="s">
        <v>132</v>
      </c>
      <c r="AS94" t="s">
        <v>1070</v>
      </c>
      <c r="AT94" t="s">
        <v>1071</v>
      </c>
      <c r="AV94" t="s">
        <v>1072</v>
      </c>
      <c r="AX94" t="s">
        <v>136</v>
      </c>
      <c r="AY94" t="s">
        <v>177</v>
      </c>
      <c r="AZ94" t="s">
        <v>138</v>
      </c>
      <c r="BA94" t="s">
        <v>1073</v>
      </c>
      <c r="BC94" t="s">
        <v>140</v>
      </c>
      <c r="BT94" s="7">
        <f t="shared" si="7"/>
        <v>238.99</v>
      </c>
      <c r="BU94" s="6">
        <f t="shared" si="8"/>
        <v>223.35514018691589</v>
      </c>
      <c r="BV94" s="6">
        <f t="shared" si="9"/>
        <v>15.634859813084113</v>
      </c>
      <c r="BW94" s="6">
        <f t="shared" si="10"/>
        <v>238.99</v>
      </c>
      <c r="BX94" s="6">
        <f t="shared" si="11"/>
        <v>0</v>
      </c>
    </row>
    <row r="95" spans="1:76" x14ac:dyDescent="0.35">
      <c r="A95" t="s">
        <v>1074</v>
      </c>
      <c r="B95" t="s">
        <v>107</v>
      </c>
      <c r="C95" t="s">
        <v>107</v>
      </c>
      <c r="F95" t="s">
        <v>613</v>
      </c>
      <c r="G95" t="s">
        <v>614</v>
      </c>
      <c r="H95" t="s">
        <v>615</v>
      </c>
      <c r="I95" t="s">
        <v>271</v>
      </c>
      <c r="J95" t="s">
        <v>113</v>
      </c>
      <c r="K95" s="8" t="s">
        <v>114</v>
      </c>
      <c r="L95" t="s">
        <v>114</v>
      </c>
      <c r="M95" s="6">
        <v>0</v>
      </c>
      <c r="N95" t="s">
        <v>114</v>
      </c>
      <c r="O95" s="6">
        <v>0</v>
      </c>
      <c r="P95" t="s">
        <v>114</v>
      </c>
      <c r="Q95" s="6">
        <v>0</v>
      </c>
      <c r="R95" s="7">
        <f t="shared" si="6"/>
        <v>0</v>
      </c>
      <c r="S95" t="s">
        <v>114</v>
      </c>
      <c r="T95" t="s">
        <v>114</v>
      </c>
      <c r="U95" t="s">
        <v>114</v>
      </c>
      <c r="W95" t="s">
        <v>114</v>
      </c>
      <c r="X95" t="s">
        <v>114</v>
      </c>
      <c r="Z95" t="s">
        <v>1075</v>
      </c>
      <c r="AA95" t="s">
        <v>1075</v>
      </c>
      <c r="AB95" s="1" t="s">
        <v>1076</v>
      </c>
      <c r="AC95" t="s">
        <v>1077</v>
      </c>
      <c r="AD95" t="s">
        <v>1078</v>
      </c>
      <c r="AH95" t="s">
        <v>123</v>
      </c>
      <c r="AI95" t="s">
        <v>124</v>
      </c>
      <c r="AJ95" t="s">
        <v>1079</v>
      </c>
      <c r="AK95" t="s">
        <v>126</v>
      </c>
      <c r="AL95" t="s">
        <v>127</v>
      </c>
      <c r="AN95" t="s">
        <v>1080</v>
      </c>
      <c r="AO95" t="s">
        <v>1081</v>
      </c>
      <c r="AP95" t="s">
        <v>1082</v>
      </c>
      <c r="AQ95" t="s">
        <v>131</v>
      </c>
      <c r="AR95" t="s">
        <v>132</v>
      </c>
      <c r="AS95" t="s">
        <v>217</v>
      </c>
      <c r="AT95" t="s">
        <v>1083</v>
      </c>
      <c r="AV95" t="s">
        <v>798</v>
      </c>
      <c r="AY95" t="s">
        <v>177</v>
      </c>
      <c r="AZ95" t="s">
        <v>627</v>
      </c>
      <c r="BA95" t="s">
        <v>1084</v>
      </c>
      <c r="BC95" t="s">
        <v>140</v>
      </c>
      <c r="BT95" s="7">
        <f t="shared" si="7"/>
        <v>0</v>
      </c>
      <c r="BU95" s="6">
        <f t="shared" si="8"/>
        <v>0</v>
      </c>
      <c r="BV95" s="6">
        <f t="shared" si="9"/>
        <v>0</v>
      </c>
      <c r="BW95" s="6">
        <f t="shared" si="10"/>
        <v>0</v>
      </c>
      <c r="BX95" s="6">
        <f t="shared" si="11"/>
        <v>0</v>
      </c>
    </row>
    <row r="96" spans="1:76" x14ac:dyDescent="0.35">
      <c r="A96" t="s">
        <v>1085</v>
      </c>
      <c r="B96" t="s">
        <v>107</v>
      </c>
      <c r="C96" t="s">
        <v>107</v>
      </c>
      <c r="F96" t="s">
        <v>533</v>
      </c>
      <c r="G96" t="s">
        <v>534</v>
      </c>
      <c r="H96" t="s">
        <v>535</v>
      </c>
      <c r="I96" t="s">
        <v>536</v>
      </c>
      <c r="J96" t="s">
        <v>113</v>
      </c>
      <c r="K96" s="8" t="s">
        <v>114</v>
      </c>
      <c r="L96" t="s">
        <v>114</v>
      </c>
      <c r="M96" s="6">
        <v>0</v>
      </c>
      <c r="N96" t="s">
        <v>114</v>
      </c>
      <c r="O96" s="6">
        <v>0</v>
      </c>
      <c r="P96" t="s">
        <v>114</v>
      </c>
      <c r="Q96" s="6">
        <v>0</v>
      </c>
      <c r="R96" s="7">
        <f t="shared" si="6"/>
        <v>0</v>
      </c>
      <c r="S96" t="s">
        <v>114</v>
      </c>
      <c r="T96" t="s">
        <v>114</v>
      </c>
      <c r="U96" t="s">
        <v>114</v>
      </c>
      <c r="W96" t="s">
        <v>114</v>
      </c>
      <c r="X96" t="s">
        <v>114</v>
      </c>
      <c r="Z96" t="s">
        <v>1086</v>
      </c>
      <c r="AA96" t="s">
        <v>1086</v>
      </c>
      <c r="AB96" s="1" t="s">
        <v>1087</v>
      </c>
      <c r="AC96" t="s">
        <v>1088</v>
      </c>
      <c r="AD96" t="s">
        <v>1089</v>
      </c>
      <c r="AH96" t="s">
        <v>123</v>
      </c>
      <c r="AI96" t="s">
        <v>124</v>
      </c>
      <c r="AJ96" t="s">
        <v>1090</v>
      </c>
      <c r="AK96" t="s">
        <v>126</v>
      </c>
      <c r="AL96" t="s">
        <v>127</v>
      </c>
      <c r="AN96" t="s">
        <v>1091</v>
      </c>
      <c r="AO96" t="s">
        <v>1092</v>
      </c>
      <c r="AP96" t="s">
        <v>1093</v>
      </c>
      <c r="AQ96" t="s">
        <v>131</v>
      </c>
      <c r="AR96" t="s">
        <v>132</v>
      </c>
      <c r="AS96" t="s">
        <v>867</v>
      </c>
      <c r="AT96" t="s">
        <v>1094</v>
      </c>
      <c r="AV96" t="s">
        <v>1095</v>
      </c>
      <c r="AW96" t="s">
        <v>965</v>
      </c>
      <c r="AY96" t="s">
        <v>547</v>
      </c>
      <c r="AZ96" t="s">
        <v>364</v>
      </c>
      <c r="BA96" t="s">
        <v>1096</v>
      </c>
      <c r="BC96" t="s">
        <v>140</v>
      </c>
      <c r="BT96" s="7">
        <f t="shared" si="7"/>
        <v>0</v>
      </c>
      <c r="BU96" s="6">
        <f t="shared" si="8"/>
        <v>0</v>
      </c>
      <c r="BV96" s="6">
        <f t="shared" si="9"/>
        <v>0</v>
      </c>
      <c r="BW96" s="6">
        <f t="shared" si="10"/>
        <v>0</v>
      </c>
      <c r="BX96" s="6">
        <f t="shared" si="11"/>
        <v>0</v>
      </c>
    </row>
    <row r="97" spans="1:76" x14ac:dyDescent="0.35">
      <c r="A97" t="s">
        <v>1097</v>
      </c>
      <c r="B97" t="s">
        <v>107</v>
      </c>
      <c r="C97" t="s">
        <v>107</v>
      </c>
      <c r="F97" t="s">
        <v>158</v>
      </c>
      <c r="G97" t="s">
        <v>159</v>
      </c>
      <c r="H97" t="s">
        <v>111</v>
      </c>
      <c r="I97" t="s">
        <v>341</v>
      </c>
      <c r="J97" t="s">
        <v>113</v>
      </c>
      <c r="K97" s="8" t="s">
        <v>114</v>
      </c>
      <c r="L97" t="s">
        <v>114</v>
      </c>
      <c r="M97" s="6">
        <v>0</v>
      </c>
      <c r="N97" t="s">
        <v>114</v>
      </c>
      <c r="O97" s="6">
        <v>0</v>
      </c>
      <c r="P97" t="s">
        <v>114</v>
      </c>
      <c r="Q97" s="6">
        <v>0</v>
      </c>
      <c r="R97" s="7">
        <f t="shared" si="6"/>
        <v>0</v>
      </c>
      <c r="S97" t="s">
        <v>114</v>
      </c>
      <c r="T97" t="s">
        <v>114</v>
      </c>
      <c r="U97" t="s">
        <v>114</v>
      </c>
      <c r="W97" t="s">
        <v>114</v>
      </c>
      <c r="X97" t="s">
        <v>114</v>
      </c>
      <c r="Z97" t="s">
        <v>1098</v>
      </c>
      <c r="AA97" t="s">
        <v>1098</v>
      </c>
      <c r="AB97" s="1" t="s">
        <v>1099</v>
      </c>
      <c r="AC97" t="s">
        <v>1100</v>
      </c>
      <c r="AD97" t="s">
        <v>1101</v>
      </c>
      <c r="AH97" t="s">
        <v>123</v>
      </c>
      <c r="AI97" t="s">
        <v>124</v>
      </c>
      <c r="AJ97" t="s">
        <v>1102</v>
      </c>
      <c r="AK97" t="s">
        <v>126</v>
      </c>
      <c r="AL97" t="s">
        <v>127</v>
      </c>
      <c r="AN97" t="s">
        <v>1103</v>
      </c>
      <c r="AO97" t="s">
        <v>1104</v>
      </c>
      <c r="AP97" t="s">
        <v>1105</v>
      </c>
      <c r="AQ97" t="s">
        <v>131</v>
      </c>
      <c r="AR97" t="s">
        <v>132</v>
      </c>
      <c r="AS97" t="s">
        <v>1056</v>
      </c>
      <c r="AT97" t="s">
        <v>1106</v>
      </c>
      <c r="AV97" t="s">
        <v>191</v>
      </c>
      <c r="AW97" t="s">
        <v>1107</v>
      </c>
      <c r="AY97" t="s">
        <v>177</v>
      </c>
      <c r="AZ97" t="s">
        <v>138</v>
      </c>
      <c r="BA97" t="s">
        <v>1108</v>
      </c>
      <c r="BC97" t="s">
        <v>140</v>
      </c>
      <c r="BT97" s="7">
        <f t="shared" si="7"/>
        <v>0</v>
      </c>
      <c r="BU97" s="6">
        <f t="shared" si="8"/>
        <v>0</v>
      </c>
      <c r="BV97" s="6">
        <f t="shared" si="9"/>
        <v>0</v>
      </c>
      <c r="BW97" s="6">
        <f t="shared" si="10"/>
        <v>0</v>
      </c>
      <c r="BX97" s="6">
        <f t="shared" si="11"/>
        <v>0</v>
      </c>
    </row>
    <row r="98" spans="1:76" x14ac:dyDescent="0.35">
      <c r="A98" t="s">
        <v>1109</v>
      </c>
      <c r="B98" t="s">
        <v>107</v>
      </c>
      <c r="C98" t="s">
        <v>107</v>
      </c>
      <c r="E98" t="s">
        <v>108</v>
      </c>
      <c r="F98" t="s">
        <v>158</v>
      </c>
      <c r="G98" t="s">
        <v>159</v>
      </c>
      <c r="H98" t="s">
        <v>111</v>
      </c>
      <c r="I98" t="s">
        <v>341</v>
      </c>
      <c r="J98" t="s">
        <v>113</v>
      </c>
      <c r="K98" s="8" t="s">
        <v>114</v>
      </c>
      <c r="L98" t="s">
        <v>161</v>
      </c>
      <c r="M98" s="6">
        <v>459</v>
      </c>
      <c r="N98" t="s">
        <v>114</v>
      </c>
      <c r="O98" s="6">
        <v>220</v>
      </c>
      <c r="P98" t="s">
        <v>1111</v>
      </c>
      <c r="Q98" s="6">
        <v>0</v>
      </c>
      <c r="R98" s="7">
        <f t="shared" si="6"/>
        <v>239</v>
      </c>
      <c r="S98" t="s">
        <v>180</v>
      </c>
      <c r="T98" t="s">
        <v>114</v>
      </c>
      <c r="U98" t="s">
        <v>180</v>
      </c>
      <c r="W98" t="s">
        <v>114</v>
      </c>
      <c r="X98" t="s">
        <v>1111</v>
      </c>
      <c r="Z98" t="s">
        <v>1112</v>
      </c>
      <c r="AA98" t="s">
        <v>1113</v>
      </c>
      <c r="AB98" s="1" t="s">
        <v>1114</v>
      </c>
      <c r="AC98" t="s">
        <v>1115</v>
      </c>
      <c r="AD98" t="s">
        <v>1113</v>
      </c>
      <c r="AH98" t="s">
        <v>123</v>
      </c>
      <c r="AI98" t="s">
        <v>124</v>
      </c>
      <c r="AJ98" t="s">
        <v>1116</v>
      </c>
      <c r="AK98" t="s">
        <v>126</v>
      </c>
      <c r="AL98" t="s">
        <v>127</v>
      </c>
      <c r="AN98" t="s">
        <v>1117</v>
      </c>
      <c r="AO98" t="s">
        <v>1118</v>
      </c>
      <c r="AP98" t="s">
        <v>1119</v>
      </c>
      <c r="AQ98" t="s">
        <v>131</v>
      </c>
      <c r="AR98" t="s">
        <v>403</v>
      </c>
      <c r="AS98" t="s">
        <v>1120</v>
      </c>
      <c r="AT98" t="s">
        <v>1121</v>
      </c>
      <c r="AV98" t="s">
        <v>190</v>
      </c>
      <c r="AX98" t="s">
        <v>136</v>
      </c>
      <c r="AY98" t="s">
        <v>177</v>
      </c>
      <c r="AZ98" t="s">
        <v>138</v>
      </c>
      <c r="BA98" t="s">
        <v>1122</v>
      </c>
      <c r="BC98" t="s">
        <v>140</v>
      </c>
      <c r="BT98" s="7">
        <f t="shared" si="7"/>
        <v>239</v>
      </c>
      <c r="BU98" s="6">
        <f t="shared" si="8"/>
        <v>223.36448598130841</v>
      </c>
      <c r="BV98" s="6">
        <f t="shared" si="9"/>
        <v>15.635514018691588</v>
      </c>
      <c r="BW98" s="6">
        <f t="shared" si="10"/>
        <v>239</v>
      </c>
      <c r="BX98" s="6">
        <f t="shared" si="11"/>
        <v>0</v>
      </c>
    </row>
    <row r="99" spans="1:76" x14ac:dyDescent="0.35">
      <c r="A99" t="s">
        <v>1123</v>
      </c>
      <c r="B99" t="s">
        <v>107</v>
      </c>
      <c r="C99" t="s">
        <v>107</v>
      </c>
      <c r="F99" t="s">
        <v>158</v>
      </c>
      <c r="G99" t="s">
        <v>159</v>
      </c>
      <c r="H99" t="s">
        <v>111</v>
      </c>
      <c r="I99" t="s">
        <v>341</v>
      </c>
      <c r="J99" t="s">
        <v>113</v>
      </c>
      <c r="K99" s="8" t="s">
        <v>114</v>
      </c>
      <c r="L99" t="s">
        <v>114</v>
      </c>
      <c r="M99" s="6">
        <v>0</v>
      </c>
      <c r="N99" t="s">
        <v>114</v>
      </c>
      <c r="O99" s="6">
        <v>0</v>
      </c>
      <c r="P99" t="s">
        <v>114</v>
      </c>
      <c r="Q99" s="6">
        <v>0</v>
      </c>
      <c r="R99" s="7">
        <f t="shared" si="6"/>
        <v>0</v>
      </c>
      <c r="S99" t="s">
        <v>114</v>
      </c>
      <c r="T99" t="s">
        <v>114</v>
      </c>
      <c r="U99" t="s">
        <v>114</v>
      </c>
      <c r="W99" t="s">
        <v>114</v>
      </c>
      <c r="X99" t="s">
        <v>114</v>
      </c>
      <c r="Z99" t="s">
        <v>1124</v>
      </c>
      <c r="AA99" t="s">
        <v>1125</v>
      </c>
      <c r="AB99" s="1" t="s">
        <v>1126</v>
      </c>
      <c r="AC99" t="s">
        <v>1127</v>
      </c>
      <c r="AD99" t="s">
        <v>1128</v>
      </c>
      <c r="AH99" t="s">
        <v>123</v>
      </c>
      <c r="AI99" t="s">
        <v>124</v>
      </c>
      <c r="AJ99" t="s">
        <v>1129</v>
      </c>
      <c r="AK99" t="s">
        <v>126</v>
      </c>
      <c r="AL99" t="s">
        <v>127</v>
      </c>
      <c r="AN99" t="s">
        <v>1130</v>
      </c>
      <c r="AO99" t="s">
        <v>1131</v>
      </c>
      <c r="AP99" t="s">
        <v>1132</v>
      </c>
      <c r="AQ99" t="s">
        <v>131</v>
      </c>
      <c r="AR99" t="s">
        <v>132</v>
      </c>
      <c r="AS99" t="s">
        <v>1133</v>
      </c>
      <c r="AT99" t="s">
        <v>1134</v>
      </c>
      <c r="AV99" t="s">
        <v>1135</v>
      </c>
      <c r="AY99" t="s">
        <v>177</v>
      </c>
      <c r="AZ99" t="s">
        <v>138</v>
      </c>
      <c r="BA99" t="s">
        <v>1136</v>
      </c>
      <c r="BC99" t="s">
        <v>140</v>
      </c>
      <c r="BT99" s="7">
        <f t="shared" si="7"/>
        <v>0</v>
      </c>
      <c r="BU99" s="6">
        <f t="shared" si="8"/>
        <v>0</v>
      </c>
      <c r="BV99" s="6">
        <f t="shared" si="9"/>
        <v>0</v>
      </c>
      <c r="BW99" s="6">
        <f t="shared" si="10"/>
        <v>0</v>
      </c>
      <c r="BX99" s="6">
        <f t="shared" si="11"/>
        <v>0</v>
      </c>
    </row>
    <row r="100" spans="1:76" x14ac:dyDescent="0.35">
      <c r="A100" t="s">
        <v>1137</v>
      </c>
      <c r="B100" t="s">
        <v>107</v>
      </c>
      <c r="C100" t="s">
        <v>107</v>
      </c>
      <c r="F100" t="s">
        <v>613</v>
      </c>
      <c r="G100" t="s">
        <v>614</v>
      </c>
      <c r="H100" t="s">
        <v>615</v>
      </c>
      <c r="I100" t="s">
        <v>271</v>
      </c>
      <c r="J100" t="s">
        <v>113</v>
      </c>
      <c r="K100" s="8" t="s">
        <v>114</v>
      </c>
      <c r="L100" t="s">
        <v>114</v>
      </c>
      <c r="M100" s="6">
        <v>0</v>
      </c>
      <c r="N100" t="s">
        <v>114</v>
      </c>
      <c r="O100" s="6">
        <v>0</v>
      </c>
      <c r="P100" t="s">
        <v>114</v>
      </c>
      <c r="Q100" s="6">
        <v>0</v>
      </c>
      <c r="R100" s="7">
        <f t="shared" si="6"/>
        <v>0</v>
      </c>
      <c r="S100" t="s">
        <v>114</v>
      </c>
      <c r="T100" t="s">
        <v>114</v>
      </c>
      <c r="U100" t="s">
        <v>114</v>
      </c>
      <c r="W100" t="s">
        <v>114</v>
      </c>
      <c r="X100" t="s">
        <v>114</v>
      </c>
      <c r="Z100" t="s">
        <v>1138</v>
      </c>
      <c r="AA100" t="s">
        <v>1138</v>
      </c>
      <c r="AB100" s="1" t="s">
        <v>1139</v>
      </c>
      <c r="AC100" t="s">
        <v>1140</v>
      </c>
      <c r="AD100" t="s">
        <v>1141</v>
      </c>
      <c r="AH100" t="s">
        <v>123</v>
      </c>
      <c r="AI100" t="s">
        <v>124</v>
      </c>
      <c r="AJ100" t="s">
        <v>1142</v>
      </c>
      <c r="AK100" t="s">
        <v>126</v>
      </c>
      <c r="AL100" t="s">
        <v>127</v>
      </c>
      <c r="AN100" t="s">
        <v>1143</v>
      </c>
      <c r="AO100" t="s">
        <v>1144</v>
      </c>
      <c r="AP100" t="s">
        <v>1145</v>
      </c>
      <c r="AQ100" t="s">
        <v>131</v>
      </c>
      <c r="AR100" t="s">
        <v>132</v>
      </c>
      <c r="AS100" t="s">
        <v>1146</v>
      </c>
      <c r="AT100" t="s">
        <v>1147</v>
      </c>
      <c r="AV100" t="s">
        <v>1148</v>
      </c>
      <c r="AY100" t="s">
        <v>177</v>
      </c>
      <c r="AZ100" t="s">
        <v>627</v>
      </c>
      <c r="BA100" t="s">
        <v>1149</v>
      </c>
      <c r="BC100" t="s">
        <v>140</v>
      </c>
      <c r="BT100" s="7">
        <f t="shared" si="7"/>
        <v>0</v>
      </c>
      <c r="BU100" s="6">
        <f t="shared" si="8"/>
        <v>0</v>
      </c>
      <c r="BV100" s="6">
        <f t="shared" si="9"/>
        <v>0</v>
      </c>
      <c r="BW100" s="6">
        <f t="shared" si="10"/>
        <v>0</v>
      </c>
      <c r="BX100" s="6">
        <f t="shared" si="11"/>
        <v>0</v>
      </c>
    </row>
    <row r="101" spans="1:76" x14ac:dyDescent="0.35">
      <c r="A101" t="s">
        <v>1150</v>
      </c>
      <c r="B101" t="s">
        <v>107</v>
      </c>
      <c r="C101" t="s">
        <v>107</v>
      </c>
      <c r="E101" t="s">
        <v>108</v>
      </c>
      <c r="F101" t="s">
        <v>158</v>
      </c>
      <c r="G101" t="s">
        <v>159</v>
      </c>
      <c r="H101" t="s">
        <v>111</v>
      </c>
      <c r="I101" t="s">
        <v>341</v>
      </c>
      <c r="J101" t="s">
        <v>113</v>
      </c>
      <c r="K101" s="8" t="s">
        <v>114</v>
      </c>
      <c r="L101" t="s">
        <v>161</v>
      </c>
      <c r="M101" s="6">
        <v>459</v>
      </c>
      <c r="N101" t="s">
        <v>994</v>
      </c>
      <c r="O101" s="6">
        <v>220</v>
      </c>
      <c r="P101" t="s">
        <v>1151</v>
      </c>
      <c r="Q101" s="6">
        <v>0</v>
      </c>
      <c r="R101" s="7">
        <f t="shared" si="6"/>
        <v>239</v>
      </c>
      <c r="S101" t="s">
        <v>180</v>
      </c>
      <c r="T101" t="s">
        <v>114</v>
      </c>
      <c r="U101" t="s">
        <v>180</v>
      </c>
      <c r="W101" t="s">
        <v>114</v>
      </c>
      <c r="X101" t="s">
        <v>1151</v>
      </c>
      <c r="Z101" t="s">
        <v>1152</v>
      </c>
      <c r="AA101" t="s">
        <v>1153</v>
      </c>
      <c r="AB101" s="1" t="s">
        <v>1154</v>
      </c>
      <c r="AC101" t="s">
        <v>1155</v>
      </c>
      <c r="AD101" t="s">
        <v>1153</v>
      </c>
      <c r="AH101" t="s">
        <v>123</v>
      </c>
      <c r="AI101" t="s">
        <v>124</v>
      </c>
      <c r="AJ101" t="s">
        <v>1156</v>
      </c>
      <c r="AK101" t="s">
        <v>126</v>
      </c>
      <c r="AL101" t="s">
        <v>127</v>
      </c>
      <c r="AN101" t="s">
        <v>1157</v>
      </c>
      <c r="AO101" t="s">
        <v>852</v>
      </c>
      <c r="AP101" t="s">
        <v>1158</v>
      </c>
      <c r="AQ101" t="s">
        <v>131</v>
      </c>
      <c r="AR101" t="s">
        <v>132</v>
      </c>
      <c r="AS101" t="s">
        <v>743</v>
      </c>
      <c r="AT101" t="s">
        <v>1159</v>
      </c>
      <c r="AV101" t="s">
        <v>1107</v>
      </c>
      <c r="AW101" t="s">
        <v>191</v>
      </c>
      <c r="AX101" t="s">
        <v>136</v>
      </c>
      <c r="AY101" t="s">
        <v>177</v>
      </c>
      <c r="AZ101" t="s">
        <v>138</v>
      </c>
      <c r="BA101" t="s">
        <v>1160</v>
      </c>
      <c r="BC101" t="s">
        <v>140</v>
      </c>
      <c r="BT101" s="7">
        <f t="shared" si="7"/>
        <v>239</v>
      </c>
      <c r="BU101" s="6">
        <f t="shared" si="8"/>
        <v>223.36448598130841</v>
      </c>
      <c r="BV101" s="6">
        <f t="shared" si="9"/>
        <v>15.635514018691588</v>
      </c>
      <c r="BW101" s="6">
        <f t="shared" si="10"/>
        <v>239</v>
      </c>
      <c r="BX101" s="6">
        <f t="shared" si="11"/>
        <v>0</v>
      </c>
    </row>
    <row r="102" spans="1:76" x14ac:dyDescent="0.35">
      <c r="A102" t="s">
        <v>1161</v>
      </c>
      <c r="B102" t="s">
        <v>107</v>
      </c>
      <c r="C102" t="s">
        <v>107</v>
      </c>
      <c r="E102" t="s">
        <v>108</v>
      </c>
      <c r="F102" t="s">
        <v>158</v>
      </c>
      <c r="G102" t="s">
        <v>159</v>
      </c>
      <c r="H102" t="s">
        <v>111</v>
      </c>
      <c r="I102" t="s">
        <v>341</v>
      </c>
      <c r="J102" t="s">
        <v>113</v>
      </c>
      <c r="K102" s="8" t="s">
        <v>114</v>
      </c>
      <c r="L102" t="s">
        <v>161</v>
      </c>
      <c r="M102" s="6">
        <v>459</v>
      </c>
      <c r="N102" t="s">
        <v>114</v>
      </c>
      <c r="O102" s="6">
        <v>220</v>
      </c>
      <c r="P102" t="s">
        <v>1111</v>
      </c>
      <c r="Q102" s="6">
        <v>0</v>
      </c>
      <c r="R102" s="7">
        <f t="shared" si="6"/>
        <v>239</v>
      </c>
      <c r="S102" t="s">
        <v>180</v>
      </c>
      <c r="T102" t="s">
        <v>114</v>
      </c>
      <c r="U102" t="s">
        <v>180</v>
      </c>
      <c r="W102" t="s">
        <v>114</v>
      </c>
      <c r="X102" t="s">
        <v>1111</v>
      </c>
      <c r="Z102" t="s">
        <v>1162</v>
      </c>
      <c r="AA102" t="s">
        <v>1163</v>
      </c>
      <c r="AB102" s="1" t="s">
        <v>1164</v>
      </c>
      <c r="AC102" t="s">
        <v>1165</v>
      </c>
      <c r="AD102" t="s">
        <v>1163</v>
      </c>
      <c r="AH102" t="s">
        <v>123</v>
      </c>
      <c r="AI102" t="s">
        <v>124</v>
      </c>
      <c r="AJ102" t="s">
        <v>1166</v>
      </c>
      <c r="AK102" t="s">
        <v>126</v>
      </c>
      <c r="AL102" t="s">
        <v>127</v>
      </c>
      <c r="AN102" t="s">
        <v>1167</v>
      </c>
      <c r="AO102" t="s">
        <v>1168</v>
      </c>
      <c r="AP102" t="s">
        <v>1169</v>
      </c>
      <c r="AQ102" t="s">
        <v>131</v>
      </c>
      <c r="AR102" t="s">
        <v>132</v>
      </c>
      <c r="AS102" t="s">
        <v>202</v>
      </c>
      <c r="AT102" t="s">
        <v>1170</v>
      </c>
      <c r="AV102" t="s">
        <v>625</v>
      </c>
      <c r="AW102" t="s">
        <v>300</v>
      </c>
      <c r="AX102" t="s">
        <v>136</v>
      </c>
      <c r="AY102" t="s">
        <v>177</v>
      </c>
      <c r="AZ102" t="s">
        <v>138</v>
      </c>
      <c r="BA102" t="s">
        <v>1171</v>
      </c>
      <c r="BC102" t="s">
        <v>140</v>
      </c>
      <c r="BT102" s="7">
        <f t="shared" si="7"/>
        <v>239</v>
      </c>
      <c r="BU102" s="6">
        <f t="shared" si="8"/>
        <v>223.36448598130841</v>
      </c>
      <c r="BV102" s="6">
        <f t="shared" si="9"/>
        <v>15.635514018691588</v>
      </c>
      <c r="BW102" s="6">
        <f t="shared" si="10"/>
        <v>239</v>
      </c>
      <c r="BX102" s="6">
        <f t="shared" si="11"/>
        <v>0</v>
      </c>
    </row>
    <row r="103" spans="1:76" x14ac:dyDescent="0.35">
      <c r="A103" t="s">
        <v>1172</v>
      </c>
      <c r="B103" t="s">
        <v>107</v>
      </c>
      <c r="C103" t="s">
        <v>107</v>
      </c>
      <c r="E103" t="s">
        <v>108</v>
      </c>
      <c r="F103" t="s">
        <v>158</v>
      </c>
      <c r="G103" t="s">
        <v>159</v>
      </c>
      <c r="H103" t="s">
        <v>111</v>
      </c>
      <c r="I103" t="s">
        <v>341</v>
      </c>
      <c r="J103" t="s">
        <v>113</v>
      </c>
      <c r="K103" s="8" t="s">
        <v>114</v>
      </c>
      <c r="L103" t="s">
        <v>161</v>
      </c>
      <c r="M103" s="6">
        <v>459</v>
      </c>
      <c r="N103" t="s">
        <v>994</v>
      </c>
      <c r="O103" s="6">
        <v>220</v>
      </c>
      <c r="P103" t="s">
        <v>1151</v>
      </c>
      <c r="Q103" s="6">
        <v>0</v>
      </c>
      <c r="R103" s="7">
        <f t="shared" si="6"/>
        <v>239</v>
      </c>
      <c r="S103" t="s">
        <v>180</v>
      </c>
      <c r="T103" t="s">
        <v>114</v>
      </c>
      <c r="U103" t="s">
        <v>180</v>
      </c>
      <c r="W103" t="s">
        <v>114</v>
      </c>
      <c r="X103" t="s">
        <v>1151</v>
      </c>
      <c r="Z103" t="s">
        <v>1173</v>
      </c>
      <c r="AA103" t="s">
        <v>1174</v>
      </c>
      <c r="AB103" s="1" t="s">
        <v>1175</v>
      </c>
      <c r="AC103" t="s">
        <v>1176</v>
      </c>
      <c r="AD103" t="s">
        <v>1174</v>
      </c>
      <c r="AH103" t="s">
        <v>123</v>
      </c>
      <c r="AI103" t="s">
        <v>124</v>
      </c>
      <c r="AJ103" t="s">
        <v>1177</v>
      </c>
      <c r="AK103" t="s">
        <v>126</v>
      </c>
      <c r="AL103" t="s">
        <v>127</v>
      </c>
      <c r="AN103" t="s">
        <v>1178</v>
      </c>
      <c r="AO103" t="s">
        <v>1179</v>
      </c>
      <c r="AP103" t="s">
        <v>1180</v>
      </c>
      <c r="AQ103" t="s">
        <v>131</v>
      </c>
      <c r="AR103" t="s">
        <v>132</v>
      </c>
      <c r="AS103" t="s">
        <v>1181</v>
      </c>
      <c r="AT103" t="s">
        <v>1182</v>
      </c>
      <c r="AV103" t="s">
        <v>1183</v>
      </c>
      <c r="AX103" t="s">
        <v>136</v>
      </c>
      <c r="AY103" t="s">
        <v>177</v>
      </c>
      <c r="AZ103" t="s">
        <v>138</v>
      </c>
      <c r="BA103" t="s">
        <v>1184</v>
      </c>
      <c r="BC103" t="s">
        <v>140</v>
      </c>
      <c r="BT103" s="7">
        <f t="shared" si="7"/>
        <v>239</v>
      </c>
      <c r="BU103" s="6">
        <f t="shared" si="8"/>
        <v>223.36448598130841</v>
      </c>
      <c r="BV103" s="6">
        <f t="shared" si="9"/>
        <v>15.635514018691588</v>
      </c>
      <c r="BW103" s="6">
        <f t="shared" si="10"/>
        <v>239</v>
      </c>
      <c r="BX103" s="6">
        <f t="shared" si="11"/>
        <v>0</v>
      </c>
    </row>
    <row r="104" spans="1:76" x14ac:dyDescent="0.35">
      <c r="A104" t="s">
        <v>1185</v>
      </c>
      <c r="B104" t="s">
        <v>107</v>
      </c>
      <c r="C104" t="s">
        <v>107</v>
      </c>
      <c r="E104" t="s">
        <v>108</v>
      </c>
      <c r="F104" t="s">
        <v>158</v>
      </c>
      <c r="G104" t="s">
        <v>159</v>
      </c>
      <c r="H104" t="s">
        <v>111</v>
      </c>
      <c r="I104" t="s">
        <v>341</v>
      </c>
      <c r="J104" t="s">
        <v>113</v>
      </c>
      <c r="K104" s="8" t="s">
        <v>114</v>
      </c>
      <c r="L104" t="s">
        <v>161</v>
      </c>
      <c r="M104" s="6">
        <v>459</v>
      </c>
      <c r="N104" t="s">
        <v>114</v>
      </c>
      <c r="O104" s="6">
        <v>220</v>
      </c>
      <c r="P104" t="s">
        <v>1111</v>
      </c>
      <c r="Q104" s="6">
        <v>0</v>
      </c>
      <c r="R104" s="7">
        <f t="shared" si="6"/>
        <v>239</v>
      </c>
      <c r="S104" t="s">
        <v>180</v>
      </c>
      <c r="T104" t="s">
        <v>114</v>
      </c>
      <c r="U104" t="s">
        <v>180</v>
      </c>
      <c r="W104" t="s">
        <v>114</v>
      </c>
      <c r="X104" t="s">
        <v>1111</v>
      </c>
      <c r="Z104" t="s">
        <v>1186</v>
      </c>
      <c r="AA104" t="s">
        <v>1187</v>
      </c>
      <c r="AB104" s="1" t="s">
        <v>1188</v>
      </c>
      <c r="AC104" t="s">
        <v>1189</v>
      </c>
      <c r="AD104" t="s">
        <v>1187</v>
      </c>
      <c r="AH104" t="s">
        <v>123</v>
      </c>
      <c r="AI104" t="s">
        <v>124</v>
      </c>
      <c r="AJ104" t="s">
        <v>1190</v>
      </c>
      <c r="AK104" t="s">
        <v>126</v>
      </c>
      <c r="AL104" t="s">
        <v>127</v>
      </c>
      <c r="AN104" t="s">
        <v>1191</v>
      </c>
      <c r="AO104" t="s">
        <v>1192</v>
      </c>
      <c r="AP104" t="s">
        <v>1193</v>
      </c>
      <c r="AQ104" t="s">
        <v>131</v>
      </c>
      <c r="AR104" t="s">
        <v>132</v>
      </c>
      <c r="AS104" t="s">
        <v>284</v>
      </c>
      <c r="AT104" t="s">
        <v>1194</v>
      </c>
      <c r="AV104" t="s">
        <v>1195</v>
      </c>
      <c r="AX104" t="s">
        <v>136</v>
      </c>
      <c r="AY104" t="s">
        <v>177</v>
      </c>
      <c r="AZ104" t="s">
        <v>138</v>
      </c>
      <c r="BA104" t="s">
        <v>1196</v>
      </c>
      <c r="BC104" t="s">
        <v>140</v>
      </c>
      <c r="BT104" s="7">
        <f t="shared" si="7"/>
        <v>239</v>
      </c>
      <c r="BU104" s="6">
        <f t="shared" si="8"/>
        <v>223.36448598130841</v>
      </c>
      <c r="BV104" s="6">
        <f t="shared" si="9"/>
        <v>15.635514018691588</v>
      </c>
      <c r="BW104" s="6">
        <f t="shared" si="10"/>
        <v>239</v>
      </c>
      <c r="BX104" s="6">
        <f t="shared" si="11"/>
        <v>0</v>
      </c>
    </row>
    <row r="105" spans="1:76" x14ac:dyDescent="0.35">
      <c r="A105" t="s">
        <v>1197</v>
      </c>
      <c r="B105" t="s">
        <v>107</v>
      </c>
      <c r="C105" t="s">
        <v>107</v>
      </c>
      <c r="E105" t="s">
        <v>108</v>
      </c>
      <c r="F105" t="s">
        <v>158</v>
      </c>
      <c r="G105" t="s">
        <v>159</v>
      </c>
      <c r="H105" t="s">
        <v>111</v>
      </c>
      <c r="I105" t="s">
        <v>341</v>
      </c>
      <c r="J105" t="s">
        <v>113</v>
      </c>
      <c r="K105" s="8" t="s">
        <v>114</v>
      </c>
      <c r="L105" t="s">
        <v>161</v>
      </c>
      <c r="M105" s="6">
        <v>459</v>
      </c>
      <c r="N105" t="s">
        <v>994</v>
      </c>
      <c r="O105" s="6">
        <v>220</v>
      </c>
      <c r="P105" t="s">
        <v>1151</v>
      </c>
      <c r="Q105" s="6">
        <v>0</v>
      </c>
      <c r="R105" s="7">
        <f t="shared" si="6"/>
        <v>239</v>
      </c>
      <c r="S105" t="s">
        <v>142</v>
      </c>
      <c r="T105" t="s">
        <v>114</v>
      </c>
      <c r="U105" t="s">
        <v>142</v>
      </c>
      <c r="W105" t="s">
        <v>114</v>
      </c>
      <c r="X105" t="s">
        <v>1151</v>
      </c>
      <c r="Z105" t="s">
        <v>1198</v>
      </c>
      <c r="AA105" t="s">
        <v>1199</v>
      </c>
      <c r="AB105" s="1" t="s">
        <v>1200</v>
      </c>
      <c r="AC105" t="s">
        <v>1189</v>
      </c>
      <c r="AD105" t="s">
        <v>1199</v>
      </c>
      <c r="AH105" t="s">
        <v>123</v>
      </c>
      <c r="AI105" t="s">
        <v>124</v>
      </c>
      <c r="AJ105" t="s">
        <v>1201</v>
      </c>
      <c r="AK105" t="s">
        <v>126</v>
      </c>
      <c r="AL105" t="s">
        <v>127</v>
      </c>
      <c r="AN105" t="s">
        <v>1202</v>
      </c>
      <c r="AO105" t="s">
        <v>556</v>
      </c>
      <c r="AP105" t="s">
        <v>1203</v>
      </c>
      <c r="AQ105" t="s">
        <v>131</v>
      </c>
      <c r="AR105" t="s">
        <v>132</v>
      </c>
      <c r="AS105" t="s">
        <v>466</v>
      </c>
      <c r="AT105" t="s">
        <v>821</v>
      </c>
      <c r="AV105" t="s">
        <v>1195</v>
      </c>
      <c r="AX105" t="s">
        <v>136</v>
      </c>
      <c r="AY105" t="s">
        <v>177</v>
      </c>
      <c r="AZ105" t="s">
        <v>138</v>
      </c>
      <c r="BA105" t="s">
        <v>1204</v>
      </c>
      <c r="BC105" t="s">
        <v>140</v>
      </c>
      <c r="BT105" s="7">
        <f t="shared" si="7"/>
        <v>239</v>
      </c>
      <c r="BU105" s="6">
        <f t="shared" si="8"/>
        <v>223.36448598130841</v>
      </c>
      <c r="BV105" s="6">
        <f t="shared" si="9"/>
        <v>15.635514018691588</v>
      </c>
      <c r="BW105" s="6">
        <f t="shared" si="10"/>
        <v>239</v>
      </c>
      <c r="BX105" s="6">
        <f t="shared" si="11"/>
        <v>0</v>
      </c>
    </row>
    <row r="106" spans="1:76" x14ac:dyDescent="0.35">
      <c r="A106" t="s">
        <v>1205</v>
      </c>
      <c r="B106" t="s">
        <v>107</v>
      </c>
      <c r="C106" t="s">
        <v>107</v>
      </c>
      <c r="E106" t="s">
        <v>108</v>
      </c>
      <c r="F106" t="s">
        <v>158</v>
      </c>
      <c r="G106" t="s">
        <v>159</v>
      </c>
      <c r="H106" t="s">
        <v>111</v>
      </c>
      <c r="I106" t="s">
        <v>341</v>
      </c>
      <c r="J106" t="s">
        <v>113</v>
      </c>
      <c r="K106" s="8" t="s">
        <v>114</v>
      </c>
      <c r="L106" t="s">
        <v>161</v>
      </c>
      <c r="M106" s="6">
        <v>459</v>
      </c>
      <c r="N106" t="s">
        <v>162</v>
      </c>
      <c r="O106" s="6">
        <v>220</v>
      </c>
      <c r="P106" t="s">
        <v>1206</v>
      </c>
      <c r="Q106" s="6">
        <v>0</v>
      </c>
      <c r="R106" s="7">
        <f t="shared" si="6"/>
        <v>239</v>
      </c>
      <c r="S106" t="s">
        <v>142</v>
      </c>
      <c r="T106" t="s">
        <v>114</v>
      </c>
      <c r="U106" t="s">
        <v>142</v>
      </c>
      <c r="W106" t="s">
        <v>114</v>
      </c>
      <c r="X106" t="s">
        <v>1206</v>
      </c>
      <c r="Z106" t="s">
        <v>1207</v>
      </c>
      <c r="AA106" t="s">
        <v>1208</v>
      </c>
      <c r="AB106" s="1" t="s">
        <v>1209</v>
      </c>
      <c r="AC106" t="s">
        <v>1210</v>
      </c>
      <c r="AD106" t="s">
        <v>1211</v>
      </c>
      <c r="AH106" t="s">
        <v>123</v>
      </c>
      <c r="AI106" t="s">
        <v>124</v>
      </c>
      <c r="AJ106" t="s">
        <v>1212</v>
      </c>
      <c r="AK106" t="s">
        <v>126</v>
      </c>
      <c r="AL106" t="s">
        <v>127</v>
      </c>
      <c r="AN106" t="s">
        <v>1213</v>
      </c>
      <c r="AO106" t="s">
        <v>1214</v>
      </c>
      <c r="AP106" t="s">
        <v>1215</v>
      </c>
      <c r="AQ106" t="s">
        <v>131</v>
      </c>
      <c r="AR106" t="s">
        <v>132</v>
      </c>
      <c r="AS106" t="s">
        <v>466</v>
      </c>
      <c r="AT106" t="s">
        <v>467</v>
      </c>
      <c r="AV106" t="s">
        <v>1216</v>
      </c>
      <c r="AX106" t="s">
        <v>155</v>
      </c>
      <c r="AY106" t="s">
        <v>177</v>
      </c>
      <c r="AZ106" t="s">
        <v>138</v>
      </c>
      <c r="BA106" t="s">
        <v>1217</v>
      </c>
      <c r="BC106" t="s">
        <v>140</v>
      </c>
      <c r="BT106" s="7">
        <f t="shared" si="7"/>
        <v>239</v>
      </c>
      <c r="BU106" s="6">
        <f t="shared" si="8"/>
        <v>223.36448598130841</v>
      </c>
      <c r="BV106" s="6">
        <f t="shared" si="9"/>
        <v>15.635514018691588</v>
      </c>
      <c r="BW106" s="6">
        <f t="shared" si="10"/>
        <v>239</v>
      </c>
      <c r="BX106" s="6">
        <f t="shared" si="11"/>
        <v>0</v>
      </c>
    </row>
    <row r="107" spans="1:76" x14ac:dyDescent="0.35">
      <c r="A107" t="s">
        <v>1218</v>
      </c>
      <c r="B107" t="s">
        <v>107</v>
      </c>
      <c r="C107" t="s">
        <v>107</v>
      </c>
      <c r="E107" t="s">
        <v>108</v>
      </c>
      <c r="F107" t="s">
        <v>158</v>
      </c>
      <c r="G107" t="s">
        <v>159</v>
      </c>
      <c r="H107" t="s">
        <v>111</v>
      </c>
      <c r="I107" t="s">
        <v>341</v>
      </c>
      <c r="J107" t="s">
        <v>113</v>
      </c>
      <c r="K107" s="8" t="s">
        <v>114</v>
      </c>
      <c r="L107" t="s">
        <v>161</v>
      </c>
      <c r="M107" s="6">
        <v>459</v>
      </c>
      <c r="N107" t="s">
        <v>1219</v>
      </c>
      <c r="O107" s="6">
        <v>220</v>
      </c>
      <c r="P107" t="s">
        <v>1220</v>
      </c>
      <c r="Q107" s="6">
        <v>34</v>
      </c>
      <c r="R107" s="7">
        <f t="shared" si="6"/>
        <v>273</v>
      </c>
      <c r="S107" t="s">
        <v>118</v>
      </c>
      <c r="T107" t="s">
        <v>114</v>
      </c>
      <c r="U107" t="s">
        <v>1222</v>
      </c>
      <c r="W107" t="s">
        <v>114</v>
      </c>
      <c r="X107" t="s">
        <v>1223</v>
      </c>
      <c r="Z107" t="s">
        <v>1224</v>
      </c>
      <c r="AA107" t="s">
        <v>1225</v>
      </c>
      <c r="AB107" s="1" t="s">
        <v>1226</v>
      </c>
      <c r="AC107" t="s">
        <v>1227</v>
      </c>
      <c r="AD107" t="s">
        <v>1225</v>
      </c>
      <c r="AH107" t="s">
        <v>123</v>
      </c>
      <c r="AI107" t="s">
        <v>124</v>
      </c>
      <c r="AJ107" t="s">
        <v>1228</v>
      </c>
      <c r="AK107" t="s">
        <v>126</v>
      </c>
      <c r="AL107" t="s">
        <v>127</v>
      </c>
      <c r="AN107" t="s">
        <v>1229</v>
      </c>
      <c r="AO107" t="s">
        <v>1230</v>
      </c>
      <c r="AP107" t="s">
        <v>1231</v>
      </c>
      <c r="AQ107" t="s">
        <v>131</v>
      </c>
      <c r="AR107" t="s">
        <v>132</v>
      </c>
      <c r="AS107" t="s">
        <v>796</v>
      </c>
      <c r="AT107" t="s">
        <v>1232</v>
      </c>
      <c r="AV107" t="s">
        <v>175</v>
      </c>
      <c r="AX107" t="s">
        <v>136</v>
      </c>
      <c r="AY107" t="s">
        <v>177</v>
      </c>
      <c r="AZ107" t="s">
        <v>138</v>
      </c>
      <c r="BA107" t="s">
        <v>1233</v>
      </c>
      <c r="BC107" t="s">
        <v>140</v>
      </c>
      <c r="BT107" s="7">
        <f t="shared" si="7"/>
        <v>273</v>
      </c>
      <c r="BU107" s="6">
        <f t="shared" si="8"/>
        <v>255.14018691588782</v>
      </c>
      <c r="BV107" s="6">
        <f t="shared" si="9"/>
        <v>17.859813084112147</v>
      </c>
      <c r="BW107" s="6">
        <f t="shared" si="10"/>
        <v>273</v>
      </c>
      <c r="BX107" s="6">
        <f t="shared" si="11"/>
        <v>0</v>
      </c>
    </row>
    <row r="108" spans="1:76" x14ac:dyDescent="0.35">
      <c r="A108" t="s">
        <v>1234</v>
      </c>
      <c r="B108" t="s">
        <v>107</v>
      </c>
      <c r="C108" t="s">
        <v>107</v>
      </c>
      <c r="E108" t="s">
        <v>108</v>
      </c>
      <c r="F108" t="s">
        <v>158</v>
      </c>
      <c r="G108" t="s">
        <v>159</v>
      </c>
      <c r="H108" t="s">
        <v>111</v>
      </c>
      <c r="I108" t="s">
        <v>341</v>
      </c>
      <c r="J108" t="s">
        <v>113</v>
      </c>
      <c r="K108" s="8" t="s">
        <v>114</v>
      </c>
      <c r="L108" t="s">
        <v>161</v>
      </c>
      <c r="M108" s="6">
        <v>459</v>
      </c>
      <c r="N108" t="s">
        <v>994</v>
      </c>
      <c r="O108" s="6">
        <v>220</v>
      </c>
      <c r="P108" t="s">
        <v>1151</v>
      </c>
      <c r="Q108" s="6">
        <v>34</v>
      </c>
      <c r="R108" s="7">
        <f t="shared" si="6"/>
        <v>273</v>
      </c>
      <c r="S108" t="s">
        <v>118</v>
      </c>
      <c r="T108" t="s">
        <v>114</v>
      </c>
      <c r="U108" t="s">
        <v>1222</v>
      </c>
      <c r="W108" t="s">
        <v>114</v>
      </c>
      <c r="X108" t="s">
        <v>1235</v>
      </c>
      <c r="Z108" t="s">
        <v>1236</v>
      </c>
      <c r="AA108" t="s">
        <v>1237</v>
      </c>
      <c r="AB108" s="1" t="s">
        <v>1238</v>
      </c>
      <c r="AC108" t="s">
        <v>1239</v>
      </c>
      <c r="AD108" t="s">
        <v>1237</v>
      </c>
      <c r="AH108" t="s">
        <v>123</v>
      </c>
      <c r="AI108" t="s">
        <v>124</v>
      </c>
      <c r="AJ108" t="s">
        <v>1240</v>
      </c>
      <c r="AK108" t="s">
        <v>126</v>
      </c>
      <c r="AL108" t="s">
        <v>127</v>
      </c>
      <c r="AN108" t="s">
        <v>1229</v>
      </c>
      <c r="AO108" t="s">
        <v>1230</v>
      </c>
      <c r="AP108" t="s">
        <v>1231</v>
      </c>
      <c r="AQ108" t="s">
        <v>131</v>
      </c>
      <c r="AR108" t="s">
        <v>132</v>
      </c>
      <c r="AS108" t="s">
        <v>796</v>
      </c>
      <c r="AT108" t="s">
        <v>1232</v>
      </c>
      <c r="AV108" t="s">
        <v>175</v>
      </c>
      <c r="AX108" t="s">
        <v>136</v>
      </c>
      <c r="AY108" t="s">
        <v>177</v>
      </c>
      <c r="AZ108" t="s">
        <v>138</v>
      </c>
      <c r="BA108" t="s">
        <v>1241</v>
      </c>
      <c r="BC108" t="s">
        <v>140</v>
      </c>
      <c r="BT108" s="7">
        <f t="shared" si="7"/>
        <v>273</v>
      </c>
      <c r="BU108" s="6">
        <f t="shared" si="8"/>
        <v>255.14018691588782</v>
      </c>
      <c r="BV108" s="6">
        <f t="shared" si="9"/>
        <v>17.859813084112147</v>
      </c>
      <c r="BW108" s="6">
        <f t="shared" si="10"/>
        <v>273</v>
      </c>
      <c r="BX108" s="6">
        <f t="shared" si="11"/>
        <v>0</v>
      </c>
    </row>
    <row r="109" spans="1:76" x14ac:dyDescent="0.35">
      <c r="A109" t="s">
        <v>1242</v>
      </c>
      <c r="B109" t="s">
        <v>107</v>
      </c>
      <c r="C109" t="s">
        <v>107</v>
      </c>
      <c r="E109" t="s">
        <v>108</v>
      </c>
      <c r="F109" t="s">
        <v>158</v>
      </c>
      <c r="G109" t="s">
        <v>159</v>
      </c>
      <c r="H109" t="s">
        <v>111</v>
      </c>
      <c r="I109" t="s">
        <v>341</v>
      </c>
      <c r="J109" t="s">
        <v>113</v>
      </c>
      <c r="K109" s="8" t="s">
        <v>114</v>
      </c>
      <c r="L109" t="s">
        <v>161</v>
      </c>
      <c r="M109" s="6">
        <v>459</v>
      </c>
      <c r="N109" t="s">
        <v>114</v>
      </c>
      <c r="O109" s="6">
        <v>220</v>
      </c>
      <c r="P109" t="s">
        <v>1111</v>
      </c>
      <c r="Q109" s="6">
        <v>0</v>
      </c>
      <c r="R109" s="7">
        <f t="shared" si="6"/>
        <v>239</v>
      </c>
      <c r="S109" t="s">
        <v>1243</v>
      </c>
      <c r="T109" t="s">
        <v>114</v>
      </c>
      <c r="U109" t="s">
        <v>1243</v>
      </c>
      <c r="W109" t="s">
        <v>114</v>
      </c>
      <c r="X109" t="s">
        <v>1111</v>
      </c>
      <c r="Z109" t="s">
        <v>1244</v>
      </c>
      <c r="AA109" t="s">
        <v>1245</v>
      </c>
      <c r="AB109" s="1" t="s">
        <v>1246</v>
      </c>
      <c r="AC109" t="s">
        <v>1247</v>
      </c>
      <c r="AD109" t="s">
        <v>1245</v>
      </c>
      <c r="AH109" t="s">
        <v>123</v>
      </c>
      <c r="AI109" t="s">
        <v>124</v>
      </c>
      <c r="AJ109" t="s">
        <v>1248</v>
      </c>
      <c r="AK109" t="s">
        <v>126</v>
      </c>
      <c r="AL109" t="s">
        <v>127</v>
      </c>
      <c r="AN109" t="s">
        <v>1249</v>
      </c>
      <c r="AO109" t="s">
        <v>1250</v>
      </c>
      <c r="AP109" t="s">
        <v>1251</v>
      </c>
      <c r="AQ109" t="s">
        <v>131</v>
      </c>
      <c r="AR109" t="s">
        <v>132</v>
      </c>
      <c r="AS109" t="s">
        <v>284</v>
      </c>
      <c r="AT109" t="s">
        <v>1252</v>
      </c>
      <c r="AV109" t="s">
        <v>1072</v>
      </c>
      <c r="AX109" t="s">
        <v>136</v>
      </c>
      <c r="AY109" t="s">
        <v>177</v>
      </c>
      <c r="AZ109" t="s">
        <v>138</v>
      </c>
      <c r="BA109" t="s">
        <v>1253</v>
      </c>
      <c r="BC109" t="s">
        <v>140</v>
      </c>
      <c r="BT109" s="7">
        <f t="shared" si="7"/>
        <v>239</v>
      </c>
      <c r="BU109" s="6">
        <f t="shared" si="8"/>
        <v>223.36448598130841</v>
      </c>
      <c r="BV109" s="6">
        <f t="shared" si="9"/>
        <v>15.635514018691588</v>
      </c>
      <c r="BW109" s="6">
        <f t="shared" si="10"/>
        <v>239</v>
      </c>
      <c r="BX109" s="6">
        <f t="shared" si="11"/>
        <v>0</v>
      </c>
    </row>
    <row r="110" spans="1:76" x14ac:dyDescent="0.35">
      <c r="A110" t="s">
        <v>1254</v>
      </c>
      <c r="B110" t="s">
        <v>107</v>
      </c>
      <c r="C110" t="s">
        <v>107</v>
      </c>
      <c r="E110" t="s">
        <v>108</v>
      </c>
      <c r="F110" t="s">
        <v>158</v>
      </c>
      <c r="G110" t="s">
        <v>159</v>
      </c>
      <c r="H110" t="s">
        <v>111</v>
      </c>
      <c r="I110" t="s">
        <v>341</v>
      </c>
      <c r="J110" t="s">
        <v>113</v>
      </c>
      <c r="K110" s="8" t="s">
        <v>114</v>
      </c>
      <c r="L110" t="s">
        <v>161</v>
      </c>
      <c r="M110" s="6">
        <v>459</v>
      </c>
      <c r="N110" t="s">
        <v>1255</v>
      </c>
      <c r="O110" s="6">
        <v>220</v>
      </c>
      <c r="P110" t="s">
        <v>1256</v>
      </c>
      <c r="Q110" s="6">
        <v>38</v>
      </c>
      <c r="R110" s="7">
        <f t="shared" si="6"/>
        <v>277</v>
      </c>
      <c r="S110" t="s">
        <v>180</v>
      </c>
      <c r="T110" t="s">
        <v>114</v>
      </c>
      <c r="U110" t="s">
        <v>114</v>
      </c>
      <c r="W110" t="s">
        <v>114</v>
      </c>
      <c r="X110" t="s">
        <v>1257</v>
      </c>
      <c r="Z110" t="s">
        <v>1258</v>
      </c>
      <c r="AA110" t="s">
        <v>1259</v>
      </c>
      <c r="AB110" s="1" t="s">
        <v>1260</v>
      </c>
      <c r="AC110" t="s">
        <v>1261</v>
      </c>
      <c r="AD110" t="s">
        <v>1262</v>
      </c>
      <c r="AH110" t="s">
        <v>123</v>
      </c>
      <c r="AI110" t="s">
        <v>124</v>
      </c>
      <c r="AJ110" t="s">
        <v>1263</v>
      </c>
      <c r="AK110" t="s">
        <v>126</v>
      </c>
      <c r="AL110" t="s">
        <v>127</v>
      </c>
      <c r="AN110" t="s">
        <v>1264</v>
      </c>
      <c r="AO110" t="s">
        <v>1265</v>
      </c>
      <c r="AP110" t="s">
        <v>1266</v>
      </c>
      <c r="AQ110" t="s">
        <v>131</v>
      </c>
      <c r="AR110" t="s">
        <v>132</v>
      </c>
      <c r="AS110" t="s">
        <v>1267</v>
      </c>
      <c r="AT110" t="s">
        <v>1268</v>
      </c>
      <c r="AV110" t="s">
        <v>190</v>
      </c>
      <c r="AW110" t="s">
        <v>585</v>
      </c>
      <c r="AX110" t="s">
        <v>1269</v>
      </c>
      <c r="AY110" t="s">
        <v>177</v>
      </c>
      <c r="AZ110" t="s">
        <v>138</v>
      </c>
      <c r="BA110" t="s">
        <v>1270</v>
      </c>
      <c r="BC110" t="s">
        <v>140</v>
      </c>
      <c r="BT110" s="7">
        <f t="shared" si="7"/>
        <v>277</v>
      </c>
      <c r="BU110" s="6">
        <f t="shared" si="8"/>
        <v>258.87850467289718</v>
      </c>
      <c r="BV110" s="6">
        <f t="shared" si="9"/>
        <v>18.121495327102803</v>
      </c>
      <c r="BW110" s="6">
        <f t="shared" si="10"/>
        <v>277</v>
      </c>
      <c r="BX110" s="6">
        <f t="shared" si="11"/>
        <v>0</v>
      </c>
    </row>
    <row r="111" spans="1:76" x14ac:dyDescent="0.35">
      <c r="A111" t="s">
        <v>1271</v>
      </c>
      <c r="B111" t="s">
        <v>107</v>
      </c>
      <c r="C111" t="s">
        <v>107</v>
      </c>
      <c r="E111" t="s">
        <v>108</v>
      </c>
      <c r="F111" t="s">
        <v>499</v>
      </c>
      <c r="G111" t="s">
        <v>500</v>
      </c>
      <c r="H111" t="s">
        <v>501</v>
      </c>
      <c r="I111" t="s">
        <v>341</v>
      </c>
      <c r="J111" t="s">
        <v>113</v>
      </c>
      <c r="K111" s="8" t="s">
        <v>114</v>
      </c>
      <c r="L111" t="s">
        <v>502</v>
      </c>
      <c r="M111" s="6">
        <v>348</v>
      </c>
      <c r="N111" t="s">
        <v>114</v>
      </c>
      <c r="O111" s="6">
        <v>209</v>
      </c>
      <c r="P111" t="s">
        <v>895</v>
      </c>
      <c r="Q111" s="6">
        <v>0</v>
      </c>
      <c r="R111" s="7">
        <f t="shared" si="6"/>
        <v>139</v>
      </c>
      <c r="S111" t="s">
        <v>180</v>
      </c>
      <c r="T111" t="s">
        <v>114</v>
      </c>
      <c r="U111" t="s">
        <v>180</v>
      </c>
      <c r="W111" t="s">
        <v>114</v>
      </c>
      <c r="X111" t="s">
        <v>895</v>
      </c>
      <c r="Z111" t="s">
        <v>1272</v>
      </c>
      <c r="AA111" t="s">
        <v>1273</v>
      </c>
      <c r="AB111" s="1" t="s">
        <v>1274</v>
      </c>
      <c r="AC111" t="s">
        <v>1275</v>
      </c>
      <c r="AD111" t="s">
        <v>1273</v>
      </c>
      <c r="AH111" t="s">
        <v>123</v>
      </c>
      <c r="AI111" t="s">
        <v>124</v>
      </c>
      <c r="AJ111" t="s">
        <v>1276</v>
      </c>
      <c r="AK111" t="s">
        <v>126</v>
      </c>
      <c r="AL111" t="s">
        <v>127</v>
      </c>
      <c r="AN111" t="s">
        <v>1277</v>
      </c>
      <c r="AO111" t="s">
        <v>1278</v>
      </c>
      <c r="AP111" t="s">
        <v>1279</v>
      </c>
      <c r="AQ111" t="s">
        <v>131</v>
      </c>
      <c r="AR111" t="s">
        <v>132</v>
      </c>
      <c r="AS111" t="s">
        <v>1280</v>
      </c>
      <c r="AT111" t="s">
        <v>1281</v>
      </c>
      <c r="AV111" t="s">
        <v>1095</v>
      </c>
      <c r="AW111" t="s">
        <v>1148</v>
      </c>
      <c r="AX111" t="s">
        <v>136</v>
      </c>
      <c r="AY111" t="s">
        <v>177</v>
      </c>
      <c r="AZ111" t="s">
        <v>517</v>
      </c>
      <c r="BA111" t="s">
        <v>1282</v>
      </c>
      <c r="BC111" t="s">
        <v>140</v>
      </c>
      <c r="BT111" s="7">
        <f t="shared" si="7"/>
        <v>139</v>
      </c>
      <c r="BU111" s="6">
        <f t="shared" si="8"/>
        <v>129.90654205607476</v>
      </c>
      <c r="BV111" s="6">
        <f t="shared" si="9"/>
        <v>9.0934579439252339</v>
      </c>
      <c r="BW111" s="6">
        <f t="shared" si="10"/>
        <v>139</v>
      </c>
      <c r="BX111" s="6">
        <f t="shared" si="11"/>
        <v>0</v>
      </c>
    </row>
    <row r="112" spans="1:76" x14ac:dyDescent="0.35">
      <c r="A112" t="s">
        <v>1283</v>
      </c>
      <c r="B112" t="s">
        <v>107</v>
      </c>
      <c r="C112" t="s">
        <v>107</v>
      </c>
      <c r="E112" t="s">
        <v>108</v>
      </c>
      <c r="F112" t="s">
        <v>158</v>
      </c>
      <c r="G112" t="s">
        <v>159</v>
      </c>
      <c r="H112" t="s">
        <v>111</v>
      </c>
      <c r="I112" t="s">
        <v>341</v>
      </c>
      <c r="J112" t="s">
        <v>113</v>
      </c>
      <c r="K112" s="8" t="s">
        <v>114</v>
      </c>
      <c r="L112" t="s">
        <v>161</v>
      </c>
      <c r="M112" s="6">
        <v>459</v>
      </c>
      <c r="N112" t="s">
        <v>994</v>
      </c>
      <c r="O112" s="6">
        <v>220</v>
      </c>
      <c r="P112" t="s">
        <v>1151</v>
      </c>
      <c r="Q112" s="6">
        <v>0</v>
      </c>
      <c r="R112" s="7">
        <f t="shared" si="6"/>
        <v>239</v>
      </c>
      <c r="S112" t="s">
        <v>180</v>
      </c>
      <c r="T112" t="s">
        <v>114</v>
      </c>
      <c r="U112" t="s">
        <v>180</v>
      </c>
      <c r="W112" t="s">
        <v>114</v>
      </c>
      <c r="X112" t="s">
        <v>1151</v>
      </c>
      <c r="Z112" t="s">
        <v>1284</v>
      </c>
      <c r="AA112" t="s">
        <v>1285</v>
      </c>
      <c r="AB112" s="1" t="s">
        <v>1286</v>
      </c>
      <c r="AC112" t="s">
        <v>1287</v>
      </c>
      <c r="AD112" t="s">
        <v>1285</v>
      </c>
      <c r="AH112" t="s">
        <v>123</v>
      </c>
      <c r="AI112" t="s">
        <v>124</v>
      </c>
      <c r="AJ112" t="s">
        <v>1288</v>
      </c>
      <c r="AK112" t="s">
        <v>126</v>
      </c>
      <c r="AL112" t="s">
        <v>127</v>
      </c>
      <c r="AN112" t="s">
        <v>1289</v>
      </c>
      <c r="AO112" t="s">
        <v>1290</v>
      </c>
      <c r="AP112" t="s">
        <v>1291</v>
      </c>
      <c r="AQ112" t="s">
        <v>131</v>
      </c>
      <c r="AR112" t="s">
        <v>132</v>
      </c>
      <c r="AS112" t="s">
        <v>404</v>
      </c>
      <c r="AT112" t="s">
        <v>1292</v>
      </c>
      <c r="AV112" t="s">
        <v>236</v>
      </c>
      <c r="AX112" t="s">
        <v>136</v>
      </c>
      <c r="AY112" t="s">
        <v>177</v>
      </c>
      <c r="AZ112" t="s">
        <v>138</v>
      </c>
      <c r="BA112" t="s">
        <v>1293</v>
      </c>
      <c r="BC112" t="s">
        <v>140</v>
      </c>
      <c r="BT112" s="7">
        <f t="shared" si="7"/>
        <v>239</v>
      </c>
      <c r="BU112" s="6">
        <f t="shared" si="8"/>
        <v>223.36448598130841</v>
      </c>
      <c r="BV112" s="6">
        <f t="shared" si="9"/>
        <v>15.635514018691588</v>
      </c>
      <c r="BW112" s="6">
        <f t="shared" si="10"/>
        <v>239</v>
      </c>
      <c r="BX112" s="6">
        <f t="shared" si="11"/>
        <v>0</v>
      </c>
    </row>
    <row r="113" spans="1:76" x14ac:dyDescent="0.35">
      <c r="A113" t="s">
        <v>1294</v>
      </c>
      <c r="B113" t="s">
        <v>107</v>
      </c>
      <c r="C113" t="s">
        <v>107</v>
      </c>
      <c r="E113" t="s">
        <v>108</v>
      </c>
      <c r="F113" t="s">
        <v>338</v>
      </c>
      <c r="G113" t="s">
        <v>339</v>
      </c>
      <c r="H113" t="s">
        <v>340</v>
      </c>
      <c r="I113" t="s">
        <v>341</v>
      </c>
      <c r="J113" t="s">
        <v>113</v>
      </c>
      <c r="K113" s="8" t="s">
        <v>114</v>
      </c>
      <c r="L113" t="s">
        <v>114</v>
      </c>
      <c r="M113" s="6">
        <v>0</v>
      </c>
      <c r="N113" t="s">
        <v>114</v>
      </c>
      <c r="O113" s="6">
        <v>0</v>
      </c>
      <c r="P113" t="s">
        <v>114</v>
      </c>
      <c r="Q113" s="6">
        <v>9</v>
      </c>
      <c r="R113" s="7">
        <f t="shared" si="6"/>
        <v>9</v>
      </c>
      <c r="S113" t="s">
        <v>1296</v>
      </c>
      <c r="T113" t="s">
        <v>114</v>
      </c>
      <c r="U113" t="s">
        <v>1297</v>
      </c>
      <c r="W113" t="s">
        <v>114</v>
      </c>
      <c r="X113" t="s">
        <v>1298</v>
      </c>
      <c r="Z113" t="s">
        <v>1299</v>
      </c>
      <c r="AA113" t="s">
        <v>1300</v>
      </c>
      <c r="AB113" s="1" t="s">
        <v>1301</v>
      </c>
      <c r="AC113" t="s">
        <v>1302</v>
      </c>
      <c r="AD113" t="s">
        <v>1300</v>
      </c>
      <c r="AH113" t="s">
        <v>123</v>
      </c>
      <c r="AI113" t="s">
        <v>124</v>
      </c>
      <c r="AJ113" t="s">
        <v>1303</v>
      </c>
      <c r="AK113" t="s">
        <v>126</v>
      </c>
      <c r="AL113" t="s">
        <v>127</v>
      </c>
      <c r="AN113" t="s">
        <v>1304</v>
      </c>
      <c r="AO113" t="s">
        <v>1305</v>
      </c>
      <c r="AP113" t="s">
        <v>1306</v>
      </c>
      <c r="AQ113" t="s">
        <v>131</v>
      </c>
      <c r="AR113" t="s">
        <v>132</v>
      </c>
      <c r="AS113" t="s">
        <v>1120</v>
      </c>
      <c r="AT113" t="s">
        <v>1307</v>
      </c>
      <c r="AV113" t="s">
        <v>1095</v>
      </c>
      <c r="AW113" t="s">
        <v>668</v>
      </c>
      <c r="AX113" t="s">
        <v>136</v>
      </c>
      <c r="AY113" t="s">
        <v>177</v>
      </c>
      <c r="AZ113" t="s">
        <v>356</v>
      </c>
      <c r="BA113" t="s">
        <v>1308</v>
      </c>
      <c r="BC113" t="s">
        <v>140</v>
      </c>
      <c r="BT113" s="7">
        <f t="shared" si="7"/>
        <v>9</v>
      </c>
      <c r="BU113" s="6">
        <f t="shared" si="8"/>
        <v>8.4112149532710276</v>
      </c>
      <c r="BV113" s="6">
        <f t="shared" si="9"/>
        <v>0.58878504672897192</v>
      </c>
      <c r="BW113" s="6">
        <f t="shared" si="10"/>
        <v>9</v>
      </c>
      <c r="BX113" s="6">
        <f t="shared" si="11"/>
        <v>0</v>
      </c>
    </row>
    <row r="114" spans="1:76" x14ac:dyDescent="0.35">
      <c r="A114" t="s">
        <v>1294</v>
      </c>
      <c r="B114" t="s">
        <v>107</v>
      </c>
      <c r="C114" t="s">
        <v>107</v>
      </c>
      <c r="E114" t="s">
        <v>108</v>
      </c>
      <c r="F114" t="s">
        <v>358</v>
      </c>
      <c r="G114" t="s">
        <v>359</v>
      </c>
      <c r="H114" t="s">
        <v>360</v>
      </c>
      <c r="I114" t="s">
        <v>341</v>
      </c>
      <c r="J114" t="s">
        <v>113</v>
      </c>
      <c r="K114" s="8" t="s">
        <v>114</v>
      </c>
      <c r="L114" t="s">
        <v>361</v>
      </c>
      <c r="M114" s="6">
        <v>233</v>
      </c>
      <c r="N114" t="s">
        <v>113</v>
      </c>
      <c r="O114" s="6">
        <v>127</v>
      </c>
      <c r="P114" t="s">
        <v>562</v>
      </c>
      <c r="Q114" s="6">
        <v>9</v>
      </c>
      <c r="R114" s="7">
        <f t="shared" si="6"/>
        <v>115</v>
      </c>
      <c r="S114" t="s">
        <v>1296</v>
      </c>
      <c r="T114" t="s">
        <v>114</v>
      </c>
      <c r="U114" t="s">
        <v>1297</v>
      </c>
      <c r="W114" t="s">
        <v>114</v>
      </c>
      <c r="X114" t="s">
        <v>1298</v>
      </c>
      <c r="Z114" t="s">
        <v>1299</v>
      </c>
      <c r="AA114" t="s">
        <v>1300</v>
      </c>
      <c r="AB114" s="1" t="s">
        <v>1301</v>
      </c>
      <c r="AC114" t="s">
        <v>1302</v>
      </c>
      <c r="AD114" t="s">
        <v>1300</v>
      </c>
      <c r="AH114" t="s">
        <v>123</v>
      </c>
      <c r="AI114" t="s">
        <v>124</v>
      </c>
      <c r="AJ114" t="s">
        <v>1303</v>
      </c>
      <c r="AK114" t="s">
        <v>126</v>
      </c>
      <c r="AL114" t="s">
        <v>127</v>
      </c>
      <c r="AN114" t="s">
        <v>1304</v>
      </c>
      <c r="AO114" t="s">
        <v>1305</v>
      </c>
      <c r="AP114" t="s">
        <v>1306</v>
      </c>
      <c r="AQ114" t="s">
        <v>131</v>
      </c>
      <c r="AR114" t="s">
        <v>132</v>
      </c>
      <c r="AS114" t="s">
        <v>1120</v>
      </c>
      <c r="AT114" t="s">
        <v>1307</v>
      </c>
      <c r="AV114" t="s">
        <v>1095</v>
      </c>
      <c r="AW114" t="s">
        <v>668</v>
      </c>
      <c r="AX114" t="s">
        <v>136</v>
      </c>
      <c r="AY114" t="s">
        <v>177</v>
      </c>
      <c r="AZ114" t="s">
        <v>364</v>
      </c>
      <c r="BA114" t="s">
        <v>1308</v>
      </c>
      <c r="BC114" t="s">
        <v>140</v>
      </c>
      <c r="BT114" s="7">
        <f t="shared" si="7"/>
        <v>115</v>
      </c>
      <c r="BU114" s="6">
        <f t="shared" si="8"/>
        <v>107.47663551401868</v>
      </c>
      <c r="BV114" s="6">
        <f t="shared" si="9"/>
        <v>7.5233644859813076</v>
      </c>
      <c r="BW114" s="6">
        <f t="shared" si="10"/>
        <v>114.99999999999999</v>
      </c>
      <c r="BX114" s="6">
        <f t="shared" si="11"/>
        <v>0</v>
      </c>
    </row>
    <row r="115" spans="1:76" x14ac:dyDescent="0.35">
      <c r="A115" t="s">
        <v>1309</v>
      </c>
      <c r="B115" t="s">
        <v>107</v>
      </c>
      <c r="C115" t="s">
        <v>107</v>
      </c>
      <c r="E115" t="s">
        <v>108</v>
      </c>
      <c r="F115" t="s">
        <v>158</v>
      </c>
      <c r="G115" t="s">
        <v>159</v>
      </c>
      <c r="H115" t="s">
        <v>111</v>
      </c>
      <c r="I115" t="s">
        <v>341</v>
      </c>
      <c r="J115" t="s">
        <v>113</v>
      </c>
      <c r="K115" s="8" t="s">
        <v>114</v>
      </c>
      <c r="L115" t="s">
        <v>161</v>
      </c>
      <c r="M115" s="6">
        <v>459</v>
      </c>
      <c r="N115" t="s">
        <v>994</v>
      </c>
      <c r="O115" s="6">
        <v>220</v>
      </c>
      <c r="P115" t="s">
        <v>1151</v>
      </c>
      <c r="Q115" s="6">
        <v>0</v>
      </c>
      <c r="R115" s="7">
        <f t="shared" si="6"/>
        <v>239</v>
      </c>
      <c r="S115" t="s">
        <v>180</v>
      </c>
      <c r="T115" t="s">
        <v>114</v>
      </c>
      <c r="U115" t="s">
        <v>180</v>
      </c>
      <c r="W115" t="s">
        <v>114</v>
      </c>
      <c r="X115" t="s">
        <v>1151</v>
      </c>
      <c r="Z115" t="s">
        <v>1310</v>
      </c>
      <c r="AA115" t="s">
        <v>1311</v>
      </c>
      <c r="AB115" s="1" t="s">
        <v>1312</v>
      </c>
      <c r="AC115" t="s">
        <v>1313</v>
      </c>
      <c r="AD115" t="s">
        <v>1311</v>
      </c>
      <c r="AH115" t="s">
        <v>123</v>
      </c>
      <c r="AI115" t="s">
        <v>124</v>
      </c>
      <c r="AJ115" t="s">
        <v>1314</v>
      </c>
      <c r="AK115" t="s">
        <v>126</v>
      </c>
      <c r="AL115" t="s">
        <v>127</v>
      </c>
      <c r="AN115" t="s">
        <v>1315</v>
      </c>
      <c r="AO115" t="s">
        <v>1316</v>
      </c>
      <c r="AP115" t="s">
        <v>1317</v>
      </c>
      <c r="AQ115" t="s">
        <v>131</v>
      </c>
      <c r="AR115" t="s">
        <v>132</v>
      </c>
      <c r="AS115" t="s">
        <v>1318</v>
      </c>
      <c r="AT115" t="s">
        <v>1319</v>
      </c>
      <c r="AV115" t="s">
        <v>496</v>
      </c>
      <c r="AX115" t="s">
        <v>136</v>
      </c>
      <c r="AY115" t="s">
        <v>177</v>
      </c>
      <c r="AZ115" t="s">
        <v>138</v>
      </c>
      <c r="BA115" t="s">
        <v>1320</v>
      </c>
      <c r="BC115" t="s">
        <v>140</v>
      </c>
      <c r="BT115" s="7">
        <f t="shared" si="7"/>
        <v>239</v>
      </c>
      <c r="BU115" s="6">
        <f t="shared" si="8"/>
        <v>223.36448598130841</v>
      </c>
      <c r="BV115" s="6">
        <f t="shared" si="9"/>
        <v>15.635514018691588</v>
      </c>
      <c r="BW115" s="6">
        <f t="shared" si="10"/>
        <v>239</v>
      </c>
      <c r="BX115" s="6">
        <f t="shared" si="11"/>
        <v>0</v>
      </c>
    </row>
    <row r="116" spans="1:76" x14ac:dyDescent="0.35">
      <c r="A116" t="s">
        <v>1321</v>
      </c>
      <c r="B116" t="s">
        <v>336</v>
      </c>
      <c r="C116" t="s">
        <v>336</v>
      </c>
      <c r="D116" t="s">
        <v>337</v>
      </c>
      <c r="E116" t="s">
        <v>108</v>
      </c>
      <c r="F116" t="s">
        <v>158</v>
      </c>
      <c r="G116" t="s">
        <v>159</v>
      </c>
      <c r="H116" t="s">
        <v>111</v>
      </c>
      <c r="I116" t="s">
        <v>341</v>
      </c>
      <c r="J116" t="s">
        <v>113</v>
      </c>
      <c r="K116" s="8" t="s">
        <v>113</v>
      </c>
      <c r="L116" t="s">
        <v>161</v>
      </c>
      <c r="M116" s="6">
        <v>459</v>
      </c>
      <c r="N116" t="s">
        <v>1322</v>
      </c>
      <c r="O116" s="6">
        <v>220</v>
      </c>
      <c r="P116" t="s">
        <v>116</v>
      </c>
      <c r="Q116" s="6">
        <v>0</v>
      </c>
      <c r="R116" s="7">
        <f t="shared" si="6"/>
        <v>239</v>
      </c>
      <c r="S116" t="s">
        <v>142</v>
      </c>
      <c r="T116" t="s">
        <v>114</v>
      </c>
      <c r="U116" t="s">
        <v>142</v>
      </c>
      <c r="W116" t="s">
        <v>114</v>
      </c>
      <c r="X116" t="s">
        <v>116</v>
      </c>
      <c r="Y116" t="s">
        <v>116</v>
      </c>
      <c r="Z116" t="s">
        <v>1323</v>
      </c>
      <c r="AE116" t="s">
        <v>1324</v>
      </c>
      <c r="AF116" t="s">
        <v>346</v>
      </c>
      <c r="AG116" t="s">
        <v>1325</v>
      </c>
      <c r="AH116" t="s">
        <v>123</v>
      </c>
      <c r="AI116" t="s">
        <v>124</v>
      </c>
      <c r="AK116" t="s">
        <v>126</v>
      </c>
      <c r="AN116" t="s">
        <v>851</v>
      </c>
      <c r="AO116" t="s">
        <v>852</v>
      </c>
      <c r="AP116" t="s">
        <v>853</v>
      </c>
      <c r="AQ116" t="s">
        <v>131</v>
      </c>
      <c r="AR116" t="s">
        <v>132</v>
      </c>
      <c r="AS116" t="s">
        <v>152</v>
      </c>
      <c r="AT116" t="s">
        <v>854</v>
      </c>
      <c r="AV116" t="s">
        <v>154</v>
      </c>
      <c r="AX116" t="s">
        <v>155</v>
      </c>
      <c r="AY116" t="s">
        <v>177</v>
      </c>
      <c r="AZ116" t="s">
        <v>138</v>
      </c>
      <c r="BT116" s="7">
        <f t="shared" si="7"/>
        <v>239</v>
      </c>
      <c r="BU116" s="6">
        <f t="shared" si="8"/>
        <v>223.36448598130841</v>
      </c>
      <c r="BV116" s="6">
        <f t="shared" si="9"/>
        <v>15.635514018691588</v>
      </c>
      <c r="BW116" s="6">
        <f t="shared" si="10"/>
        <v>239</v>
      </c>
      <c r="BX116" s="6">
        <f t="shared" si="11"/>
        <v>0</v>
      </c>
    </row>
    <row r="117" spans="1:76" x14ac:dyDescent="0.35">
      <c r="A117" t="s">
        <v>1326</v>
      </c>
      <c r="B117" t="s">
        <v>107</v>
      </c>
      <c r="C117" t="s">
        <v>107</v>
      </c>
      <c r="E117" t="s">
        <v>108</v>
      </c>
      <c r="F117" t="s">
        <v>158</v>
      </c>
      <c r="G117" t="s">
        <v>159</v>
      </c>
      <c r="H117" t="s">
        <v>111</v>
      </c>
      <c r="I117" t="s">
        <v>341</v>
      </c>
      <c r="J117" t="s">
        <v>113</v>
      </c>
      <c r="K117" s="8" t="s">
        <v>114</v>
      </c>
      <c r="L117" t="s">
        <v>161</v>
      </c>
      <c r="M117" s="6">
        <v>459</v>
      </c>
      <c r="N117" t="s">
        <v>114</v>
      </c>
      <c r="O117" s="6">
        <v>220</v>
      </c>
      <c r="P117" t="s">
        <v>1111</v>
      </c>
      <c r="Q117" s="6">
        <v>0</v>
      </c>
      <c r="R117" s="7">
        <f t="shared" si="6"/>
        <v>239</v>
      </c>
      <c r="S117" t="s">
        <v>180</v>
      </c>
      <c r="T117" t="s">
        <v>114</v>
      </c>
      <c r="U117" t="s">
        <v>180</v>
      </c>
      <c r="W117" t="s">
        <v>114</v>
      </c>
      <c r="X117" t="s">
        <v>1111</v>
      </c>
      <c r="Z117" t="s">
        <v>1327</v>
      </c>
      <c r="AA117" t="s">
        <v>1328</v>
      </c>
      <c r="AB117" s="1" t="s">
        <v>1329</v>
      </c>
      <c r="AC117" t="s">
        <v>1330</v>
      </c>
      <c r="AD117" t="s">
        <v>1328</v>
      </c>
      <c r="AH117" t="s">
        <v>123</v>
      </c>
      <c r="AI117" t="s">
        <v>124</v>
      </c>
      <c r="AJ117" t="s">
        <v>1331</v>
      </c>
      <c r="AK117" t="s">
        <v>126</v>
      </c>
      <c r="AL117" t="s">
        <v>127</v>
      </c>
      <c r="AN117" t="s">
        <v>1332</v>
      </c>
      <c r="AO117" t="s">
        <v>1333</v>
      </c>
      <c r="AP117" t="s">
        <v>1334</v>
      </c>
      <c r="AQ117" t="s">
        <v>131</v>
      </c>
      <c r="AR117" t="s">
        <v>132</v>
      </c>
      <c r="AS117" t="s">
        <v>1335</v>
      </c>
      <c r="AT117" t="s">
        <v>1336</v>
      </c>
      <c r="AV117" t="s">
        <v>773</v>
      </c>
      <c r="AW117" t="s">
        <v>1183</v>
      </c>
      <c r="AX117" t="s">
        <v>136</v>
      </c>
      <c r="AY117" t="s">
        <v>177</v>
      </c>
      <c r="AZ117" t="s">
        <v>138</v>
      </c>
      <c r="BA117" t="s">
        <v>1337</v>
      </c>
      <c r="BC117" t="s">
        <v>140</v>
      </c>
      <c r="BT117" s="7">
        <f t="shared" si="7"/>
        <v>239</v>
      </c>
      <c r="BU117" s="6">
        <f t="shared" si="8"/>
        <v>223.36448598130841</v>
      </c>
      <c r="BV117" s="6">
        <f t="shared" si="9"/>
        <v>15.635514018691588</v>
      </c>
      <c r="BW117" s="6">
        <f t="shared" si="10"/>
        <v>239</v>
      </c>
      <c r="BX117" s="6">
        <f t="shared" si="11"/>
        <v>0</v>
      </c>
    </row>
    <row r="118" spans="1:76" x14ac:dyDescent="0.35">
      <c r="A118" t="s">
        <v>1338</v>
      </c>
      <c r="B118" t="s">
        <v>107</v>
      </c>
      <c r="C118" t="s">
        <v>107</v>
      </c>
      <c r="F118" t="s">
        <v>533</v>
      </c>
      <c r="G118" t="s">
        <v>534</v>
      </c>
      <c r="H118" t="s">
        <v>535</v>
      </c>
      <c r="I118" t="s">
        <v>536</v>
      </c>
      <c r="J118" t="s">
        <v>113</v>
      </c>
      <c r="K118" s="8" t="s">
        <v>114</v>
      </c>
      <c r="L118" t="s">
        <v>114</v>
      </c>
      <c r="M118" s="6">
        <v>0</v>
      </c>
      <c r="N118" t="s">
        <v>114</v>
      </c>
      <c r="O118" s="6">
        <v>0</v>
      </c>
      <c r="P118" t="s">
        <v>114</v>
      </c>
      <c r="Q118" s="6">
        <v>0</v>
      </c>
      <c r="R118" s="7">
        <f t="shared" si="6"/>
        <v>0</v>
      </c>
      <c r="S118" t="s">
        <v>114</v>
      </c>
      <c r="T118" t="s">
        <v>114</v>
      </c>
      <c r="U118" t="s">
        <v>114</v>
      </c>
      <c r="W118" t="s">
        <v>114</v>
      </c>
      <c r="X118" t="s">
        <v>114</v>
      </c>
      <c r="Z118" t="s">
        <v>1339</v>
      </c>
      <c r="AA118" t="s">
        <v>1339</v>
      </c>
      <c r="AB118" s="1" t="s">
        <v>1340</v>
      </c>
      <c r="AC118" t="s">
        <v>1341</v>
      </c>
      <c r="AD118" t="s">
        <v>1342</v>
      </c>
      <c r="AH118" t="s">
        <v>123</v>
      </c>
      <c r="AI118" t="s">
        <v>124</v>
      </c>
      <c r="AJ118" t="s">
        <v>1343</v>
      </c>
      <c r="AK118" t="s">
        <v>126</v>
      </c>
      <c r="AL118" t="s">
        <v>127</v>
      </c>
      <c r="AN118" t="s">
        <v>1344</v>
      </c>
      <c r="AO118" t="s">
        <v>1345</v>
      </c>
      <c r="AP118" t="s">
        <v>1346</v>
      </c>
      <c r="AQ118" t="s">
        <v>131</v>
      </c>
      <c r="AR118" t="s">
        <v>132</v>
      </c>
      <c r="AS118" t="s">
        <v>152</v>
      </c>
      <c r="AT118" t="s">
        <v>1347</v>
      </c>
      <c r="AV118" t="s">
        <v>154</v>
      </c>
      <c r="AW118" t="s">
        <v>625</v>
      </c>
      <c r="AY118" t="s">
        <v>547</v>
      </c>
      <c r="AZ118" t="s">
        <v>364</v>
      </c>
      <c r="BA118" t="s">
        <v>1348</v>
      </c>
      <c r="BC118" t="s">
        <v>140</v>
      </c>
      <c r="BT118" s="7">
        <f t="shared" si="7"/>
        <v>0</v>
      </c>
      <c r="BU118" s="6">
        <f t="shared" si="8"/>
        <v>0</v>
      </c>
      <c r="BV118" s="6">
        <f t="shared" si="9"/>
        <v>0</v>
      </c>
      <c r="BW118" s="6">
        <f t="shared" si="10"/>
        <v>0</v>
      </c>
      <c r="BX118" s="6">
        <f t="shared" si="11"/>
        <v>0</v>
      </c>
    </row>
    <row r="119" spans="1:76" x14ac:dyDescent="0.35">
      <c r="A119" t="s">
        <v>1349</v>
      </c>
      <c r="B119" t="s">
        <v>107</v>
      </c>
      <c r="C119" t="s">
        <v>107</v>
      </c>
      <c r="F119" t="s">
        <v>158</v>
      </c>
      <c r="G119" t="s">
        <v>159</v>
      </c>
      <c r="H119" t="s">
        <v>111</v>
      </c>
      <c r="I119" t="s">
        <v>341</v>
      </c>
      <c r="J119" t="s">
        <v>113</v>
      </c>
      <c r="K119" s="8" t="s">
        <v>114</v>
      </c>
      <c r="L119" t="s">
        <v>114</v>
      </c>
      <c r="M119" s="6">
        <v>0</v>
      </c>
      <c r="N119" t="s">
        <v>114</v>
      </c>
      <c r="O119" s="6">
        <v>0</v>
      </c>
      <c r="P119" t="s">
        <v>114</v>
      </c>
      <c r="Q119" s="6">
        <v>0</v>
      </c>
      <c r="R119" s="7">
        <f t="shared" si="6"/>
        <v>0</v>
      </c>
      <c r="S119" t="s">
        <v>114</v>
      </c>
      <c r="T119" t="s">
        <v>114</v>
      </c>
      <c r="U119" t="s">
        <v>114</v>
      </c>
      <c r="W119" t="s">
        <v>114</v>
      </c>
      <c r="X119" t="s">
        <v>114</v>
      </c>
      <c r="Z119" t="s">
        <v>1350</v>
      </c>
      <c r="AA119" t="s">
        <v>1351</v>
      </c>
      <c r="AB119" s="1" t="s">
        <v>1352</v>
      </c>
      <c r="AC119" t="s">
        <v>1353</v>
      </c>
      <c r="AD119" t="s">
        <v>1354</v>
      </c>
      <c r="AH119" t="s">
        <v>123</v>
      </c>
      <c r="AI119" t="s">
        <v>124</v>
      </c>
      <c r="AJ119" t="s">
        <v>1355</v>
      </c>
      <c r="AK119" t="s">
        <v>126</v>
      </c>
      <c r="AL119" t="s">
        <v>127</v>
      </c>
      <c r="AN119" t="s">
        <v>1356</v>
      </c>
      <c r="AO119" t="s">
        <v>215</v>
      </c>
      <c r="AP119" t="s">
        <v>1357</v>
      </c>
      <c r="AQ119" t="s">
        <v>131</v>
      </c>
      <c r="AR119" t="s">
        <v>233</v>
      </c>
      <c r="AS119" t="s">
        <v>234</v>
      </c>
      <c r="AT119" t="s">
        <v>1358</v>
      </c>
      <c r="AV119" t="s">
        <v>690</v>
      </c>
      <c r="AW119" t="s">
        <v>1107</v>
      </c>
      <c r="AY119" t="s">
        <v>177</v>
      </c>
      <c r="AZ119" t="s">
        <v>138</v>
      </c>
      <c r="BA119" t="s">
        <v>1359</v>
      </c>
      <c r="BC119" t="s">
        <v>140</v>
      </c>
      <c r="BT119" s="7">
        <f t="shared" si="7"/>
        <v>0</v>
      </c>
      <c r="BU119" s="6">
        <f t="shared" si="8"/>
        <v>0</v>
      </c>
      <c r="BV119" s="6">
        <f t="shared" si="9"/>
        <v>0</v>
      </c>
      <c r="BW119" s="6">
        <f t="shared" si="10"/>
        <v>0</v>
      </c>
      <c r="BX119" s="6">
        <f t="shared" si="11"/>
        <v>0</v>
      </c>
    </row>
    <row r="120" spans="1:76" x14ac:dyDescent="0.35">
      <c r="A120" t="s">
        <v>1360</v>
      </c>
      <c r="B120" t="s">
        <v>107</v>
      </c>
      <c r="C120" t="s">
        <v>107</v>
      </c>
      <c r="F120" t="s">
        <v>158</v>
      </c>
      <c r="G120" t="s">
        <v>159</v>
      </c>
      <c r="H120" t="s">
        <v>111</v>
      </c>
      <c r="I120" t="s">
        <v>341</v>
      </c>
      <c r="J120" t="s">
        <v>113</v>
      </c>
      <c r="K120" s="8" t="s">
        <v>114</v>
      </c>
      <c r="L120" t="s">
        <v>114</v>
      </c>
      <c r="M120" s="6">
        <v>0</v>
      </c>
      <c r="N120" t="s">
        <v>114</v>
      </c>
      <c r="O120" s="6">
        <v>0</v>
      </c>
      <c r="P120" t="s">
        <v>114</v>
      </c>
      <c r="Q120" s="6">
        <v>0</v>
      </c>
      <c r="R120" s="7">
        <f t="shared" si="6"/>
        <v>0</v>
      </c>
      <c r="S120" t="s">
        <v>114</v>
      </c>
      <c r="T120" t="s">
        <v>114</v>
      </c>
      <c r="U120" t="s">
        <v>114</v>
      </c>
      <c r="W120" t="s">
        <v>114</v>
      </c>
      <c r="X120" t="s">
        <v>114</v>
      </c>
      <c r="Z120" t="s">
        <v>1361</v>
      </c>
      <c r="AA120" t="s">
        <v>1361</v>
      </c>
      <c r="AB120" s="1" t="s">
        <v>1362</v>
      </c>
      <c r="AC120" t="s">
        <v>1363</v>
      </c>
      <c r="AD120" t="s">
        <v>1364</v>
      </c>
      <c r="AH120" t="s">
        <v>123</v>
      </c>
      <c r="AI120" t="s">
        <v>124</v>
      </c>
      <c r="AJ120" t="s">
        <v>1365</v>
      </c>
      <c r="AK120" t="s">
        <v>126</v>
      </c>
      <c r="AL120" t="s">
        <v>127</v>
      </c>
      <c r="AN120" t="s">
        <v>1366</v>
      </c>
      <c r="AO120" t="s">
        <v>1367</v>
      </c>
      <c r="AP120" t="s">
        <v>1368</v>
      </c>
      <c r="AQ120" t="s">
        <v>131</v>
      </c>
      <c r="AR120" t="s">
        <v>132</v>
      </c>
      <c r="AS120" t="s">
        <v>1369</v>
      </c>
      <c r="AT120" t="s">
        <v>1370</v>
      </c>
      <c r="AV120" t="s">
        <v>732</v>
      </c>
      <c r="AW120" t="s">
        <v>299</v>
      </c>
      <c r="AY120" t="s">
        <v>177</v>
      </c>
      <c r="AZ120" t="s">
        <v>138</v>
      </c>
      <c r="BA120" t="s">
        <v>1371</v>
      </c>
      <c r="BC120" t="s">
        <v>140</v>
      </c>
      <c r="BT120" s="7">
        <f t="shared" si="7"/>
        <v>0</v>
      </c>
      <c r="BU120" s="6">
        <f t="shared" si="8"/>
        <v>0</v>
      </c>
      <c r="BV120" s="6">
        <f t="shared" si="9"/>
        <v>0</v>
      </c>
      <c r="BW120" s="6">
        <f t="shared" si="10"/>
        <v>0</v>
      </c>
      <c r="BX120" s="6">
        <f t="shared" si="11"/>
        <v>0</v>
      </c>
    </row>
    <row r="121" spans="1:76" x14ac:dyDescent="0.35">
      <c r="A121" t="s">
        <v>1372</v>
      </c>
      <c r="B121" t="s">
        <v>107</v>
      </c>
      <c r="C121" t="s">
        <v>107</v>
      </c>
      <c r="F121" t="s">
        <v>613</v>
      </c>
      <c r="G121" t="s">
        <v>614</v>
      </c>
      <c r="H121" t="s">
        <v>615</v>
      </c>
      <c r="I121" t="s">
        <v>271</v>
      </c>
      <c r="J121" t="s">
        <v>113</v>
      </c>
      <c r="K121" s="8" t="s">
        <v>114</v>
      </c>
      <c r="L121" t="s">
        <v>114</v>
      </c>
      <c r="M121" s="6">
        <v>0</v>
      </c>
      <c r="N121" t="s">
        <v>114</v>
      </c>
      <c r="O121" s="6">
        <v>0</v>
      </c>
      <c r="P121" t="s">
        <v>114</v>
      </c>
      <c r="Q121" s="6">
        <v>0</v>
      </c>
      <c r="R121" s="7">
        <f t="shared" si="6"/>
        <v>0</v>
      </c>
      <c r="S121" t="s">
        <v>114</v>
      </c>
      <c r="T121" t="s">
        <v>114</v>
      </c>
      <c r="U121" t="s">
        <v>114</v>
      </c>
      <c r="W121" t="s">
        <v>114</v>
      </c>
      <c r="X121" t="s">
        <v>114</v>
      </c>
      <c r="Z121" t="s">
        <v>1373</v>
      </c>
      <c r="AA121" t="s">
        <v>1373</v>
      </c>
      <c r="AB121" s="1" t="s">
        <v>1362</v>
      </c>
      <c r="AC121" t="s">
        <v>1374</v>
      </c>
      <c r="AD121" t="s">
        <v>1375</v>
      </c>
      <c r="AH121" t="s">
        <v>123</v>
      </c>
      <c r="AI121" t="s">
        <v>124</v>
      </c>
      <c r="AJ121" t="s">
        <v>1376</v>
      </c>
      <c r="AK121" t="s">
        <v>126</v>
      </c>
      <c r="AL121" t="s">
        <v>127</v>
      </c>
      <c r="AN121" t="s">
        <v>1377</v>
      </c>
      <c r="AO121" t="s">
        <v>1378</v>
      </c>
      <c r="AP121" t="s">
        <v>1379</v>
      </c>
      <c r="AQ121" t="s">
        <v>131</v>
      </c>
      <c r="AR121" t="s">
        <v>132</v>
      </c>
      <c r="AS121" t="s">
        <v>1380</v>
      </c>
      <c r="AT121" t="s">
        <v>1381</v>
      </c>
      <c r="AV121" t="s">
        <v>798</v>
      </c>
      <c r="AY121" t="s">
        <v>177</v>
      </c>
      <c r="AZ121" t="s">
        <v>627</v>
      </c>
      <c r="BA121" t="s">
        <v>1382</v>
      </c>
      <c r="BC121" t="s">
        <v>140</v>
      </c>
      <c r="BT121" s="7">
        <f t="shared" si="7"/>
        <v>0</v>
      </c>
      <c r="BU121" s="6">
        <f t="shared" si="8"/>
        <v>0</v>
      </c>
      <c r="BV121" s="6">
        <f t="shared" si="9"/>
        <v>0</v>
      </c>
      <c r="BW121" s="6">
        <f t="shared" si="10"/>
        <v>0</v>
      </c>
      <c r="BX121" s="6">
        <f t="shared" si="11"/>
        <v>0</v>
      </c>
    </row>
    <row r="122" spans="1:76" x14ac:dyDescent="0.35">
      <c r="A122" t="s">
        <v>1383</v>
      </c>
      <c r="B122" t="s">
        <v>107</v>
      </c>
      <c r="C122" t="s">
        <v>107</v>
      </c>
      <c r="E122" t="s">
        <v>108</v>
      </c>
      <c r="F122" t="s">
        <v>158</v>
      </c>
      <c r="G122" t="s">
        <v>159</v>
      </c>
      <c r="H122" t="s">
        <v>111</v>
      </c>
      <c r="I122" t="s">
        <v>341</v>
      </c>
      <c r="J122" t="s">
        <v>113</v>
      </c>
      <c r="K122" s="8" t="s">
        <v>114</v>
      </c>
      <c r="L122" t="s">
        <v>161</v>
      </c>
      <c r="M122" s="6">
        <v>459</v>
      </c>
      <c r="N122" t="s">
        <v>994</v>
      </c>
      <c r="O122" s="6">
        <v>220</v>
      </c>
      <c r="P122" t="s">
        <v>1151</v>
      </c>
      <c r="Q122" s="6">
        <v>0</v>
      </c>
      <c r="R122" s="7">
        <f t="shared" si="6"/>
        <v>239</v>
      </c>
      <c r="S122" t="s">
        <v>180</v>
      </c>
      <c r="T122" t="s">
        <v>114</v>
      </c>
      <c r="U122" t="s">
        <v>180</v>
      </c>
      <c r="W122" t="s">
        <v>114</v>
      </c>
      <c r="X122" t="s">
        <v>1151</v>
      </c>
      <c r="Z122" t="s">
        <v>1384</v>
      </c>
      <c r="AA122" t="s">
        <v>1385</v>
      </c>
      <c r="AB122" s="1" t="s">
        <v>1386</v>
      </c>
      <c r="AC122" t="s">
        <v>1387</v>
      </c>
      <c r="AD122" t="s">
        <v>1385</v>
      </c>
      <c r="AH122" t="s">
        <v>123</v>
      </c>
      <c r="AI122" t="s">
        <v>124</v>
      </c>
      <c r="AJ122" t="s">
        <v>1388</v>
      </c>
      <c r="AK122" t="s">
        <v>126</v>
      </c>
      <c r="AL122" t="s">
        <v>127</v>
      </c>
      <c r="AN122" t="s">
        <v>1389</v>
      </c>
      <c r="AO122" t="s">
        <v>1390</v>
      </c>
      <c r="AP122" t="s">
        <v>1391</v>
      </c>
      <c r="AQ122" t="s">
        <v>131</v>
      </c>
      <c r="AR122" t="s">
        <v>403</v>
      </c>
      <c r="AS122" t="s">
        <v>352</v>
      </c>
      <c r="AT122" t="s">
        <v>667</v>
      </c>
      <c r="AV122" t="s">
        <v>495</v>
      </c>
      <c r="AX122" t="s">
        <v>136</v>
      </c>
      <c r="AY122" t="s">
        <v>177</v>
      </c>
      <c r="AZ122" t="s">
        <v>138</v>
      </c>
      <c r="BA122" t="s">
        <v>1392</v>
      </c>
      <c r="BC122" t="s">
        <v>140</v>
      </c>
      <c r="BT122" s="7">
        <f t="shared" si="7"/>
        <v>239</v>
      </c>
      <c r="BU122" s="6">
        <f t="shared" si="8"/>
        <v>223.36448598130841</v>
      </c>
      <c r="BV122" s="6">
        <f t="shared" si="9"/>
        <v>15.635514018691588</v>
      </c>
      <c r="BW122" s="6">
        <f t="shared" si="10"/>
        <v>239</v>
      </c>
      <c r="BX122" s="6">
        <f t="shared" si="11"/>
        <v>0</v>
      </c>
    </row>
    <row r="123" spans="1:76" x14ac:dyDescent="0.35">
      <c r="A123" t="s">
        <v>1393</v>
      </c>
      <c r="B123" t="s">
        <v>107</v>
      </c>
      <c r="C123" t="s">
        <v>107</v>
      </c>
      <c r="F123" t="s">
        <v>158</v>
      </c>
      <c r="G123" t="s">
        <v>159</v>
      </c>
      <c r="H123" t="s">
        <v>111</v>
      </c>
      <c r="I123" t="s">
        <v>341</v>
      </c>
      <c r="J123" t="s">
        <v>113</v>
      </c>
      <c r="K123" s="8" t="s">
        <v>114</v>
      </c>
      <c r="L123" t="s">
        <v>114</v>
      </c>
      <c r="M123" s="6">
        <v>0</v>
      </c>
      <c r="N123" t="s">
        <v>114</v>
      </c>
      <c r="O123" s="6">
        <v>0</v>
      </c>
      <c r="P123" t="s">
        <v>114</v>
      </c>
      <c r="Q123" s="6">
        <v>0</v>
      </c>
      <c r="R123" s="7">
        <f t="shared" si="6"/>
        <v>0</v>
      </c>
      <c r="S123" t="s">
        <v>114</v>
      </c>
      <c r="T123" t="s">
        <v>114</v>
      </c>
      <c r="U123" t="s">
        <v>114</v>
      </c>
      <c r="W123" t="s">
        <v>114</v>
      </c>
      <c r="X123" t="s">
        <v>114</v>
      </c>
      <c r="Z123" t="s">
        <v>1394</v>
      </c>
      <c r="AA123" t="s">
        <v>1394</v>
      </c>
      <c r="AB123" s="1" t="s">
        <v>1395</v>
      </c>
      <c r="AC123" t="s">
        <v>1396</v>
      </c>
      <c r="AD123" t="s">
        <v>1397</v>
      </c>
      <c r="AH123" t="s">
        <v>123</v>
      </c>
      <c r="AI123" t="s">
        <v>124</v>
      </c>
      <c r="AJ123" t="s">
        <v>1398</v>
      </c>
      <c r="AK123" t="s">
        <v>126</v>
      </c>
      <c r="AL123" t="s">
        <v>127</v>
      </c>
      <c r="AN123" t="s">
        <v>1399</v>
      </c>
      <c r="AO123" t="s">
        <v>1400</v>
      </c>
      <c r="AP123" t="s">
        <v>1401</v>
      </c>
      <c r="AQ123" t="s">
        <v>131</v>
      </c>
      <c r="AR123" t="s">
        <v>132</v>
      </c>
      <c r="AS123" t="s">
        <v>720</v>
      </c>
      <c r="AT123" t="s">
        <v>1402</v>
      </c>
      <c r="AV123" t="s">
        <v>1403</v>
      </c>
      <c r="AY123" t="s">
        <v>177</v>
      </c>
      <c r="AZ123" t="s">
        <v>138</v>
      </c>
      <c r="BA123" t="s">
        <v>1404</v>
      </c>
      <c r="BC123" t="s">
        <v>140</v>
      </c>
      <c r="BT123" s="7">
        <f t="shared" si="7"/>
        <v>0</v>
      </c>
      <c r="BU123" s="6">
        <f t="shared" si="8"/>
        <v>0</v>
      </c>
      <c r="BV123" s="6">
        <f t="shared" si="9"/>
        <v>0</v>
      </c>
      <c r="BW123" s="6">
        <f t="shared" si="10"/>
        <v>0</v>
      </c>
      <c r="BX123" s="6">
        <f t="shared" si="11"/>
        <v>0</v>
      </c>
    </row>
    <row r="124" spans="1:76" x14ac:dyDescent="0.35">
      <c r="A124" t="s">
        <v>1405</v>
      </c>
      <c r="B124" t="s">
        <v>336</v>
      </c>
      <c r="C124" t="s">
        <v>336</v>
      </c>
      <c r="D124" t="s">
        <v>337</v>
      </c>
      <c r="E124" t="s">
        <v>108</v>
      </c>
      <c r="F124" t="s">
        <v>158</v>
      </c>
      <c r="G124" t="s">
        <v>159</v>
      </c>
      <c r="H124" t="s">
        <v>111</v>
      </c>
      <c r="I124" t="s">
        <v>341</v>
      </c>
      <c r="J124" t="s">
        <v>113</v>
      </c>
      <c r="K124" s="8" t="s">
        <v>113</v>
      </c>
      <c r="L124" t="s">
        <v>161</v>
      </c>
      <c r="M124" s="6">
        <v>459</v>
      </c>
      <c r="N124" t="s">
        <v>114</v>
      </c>
      <c r="O124" s="6">
        <v>220</v>
      </c>
      <c r="P124" t="s">
        <v>1111</v>
      </c>
      <c r="Q124" s="6">
        <v>0</v>
      </c>
      <c r="R124" s="7">
        <f t="shared" si="6"/>
        <v>239</v>
      </c>
      <c r="S124" t="s">
        <v>180</v>
      </c>
      <c r="T124" t="s">
        <v>114</v>
      </c>
      <c r="U124" t="s">
        <v>180</v>
      </c>
      <c r="W124" t="s">
        <v>114</v>
      </c>
      <c r="X124" t="s">
        <v>1111</v>
      </c>
      <c r="Y124" t="s">
        <v>1111</v>
      </c>
      <c r="Z124" t="s">
        <v>1406</v>
      </c>
      <c r="AB124" s="1" t="s">
        <v>1395</v>
      </c>
      <c r="AE124" t="s">
        <v>1407</v>
      </c>
      <c r="AF124" t="s">
        <v>346</v>
      </c>
      <c r="AG124" t="s">
        <v>347</v>
      </c>
      <c r="AH124" t="s">
        <v>123</v>
      </c>
      <c r="AI124" t="s">
        <v>124</v>
      </c>
      <c r="AJ124" t="s">
        <v>1408</v>
      </c>
      <c r="AK124" t="s">
        <v>126</v>
      </c>
      <c r="AL124" t="s">
        <v>127</v>
      </c>
      <c r="AN124" t="s">
        <v>1409</v>
      </c>
      <c r="AO124" t="s">
        <v>1410</v>
      </c>
      <c r="AP124" t="s">
        <v>1411</v>
      </c>
      <c r="AQ124" t="s">
        <v>131</v>
      </c>
      <c r="AR124" t="s">
        <v>132</v>
      </c>
      <c r="AS124" t="s">
        <v>1380</v>
      </c>
      <c r="AT124" t="s">
        <v>1412</v>
      </c>
      <c r="AV124" t="s">
        <v>965</v>
      </c>
      <c r="AX124" t="s">
        <v>136</v>
      </c>
      <c r="AY124" t="s">
        <v>177</v>
      </c>
      <c r="AZ124" t="s">
        <v>138</v>
      </c>
      <c r="BA124" t="s">
        <v>1413</v>
      </c>
      <c r="BC124" t="s">
        <v>140</v>
      </c>
      <c r="BT124" s="7">
        <f t="shared" si="7"/>
        <v>239</v>
      </c>
      <c r="BU124" s="6">
        <f t="shared" si="8"/>
        <v>223.36448598130841</v>
      </c>
      <c r="BV124" s="6">
        <f t="shared" si="9"/>
        <v>15.635514018691588</v>
      </c>
      <c r="BW124" s="6">
        <f t="shared" si="10"/>
        <v>239</v>
      </c>
      <c r="BX124" s="6">
        <f t="shared" si="11"/>
        <v>0</v>
      </c>
    </row>
    <row r="125" spans="1:76" x14ac:dyDescent="0.35">
      <c r="A125" t="s">
        <v>1414</v>
      </c>
      <c r="B125" t="s">
        <v>336</v>
      </c>
      <c r="C125" t="s">
        <v>336</v>
      </c>
      <c r="D125" t="s">
        <v>337</v>
      </c>
      <c r="E125" t="s">
        <v>108</v>
      </c>
      <c r="F125" t="s">
        <v>158</v>
      </c>
      <c r="G125" t="s">
        <v>159</v>
      </c>
      <c r="H125" t="s">
        <v>111</v>
      </c>
      <c r="I125" t="s">
        <v>341</v>
      </c>
      <c r="J125" t="s">
        <v>113</v>
      </c>
      <c r="K125" s="8" t="s">
        <v>113</v>
      </c>
      <c r="L125" t="s">
        <v>161</v>
      </c>
      <c r="M125" s="6">
        <v>459</v>
      </c>
      <c r="N125" t="s">
        <v>114</v>
      </c>
      <c r="O125" s="6">
        <v>220</v>
      </c>
      <c r="P125" t="s">
        <v>1111</v>
      </c>
      <c r="Q125" s="6">
        <v>0</v>
      </c>
      <c r="R125" s="7">
        <f t="shared" si="6"/>
        <v>239</v>
      </c>
      <c r="S125" t="s">
        <v>180</v>
      </c>
      <c r="T125" t="s">
        <v>114</v>
      </c>
      <c r="U125" t="s">
        <v>180</v>
      </c>
      <c r="W125" t="s">
        <v>114</v>
      </c>
      <c r="X125" t="s">
        <v>1111</v>
      </c>
      <c r="Y125" t="s">
        <v>1111</v>
      </c>
      <c r="Z125" t="s">
        <v>1415</v>
      </c>
      <c r="AB125" s="1" t="s">
        <v>1395</v>
      </c>
      <c r="AE125" t="s">
        <v>1416</v>
      </c>
      <c r="AF125" t="s">
        <v>346</v>
      </c>
      <c r="AG125" t="s">
        <v>347</v>
      </c>
      <c r="AH125" t="s">
        <v>123</v>
      </c>
      <c r="AI125" t="s">
        <v>124</v>
      </c>
      <c r="AJ125" t="s">
        <v>1417</v>
      </c>
      <c r="AK125" t="s">
        <v>126</v>
      </c>
      <c r="AL125" t="s">
        <v>127</v>
      </c>
      <c r="AN125" t="s">
        <v>1409</v>
      </c>
      <c r="AO125" t="s">
        <v>1410</v>
      </c>
      <c r="AP125" t="s">
        <v>1411</v>
      </c>
      <c r="AQ125" t="s">
        <v>131</v>
      </c>
      <c r="AR125" t="s">
        <v>132</v>
      </c>
      <c r="AS125" t="s">
        <v>1380</v>
      </c>
      <c r="AT125" t="s">
        <v>1412</v>
      </c>
      <c r="AV125" t="s">
        <v>965</v>
      </c>
      <c r="AX125" t="s">
        <v>136</v>
      </c>
      <c r="AY125" t="s">
        <v>177</v>
      </c>
      <c r="AZ125" t="s">
        <v>138</v>
      </c>
      <c r="BA125" t="s">
        <v>1418</v>
      </c>
      <c r="BC125" t="s">
        <v>140</v>
      </c>
      <c r="BT125" s="7">
        <f t="shared" si="7"/>
        <v>239</v>
      </c>
      <c r="BU125" s="6">
        <f t="shared" si="8"/>
        <v>223.36448598130841</v>
      </c>
      <c r="BV125" s="6">
        <f t="shared" si="9"/>
        <v>15.635514018691588</v>
      </c>
      <c r="BW125" s="6">
        <f t="shared" si="10"/>
        <v>239</v>
      </c>
      <c r="BX125" s="6">
        <f t="shared" si="11"/>
        <v>0</v>
      </c>
    </row>
    <row r="126" spans="1:76" x14ac:dyDescent="0.35">
      <c r="A126" t="s">
        <v>1419</v>
      </c>
      <c r="B126" t="s">
        <v>107</v>
      </c>
      <c r="C126" t="s">
        <v>107</v>
      </c>
      <c r="E126" t="s">
        <v>108</v>
      </c>
      <c r="F126" t="s">
        <v>158</v>
      </c>
      <c r="G126" t="s">
        <v>159</v>
      </c>
      <c r="H126" t="s">
        <v>111</v>
      </c>
      <c r="I126" t="s">
        <v>341</v>
      </c>
      <c r="J126" t="s">
        <v>113</v>
      </c>
      <c r="K126" s="8" t="s">
        <v>114</v>
      </c>
      <c r="L126" t="s">
        <v>161</v>
      </c>
      <c r="M126" s="6">
        <v>459</v>
      </c>
      <c r="N126" t="s">
        <v>994</v>
      </c>
      <c r="O126" s="6">
        <v>220</v>
      </c>
      <c r="P126" t="s">
        <v>1151</v>
      </c>
      <c r="Q126" s="6">
        <v>0</v>
      </c>
      <c r="R126" s="7">
        <f t="shared" si="6"/>
        <v>239</v>
      </c>
      <c r="S126" t="s">
        <v>180</v>
      </c>
      <c r="T126" t="s">
        <v>114</v>
      </c>
      <c r="U126" t="s">
        <v>180</v>
      </c>
      <c r="W126" t="s">
        <v>114</v>
      </c>
      <c r="X126" t="s">
        <v>1151</v>
      </c>
      <c r="Z126" t="s">
        <v>1420</v>
      </c>
      <c r="AA126" t="s">
        <v>1421</v>
      </c>
      <c r="AB126" s="1" t="s">
        <v>1422</v>
      </c>
      <c r="AC126" t="s">
        <v>1423</v>
      </c>
      <c r="AD126" t="s">
        <v>1421</v>
      </c>
      <c r="AH126" t="s">
        <v>123</v>
      </c>
      <c r="AI126" t="s">
        <v>124</v>
      </c>
      <c r="AJ126" t="s">
        <v>1424</v>
      </c>
      <c r="AK126" t="s">
        <v>126</v>
      </c>
      <c r="AL126" t="s">
        <v>127</v>
      </c>
      <c r="AN126" t="s">
        <v>1409</v>
      </c>
      <c r="AO126" t="s">
        <v>1410</v>
      </c>
      <c r="AP126" t="s">
        <v>1411</v>
      </c>
      <c r="AQ126" t="s">
        <v>131</v>
      </c>
      <c r="AR126" t="s">
        <v>132</v>
      </c>
      <c r="AS126" t="s">
        <v>1380</v>
      </c>
      <c r="AT126" t="s">
        <v>1412</v>
      </c>
      <c r="AV126" t="s">
        <v>965</v>
      </c>
      <c r="AX126" t="s">
        <v>136</v>
      </c>
      <c r="AY126" t="s">
        <v>177</v>
      </c>
      <c r="AZ126" t="s">
        <v>138</v>
      </c>
      <c r="BA126" t="s">
        <v>1425</v>
      </c>
      <c r="BC126" t="s">
        <v>140</v>
      </c>
      <c r="BT126" s="7">
        <f t="shared" si="7"/>
        <v>239</v>
      </c>
      <c r="BU126" s="6">
        <f t="shared" si="8"/>
        <v>223.36448598130841</v>
      </c>
      <c r="BV126" s="6">
        <f t="shared" si="9"/>
        <v>15.635514018691588</v>
      </c>
      <c r="BW126" s="6">
        <f t="shared" si="10"/>
        <v>239</v>
      </c>
      <c r="BX126" s="6">
        <f t="shared" si="11"/>
        <v>0</v>
      </c>
    </row>
    <row r="127" spans="1:76" x14ac:dyDescent="0.35">
      <c r="A127" t="s">
        <v>1426</v>
      </c>
      <c r="B127" t="s">
        <v>336</v>
      </c>
      <c r="C127" t="s">
        <v>336</v>
      </c>
      <c r="D127" t="s">
        <v>337</v>
      </c>
      <c r="E127" t="s">
        <v>108</v>
      </c>
      <c r="F127" t="s">
        <v>158</v>
      </c>
      <c r="G127" t="s">
        <v>159</v>
      </c>
      <c r="H127" t="s">
        <v>111</v>
      </c>
      <c r="I127" t="s">
        <v>341</v>
      </c>
      <c r="J127" t="s">
        <v>113</v>
      </c>
      <c r="K127" s="8" t="s">
        <v>113</v>
      </c>
      <c r="L127" t="s">
        <v>161</v>
      </c>
      <c r="M127" s="6">
        <v>459</v>
      </c>
      <c r="N127" t="s">
        <v>994</v>
      </c>
      <c r="O127" s="6">
        <v>220</v>
      </c>
      <c r="P127" t="s">
        <v>1151</v>
      </c>
      <c r="Q127" s="6">
        <v>0</v>
      </c>
      <c r="R127" s="7">
        <f t="shared" si="6"/>
        <v>239</v>
      </c>
      <c r="S127" t="s">
        <v>180</v>
      </c>
      <c r="T127" t="s">
        <v>114</v>
      </c>
      <c r="U127" t="s">
        <v>180</v>
      </c>
      <c r="W127" t="s">
        <v>114</v>
      </c>
      <c r="X127" t="s">
        <v>1151</v>
      </c>
      <c r="Y127" t="s">
        <v>1151</v>
      </c>
      <c r="Z127" t="s">
        <v>1427</v>
      </c>
      <c r="AB127" s="1" t="s">
        <v>1395</v>
      </c>
      <c r="AE127" t="s">
        <v>1428</v>
      </c>
      <c r="AF127" t="s">
        <v>346</v>
      </c>
      <c r="AG127" t="s">
        <v>347</v>
      </c>
      <c r="AH127" t="s">
        <v>123</v>
      </c>
      <c r="AI127" t="s">
        <v>124</v>
      </c>
      <c r="AJ127" t="s">
        <v>1429</v>
      </c>
      <c r="AK127" t="s">
        <v>126</v>
      </c>
      <c r="AL127" t="s">
        <v>127</v>
      </c>
      <c r="AN127" t="s">
        <v>1409</v>
      </c>
      <c r="AO127" t="s">
        <v>1410</v>
      </c>
      <c r="AP127" t="s">
        <v>1411</v>
      </c>
      <c r="AQ127" t="s">
        <v>131</v>
      </c>
      <c r="AR127" t="s">
        <v>132</v>
      </c>
      <c r="AS127" t="s">
        <v>1380</v>
      </c>
      <c r="AT127" t="s">
        <v>1412</v>
      </c>
      <c r="AV127" t="s">
        <v>965</v>
      </c>
      <c r="AX127" t="s">
        <v>136</v>
      </c>
      <c r="AY127" t="s">
        <v>177</v>
      </c>
      <c r="AZ127" t="s">
        <v>138</v>
      </c>
      <c r="BA127" t="s">
        <v>1430</v>
      </c>
      <c r="BC127" t="s">
        <v>140</v>
      </c>
      <c r="BT127" s="7">
        <f t="shared" si="7"/>
        <v>239</v>
      </c>
      <c r="BU127" s="6">
        <f t="shared" si="8"/>
        <v>223.36448598130841</v>
      </c>
      <c r="BV127" s="6">
        <f t="shared" si="9"/>
        <v>15.635514018691588</v>
      </c>
      <c r="BW127" s="6">
        <f t="shared" si="10"/>
        <v>239</v>
      </c>
      <c r="BX127" s="6">
        <f t="shared" si="11"/>
        <v>0</v>
      </c>
    </row>
    <row r="128" spans="1:76" x14ac:dyDescent="0.35">
      <c r="A128" t="s">
        <v>1431</v>
      </c>
      <c r="B128" t="s">
        <v>107</v>
      </c>
      <c r="C128" t="s">
        <v>107</v>
      </c>
      <c r="F128" t="s">
        <v>533</v>
      </c>
      <c r="G128" t="s">
        <v>534</v>
      </c>
      <c r="H128" t="s">
        <v>535</v>
      </c>
      <c r="I128" t="s">
        <v>536</v>
      </c>
      <c r="J128" t="s">
        <v>113</v>
      </c>
      <c r="K128" s="8" t="s">
        <v>114</v>
      </c>
      <c r="L128" t="s">
        <v>114</v>
      </c>
      <c r="M128" s="6">
        <v>0</v>
      </c>
      <c r="N128" t="s">
        <v>114</v>
      </c>
      <c r="O128" s="6">
        <v>0</v>
      </c>
      <c r="P128" t="s">
        <v>114</v>
      </c>
      <c r="Q128" s="6">
        <v>0</v>
      </c>
      <c r="R128" s="7">
        <f t="shared" si="6"/>
        <v>0</v>
      </c>
      <c r="S128" t="s">
        <v>114</v>
      </c>
      <c r="T128" t="s">
        <v>114</v>
      </c>
      <c r="U128" t="s">
        <v>114</v>
      </c>
      <c r="W128" t="s">
        <v>114</v>
      </c>
      <c r="X128" t="s">
        <v>114</v>
      </c>
      <c r="Z128" t="s">
        <v>1432</v>
      </c>
      <c r="AA128" t="s">
        <v>1432</v>
      </c>
      <c r="AB128" s="1" t="s">
        <v>1433</v>
      </c>
      <c r="AC128" t="s">
        <v>1434</v>
      </c>
      <c r="AD128" t="s">
        <v>1435</v>
      </c>
      <c r="AH128" t="s">
        <v>123</v>
      </c>
      <c r="AI128" t="s">
        <v>124</v>
      </c>
      <c r="AJ128" t="s">
        <v>1436</v>
      </c>
      <c r="AK128" t="s">
        <v>126</v>
      </c>
      <c r="AL128" t="s">
        <v>127</v>
      </c>
      <c r="AN128" t="s">
        <v>1437</v>
      </c>
      <c r="AO128" t="s">
        <v>1438</v>
      </c>
      <c r="AP128" t="s">
        <v>1439</v>
      </c>
      <c r="AQ128" t="s">
        <v>131</v>
      </c>
      <c r="AR128" t="s">
        <v>132</v>
      </c>
      <c r="AS128" t="s">
        <v>1440</v>
      </c>
      <c r="AT128" t="s">
        <v>609</v>
      </c>
      <c r="AV128" t="s">
        <v>265</v>
      </c>
      <c r="AW128" t="s">
        <v>1441</v>
      </c>
      <c r="AY128" t="s">
        <v>547</v>
      </c>
      <c r="AZ128" t="s">
        <v>364</v>
      </c>
      <c r="BA128" t="s">
        <v>1442</v>
      </c>
      <c r="BC128" t="s">
        <v>140</v>
      </c>
      <c r="BT128" s="7">
        <f t="shared" si="7"/>
        <v>0</v>
      </c>
      <c r="BU128" s="6">
        <f t="shared" si="8"/>
        <v>0</v>
      </c>
      <c r="BV128" s="6">
        <f t="shared" si="9"/>
        <v>0</v>
      </c>
      <c r="BW128" s="6">
        <f t="shared" si="10"/>
        <v>0</v>
      </c>
      <c r="BX128" s="6">
        <f t="shared" si="11"/>
        <v>0</v>
      </c>
    </row>
    <row r="129" spans="1:76" x14ac:dyDescent="0.35">
      <c r="A129" t="s">
        <v>1443</v>
      </c>
      <c r="B129" t="s">
        <v>107</v>
      </c>
      <c r="C129" t="s">
        <v>107</v>
      </c>
      <c r="F129" t="s">
        <v>613</v>
      </c>
      <c r="G129" t="s">
        <v>614</v>
      </c>
      <c r="H129" t="s">
        <v>615</v>
      </c>
      <c r="I129" t="s">
        <v>271</v>
      </c>
      <c r="J129" t="s">
        <v>113</v>
      </c>
      <c r="K129" s="8" t="s">
        <v>114</v>
      </c>
      <c r="L129" t="s">
        <v>114</v>
      </c>
      <c r="M129" s="6">
        <v>0</v>
      </c>
      <c r="N129" t="s">
        <v>114</v>
      </c>
      <c r="O129" s="6">
        <v>0</v>
      </c>
      <c r="P129" t="s">
        <v>114</v>
      </c>
      <c r="Q129" s="6">
        <v>0</v>
      </c>
      <c r="R129" s="7">
        <f t="shared" si="6"/>
        <v>0</v>
      </c>
      <c r="S129" t="s">
        <v>114</v>
      </c>
      <c r="T129" t="s">
        <v>114</v>
      </c>
      <c r="U129" t="s">
        <v>114</v>
      </c>
      <c r="W129" t="s">
        <v>114</v>
      </c>
      <c r="X129" t="s">
        <v>114</v>
      </c>
      <c r="Z129" t="s">
        <v>1444</v>
      </c>
      <c r="AA129" t="s">
        <v>1444</v>
      </c>
      <c r="AB129" s="1" t="s">
        <v>1445</v>
      </c>
      <c r="AC129" t="s">
        <v>1446</v>
      </c>
      <c r="AD129" t="s">
        <v>1447</v>
      </c>
      <c r="AH129" t="s">
        <v>123</v>
      </c>
      <c r="AI129" t="s">
        <v>124</v>
      </c>
      <c r="AJ129" t="s">
        <v>1448</v>
      </c>
      <c r="AK129" t="s">
        <v>126</v>
      </c>
      <c r="AL129" t="s">
        <v>127</v>
      </c>
      <c r="AN129" t="s">
        <v>1449</v>
      </c>
      <c r="AO129" t="s">
        <v>1450</v>
      </c>
      <c r="AP129" t="s">
        <v>1451</v>
      </c>
      <c r="AQ129" t="s">
        <v>131</v>
      </c>
      <c r="AR129" t="s">
        <v>132</v>
      </c>
      <c r="AS129" t="s">
        <v>1452</v>
      </c>
      <c r="AT129" t="s">
        <v>1453</v>
      </c>
      <c r="AV129" t="s">
        <v>406</v>
      </c>
      <c r="AY129" t="s">
        <v>177</v>
      </c>
      <c r="AZ129" t="s">
        <v>627</v>
      </c>
      <c r="BA129" t="s">
        <v>1454</v>
      </c>
      <c r="BC129" t="s">
        <v>140</v>
      </c>
      <c r="BT129" s="7">
        <f t="shared" si="7"/>
        <v>0</v>
      </c>
      <c r="BU129" s="6">
        <f t="shared" si="8"/>
        <v>0</v>
      </c>
      <c r="BV129" s="6">
        <f t="shared" si="9"/>
        <v>0</v>
      </c>
      <c r="BW129" s="6">
        <f t="shared" si="10"/>
        <v>0</v>
      </c>
      <c r="BX129" s="6">
        <f t="shared" si="11"/>
        <v>0</v>
      </c>
    </row>
    <row r="130" spans="1:76" x14ac:dyDescent="0.35">
      <c r="A130" t="s">
        <v>1455</v>
      </c>
      <c r="B130" t="s">
        <v>107</v>
      </c>
      <c r="C130" t="s">
        <v>107</v>
      </c>
      <c r="F130" t="s">
        <v>613</v>
      </c>
      <c r="G130" t="s">
        <v>614</v>
      </c>
      <c r="H130" t="s">
        <v>615</v>
      </c>
      <c r="I130" t="s">
        <v>271</v>
      </c>
      <c r="J130" t="s">
        <v>113</v>
      </c>
      <c r="K130" s="8" t="s">
        <v>114</v>
      </c>
      <c r="L130" t="s">
        <v>114</v>
      </c>
      <c r="M130" s="6">
        <v>0</v>
      </c>
      <c r="N130" t="s">
        <v>114</v>
      </c>
      <c r="O130" s="6">
        <v>0</v>
      </c>
      <c r="P130" t="s">
        <v>114</v>
      </c>
      <c r="Q130" s="6">
        <v>0</v>
      </c>
      <c r="R130" s="7">
        <f t="shared" si="6"/>
        <v>0</v>
      </c>
      <c r="S130" t="s">
        <v>114</v>
      </c>
      <c r="T130" t="s">
        <v>114</v>
      </c>
      <c r="U130" t="s">
        <v>114</v>
      </c>
      <c r="W130" t="s">
        <v>114</v>
      </c>
      <c r="X130" t="s">
        <v>114</v>
      </c>
      <c r="Z130" t="s">
        <v>1456</v>
      </c>
      <c r="AA130" t="s">
        <v>1456</v>
      </c>
      <c r="AB130" s="1" t="s">
        <v>1457</v>
      </c>
      <c r="AC130" t="s">
        <v>1458</v>
      </c>
      <c r="AD130" t="s">
        <v>1459</v>
      </c>
      <c r="AH130" t="s">
        <v>123</v>
      </c>
      <c r="AI130" t="s">
        <v>124</v>
      </c>
      <c r="AJ130" t="s">
        <v>1460</v>
      </c>
      <c r="AK130" t="s">
        <v>126</v>
      </c>
      <c r="AL130" t="s">
        <v>127</v>
      </c>
      <c r="AN130" t="s">
        <v>1461</v>
      </c>
      <c r="AO130" t="s">
        <v>1462</v>
      </c>
      <c r="AP130" t="s">
        <v>1463</v>
      </c>
      <c r="AQ130" t="s">
        <v>131</v>
      </c>
      <c r="AR130" t="s">
        <v>132</v>
      </c>
      <c r="AS130" t="s">
        <v>1464</v>
      </c>
      <c r="AT130" t="s">
        <v>1465</v>
      </c>
      <c r="AV130" t="s">
        <v>1466</v>
      </c>
      <c r="AY130" t="s">
        <v>177</v>
      </c>
      <c r="AZ130" t="s">
        <v>627</v>
      </c>
      <c r="BA130" t="s">
        <v>1467</v>
      </c>
      <c r="BC130" t="s">
        <v>140</v>
      </c>
      <c r="BT130" s="7">
        <f t="shared" si="7"/>
        <v>0</v>
      </c>
      <c r="BU130" s="6">
        <f t="shared" si="8"/>
        <v>0</v>
      </c>
      <c r="BV130" s="6">
        <f t="shared" si="9"/>
        <v>0</v>
      </c>
      <c r="BW130" s="6">
        <f t="shared" si="10"/>
        <v>0</v>
      </c>
      <c r="BX130" s="6">
        <f t="shared" si="11"/>
        <v>0</v>
      </c>
    </row>
    <row r="131" spans="1:76" x14ac:dyDescent="0.35">
      <c r="A131" t="s">
        <v>1468</v>
      </c>
      <c r="B131" t="s">
        <v>107</v>
      </c>
      <c r="C131" t="s">
        <v>107</v>
      </c>
      <c r="F131" t="s">
        <v>533</v>
      </c>
      <c r="G131" t="s">
        <v>534</v>
      </c>
      <c r="H131" t="s">
        <v>535</v>
      </c>
      <c r="I131" t="s">
        <v>536</v>
      </c>
      <c r="J131" t="s">
        <v>113</v>
      </c>
      <c r="K131" s="8" t="s">
        <v>114</v>
      </c>
      <c r="L131" t="s">
        <v>114</v>
      </c>
      <c r="M131" s="6">
        <v>0</v>
      </c>
      <c r="N131" t="s">
        <v>114</v>
      </c>
      <c r="O131" s="6">
        <v>0</v>
      </c>
      <c r="P131" t="s">
        <v>114</v>
      </c>
      <c r="Q131" s="6">
        <v>0</v>
      </c>
      <c r="R131" s="7">
        <f t="shared" si="6"/>
        <v>0</v>
      </c>
      <c r="S131" t="s">
        <v>114</v>
      </c>
      <c r="T131" t="s">
        <v>114</v>
      </c>
      <c r="U131" t="s">
        <v>114</v>
      </c>
      <c r="W131" t="s">
        <v>114</v>
      </c>
      <c r="X131" t="s">
        <v>114</v>
      </c>
      <c r="Z131" t="s">
        <v>1469</v>
      </c>
      <c r="AA131" t="s">
        <v>1469</v>
      </c>
      <c r="AB131" s="1" t="s">
        <v>1470</v>
      </c>
      <c r="AC131" t="s">
        <v>1471</v>
      </c>
      <c r="AD131" t="s">
        <v>1472</v>
      </c>
      <c r="AH131" t="s">
        <v>123</v>
      </c>
      <c r="AI131" t="s">
        <v>124</v>
      </c>
      <c r="AJ131" t="s">
        <v>1473</v>
      </c>
      <c r="AK131" t="s">
        <v>126</v>
      </c>
      <c r="AL131" t="s">
        <v>127</v>
      </c>
      <c r="AN131" t="s">
        <v>1474</v>
      </c>
      <c r="AO131" t="s">
        <v>1475</v>
      </c>
      <c r="AP131" t="s">
        <v>1476</v>
      </c>
      <c r="AQ131" t="s">
        <v>131</v>
      </c>
      <c r="AR131" t="s">
        <v>132</v>
      </c>
      <c r="AS131" t="s">
        <v>152</v>
      </c>
      <c r="AT131" t="s">
        <v>1477</v>
      </c>
      <c r="AV131" t="s">
        <v>1478</v>
      </c>
      <c r="AY131" t="s">
        <v>547</v>
      </c>
      <c r="AZ131" t="s">
        <v>364</v>
      </c>
      <c r="BA131" t="s">
        <v>1479</v>
      </c>
      <c r="BC131" t="s">
        <v>140</v>
      </c>
      <c r="BT131" s="7">
        <f t="shared" si="7"/>
        <v>0</v>
      </c>
      <c r="BU131" s="6">
        <f t="shared" si="8"/>
        <v>0</v>
      </c>
      <c r="BV131" s="6">
        <f t="shared" si="9"/>
        <v>0</v>
      </c>
      <c r="BW131" s="6">
        <f t="shared" si="10"/>
        <v>0</v>
      </c>
      <c r="BX131" s="6">
        <f t="shared" si="11"/>
        <v>0</v>
      </c>
    </row>
    <row r="132" spans="1:76" x14ac:dyDescent="0.35">
      <c r="A132" t="s">
        <v>1468</v>
      </c>
      <c r="B132" t="s">
        <v>107</v>
      </c>
      <c r="C132" t="s">
        <v>107</v>
      </c>
      <c r="F132" t="s">
        <v>158</v>
      </c>
      <c r="G132" t="s">
        <v>159</v>
      </c>
      <c r="H132" t="s">
        <v>111</v>
      </c>
      <c r="I132" t="s">
        <v>341</v>
      </c>
      <c r="J132" t="s">
        <v>113</v>
      </c>
      <c r="K132" s="8" t="s">
        <v>114</v>
      </c>
      <c r="L132" t="s">
        <v>114</v>
      </c>
      <c r="M132" s="6">
        <v>0</v>
      </c>
      <c r="N132" t="s">
        <v>114</v>
      </c>
      <c r="O132" s="6">
        <v>0</v>
      </c>
      <c r="P132" t="s">
        <v>114</v>
      </c>
      <c r="Q132" s="6">
        <v>0</v>
      </c>
      <c r="R132" s="7">
        <f t="shared" si="6"/>
        <v>0</v>
      </c>
      <c r="S132" t="s">
        <v>114</v>
      </c>
      <c r="T132" t="s">
        <v>114</v>
      </c>
      <c r="U132" t="s">
        <v>114</v>
      </c>
      <c r="W132" t="s">
        <v>114</v>
      </c>
      <c r="X132" t="s">
        <v>114</v>
      </c>
      <c r="Z132" t="s">
        <v>1469</v>
      </c>
      <c r="AA132" t="s">
        <v>1469</v>
      </c>
      <c r="AB132" s="1" t="s">
        <v>1470</v>
      </c>
      <c r="AC132" t="s">
        <v>1471</v>
      </c>
      <c r="AD132" t="s">
        <v>1472</v>
      </c>
      <c r="AH132" t="s">
        <v>123</v>
      </c>
      <c r="AI132" t="s">
        <v>124</v>
      </c>
      <c r="AJ132" t="s">
        <v>1473</v>
      </c>
      <c r="AK132" t="s">
        <v>126</v>
      </c>
      <c r="AL132" t="s">
        <v>127</v>
      </c>
      <c r="AN132" t="s">
        <v>1474</v>
      </c>
      <c r="AO132" t="s">
        <v>1475</v>
      </c>
      <c r="AP132" t="s">
        <v>1476</v>
      </c>
      <c r="AQ132" t="s">
        <v>131</v>
      </c>
      <c r="AR132" t="s">
        <v>132</v>
      </c>
      <c r="AS132" t="s">
        <v>152</v>
      </c>
      <c r="AT132" t="s">
        <v>1477</v>
      </c>
      <c r="AV132" t="s">
        <v>1478</v>
      </c>
      <c r="AY132" t="s">
        <v>177</v>
      </c>
      <c r="AZ132" t="s">
        <v>138</v>
      </c>
      <c r="BA132" t="s">
        <v>1479</v>
      </c>
      <c r="BC132" t="s">
        <v>140</v>
      </c>
      <c r="BT132" s="7">
        <f t="shared" si="7"/>
        <v>0</v>
      </c>
      <c r="BU132" s="6">
        <f t="shared" si="8"/>
        <v>0</v>
      </c>
      <c r="BV132" s="6">
        <f t="shared" si="9"/>
        <v>0</v>
      </c>
      <c r="BW132" s="6">
        <f t="shared" si="10"/>
        <v>0</v>
      </c>
      <c r="BX132" s="6">
        <f t="shared" si="11"/>
        <v>0</v>
      </c>
    </row>
    <row r="133" spans="1:76" x14ac:dyDescent="0.35">
      <c r="A133" t="s">
        <v>1480</v>
      </c>
      <c r="B133" t="s">
        <v>107</v>
      </c>
      <c r="C133" t="s">
        <v>107</v>
      </c>
      <c r="F133" t="s">
        <v>158</v>
      </c>
      <c r="G133" t="s">
        <v>159</v>
      </c>
      <c r="H133" t="s">
        <v>111</v>
      </c>
      <c r="I133" t="s">
        <v>341</v>
      </c>
      <c r="J133" t="s">
        <v>113</v>
      </c>
      <c r="K133" s="8" t="s">
        <v>114</v>
      </c>
      <c r="L133" t="s">
        <v>114</v>
      </c>
      <c r="M133" s="6">
        <v>0</v>
      </c>
      <c r="N133" t="s">
        <v>114</v>
      </c>
      <c r="O133" s="6">
        <v>0</v>
      </c>
      <c r="P133" t="s">
        <v>114</v>
      </c>
      <c r="Q133" s="6">
        <v>0</v>
      </c>
      <c r="R133" s="7">
        <f t="shared" ref="R133:R196" si="12">M133-O133+Q133</f>
        <v>0</v>
      </c>
      <c r="S133" t="s">
        <v>114</v>
      </c>
      <c r="T133" t="s">
        <v>114</v>
      </c>
      <c r="U133" t="s">
        <v>114</v>
      </c>
      <c r="W133" t="s">
        <v>114</v>
      </c>
      <c r="X133" t="s">
        <v>114</v>
      </c>
      <c r="Z133" t="s">
        <v>1481</v>
      </c>
      <c r="AA133" t="s">
        <v>1481</v>
      </c>
      <c r="AB133" s="1" t="s">
        <v>1482</v>
      </c>
      <c r="AC133" t="s">
        <v>1483</v>
      </c>
      <c r="AD133" t="s">
        <v>1484</v>
      </c>
      <c r="AH133" t="s">
        <v>123</v>
      </c>
      <c r="AI133" t="s">
        <v>124</v>
      </c>
      <c r="AJ133" t="s">
        <v>1485</v>
      </c>
      <c r="AK133" t="s">
        <v>126</v>
      </c>
      <c r="AL133" t="s">
        <v>127</v>
      </c>
      <c r="AN133" t="s">
        <v>1486</v>
      </c>
      <c r="AO133" t="s">
        <v>1487</v>
      </c>
      <c r="AP133" t="s">
        <v>1488</v>
      </c>
      <c r="AQ133" t="s">
        <v>131</v>
      </c>
      <c r="AR133" t="s">
        <v>132</v>
      </c>
      <c r="AS133" t="s">
        <v>202</v>
      </c>
      <c r="AT133" t="s">
        <v>1489</v>
      </c>
      <c r="AV133" t="s">
        <v>1490</v>
      </c>
      <c r="AW133" t="s">
        <v>1072</v>
      </c>
      <c r="AY133" t="s">
        <v>177</v>
      </c>
      <c r="AZ133" t="s">
        <v>138</v>
      </c>
      <c r="BA133" t="s">
        <v>1491</v>
      </c>
      <c r="BC133" t="s">
        <v>140</v>
      </c>
      <c r="BT133" s="7">
        <f t="shared" ref="BT133:BT196" si="13">+R133</f>
        <v>0</v>
      </c>
      <c r="BU133" s="6">
        <f t="shared" ref="BU133:BU196" si="14">+BT133/1.07</f>
        <v>0</v>
      </c>
      <c r="BV133" s="6">
        <f t="shared" ref="BV133:BV196" si="15">+BU133*7/100</f>
        <v>0</v>
      </c>
      <c r="BW133" s="6">
        <f t="shared" ref="BW133:BW196" si="16">+BU133+BV133</f>
        <v>0</v>
      </c>
      <c r="BX133" s="6">
        <f t="shared" ref="BX133:BX196" si="17">+BW133-BT133</f>
        <v>0</v>
      </c>
    </row>
    <row r="134" spans="1:76" x14ac:dyDescent="0.35">
      <c r="A134" t="s">
        <v>1492</v>
      </c>
      <c r="B134" t="s">
        <v>107</v>
      </c>
      <c r="C134" t="s">
        <v>107</v>
      </c>
      <c r="F134" t="s">
        <v>158</v>
      </c>
      <c r="G134" t="s">
        <v>159</v>
      </c>
      <c r="H134" t="s">
        <v>111</v>
      </c>
      <c r="I134" t="s">
        <v>341</v>
      </c>
      <c r="J134" t="s">
        <v>113</v>
      </c>
      <c r="K134" s="8" t="s">
        <v>114</v>
      </c>
      <c r="L134" t="s">
        <v>114</v>
      </c>
      <c r="M134" s="6">
        <v>0</v>
      </c>
      <c r="N134" t="s">
        <v>114</v>
      </c>
      <c r="O134" s="6">
        <v>0</v>
      </c>
      <c r="P134" t="s">
        <v>114</v>
      </c>
      <c r="Q134" s="6">
        <v>0</v>
      </c>
      <c r="R134" s="7">
        <f t="shared" si="12"/>
        <v>0</v>
      </c>
      <c r="S134" t="s">
        <v>114</v>
      </c>
      <c r="T134" t="s">
        <v>114</v>
      </c>
      <c r="U134" t="s">
        <v>114</v>
      </c>
      <c r="W134" t="s">
        <v>114</v>
      </c>
      <c r="X134" t="s">
        <v>114</v>
      </c>
      <c r="Z134" t="s">
        <v>1493</v>
      </c>
      <c r="AA134" t="s">
        <v>1493</v>
      </c>
      <c r="AB134" s="1" t="s">
        <v>1494</v>
      </c>
      <c r="AC134" t="s">
        <v>1495</v>
      </c>
      <c r="AD134" t="s">
        <v>1496</v>
      </c>
      <c r="AH134" t="s">
        <v>123</v>
      </c>
      <c r="AI134" t="s">
        <v>124</v>
      </c>
      <c r="AJ134" t="s">
        <v>1497</v>
      </c>
      <c r="AK134" t="s">
        <v>126</v>
      </c>
      <c r="AL134" t="s">
        <v>127</v>
      </c>
      <c r="AN134" t="s">
        <v>1498</v>
      </c>
      <c r="AO134" t="s">
        <v>1499</v>
      </c>
      <c r="AP134" t="s">
        <v>1500</v>
      </c>
      <c r="AQ134" t="s">
        <v>131</v>
      </c>
      <c r="AR134" t="s">
        <v>132</v>
      </c>
      <c r="AS134" t="s">
        <v>1501</v>
      </c>
      <c r="AT134" t="s">
        <v>1502</v>
      </c>
      <c r="AV134" t="s">
        <v>638</v>
      </c>
      <c r="AY134" t="s">
        <v>177</v>
      </c>
      <c r="AZ134" t="s">
        <v>138</v>
      </c>
      <c r="BA134" t="s">
        <v>1503</v>
      </c>
      <c r="BC134" t="s">
        <v>140</v>
      </c>
      <c r="BT134" s="7">
        <f t="shared" si="13"/>
        <v>0</v>
      </c>
      <c r="BU134" s="6">
        <f t="shared" si="14"/>
        <v>0</v>
      </c>
      <c r="BV134" s="6">
        <f t="shared" si="15"/>
        <v>0</v>
      </c>
      <c r="BW134" s="6">
        <f t="shared" si="16"/>
        <v>0</v>
      </c>
      <c r="BX134" s="6">
        <f t="shared" si="17"/>
        <v>0</v>
      </c>
    </row>
    <row r="135" spans="1:76" x14ac:dyDescent="0.35">
      <c r="A135" t="s">
        <v>1504</v>
      </c>
      <c r="B135" t="s">
        <v>107</v>
      </c>
      <c r="C135" t="s">
        <v>107</v>
      </c>
      <c r="F135" t="s">
        <v>158</v>
      </c>
      <c r="G135" t="s">
        <v>159</v>
      </c>
      <c r="H135" t="s">
        <v>111</v>
      </c>
      <c r="I135" t="s">
        <v>341</v>
      </c>
      <c r="J135" t="s">
        <v>113</v>
      </c>
      <c r="K135" s="8" t="s">
        <v>114</v>
      </c>
      <c r="L135" t="s">
        <v>114</v>
      </c>
      <c r="M135" s="6">
        <v>0</v>
      </c>
      <c r="N135" t="s">
        <v>114</v>
      </c>
      <c r="O135" s="6">
        <v>0</v>
      </c>
      <c r="P135" t="s">
        <v>114</v>
      </c>
      <c r="Q135" s="6">
        <v>0</v>
      </c>
      <c r="R135" s="7">
        <f t="shared" si="12"/>
        <v>0</v>
      </c>
      <c r="S135" t="s">
        <v>114</v>
      </c>
      <c r="T135" t="s">
        <v>114</v>
      </c>
      <c r="U135" t="s">
        <v>114</v>
      </c>
      <c r="W135" t="s">
        <v>114</v>
      </c>
      <c r="X135" t="s">
        <v>114</v>
      </c>
      <c r="Z135" t="s">
        <v>1505</v>
      </c>
      <c r="AA135" t="s">
        <v>1505</v>
      </c>
      <c r="AB135" s="1" t="s">
        <v>1506</v>
      </c>
      <c r="AC135" t="s">
        <v>1495</v>
      </c>
      <c r="AD135" t="s">
        <v>1507</v>
      </c>
      <c r="AH135" t="s">
        <v>123</v>
      </c>
      <c r="AI135" t="s">
        <v>124</v>
      </c>
      <c r="AJ135" t="s">
        <v>1508</v>
      </c>
      <c r="AK135" t="s">
        <v>126</v>
      </c>
      <c r="AL135" t="s">
        <v>127</v>
      </c>
      <c r="AN135" t="s">
        <v>1509</v>
      </c>
      <c r="AO135" t="s">
        <v>1510</v>
      </c>
      <c r="AP135" t="s">
        <v>1511</v>
      </c>
      <c r="AQ135" t="s">
        <v>131</v>
      </c>
      <c r="AR135" t="s">
        <v>132</v>
      </c>
      <c r="AS135" t="s">
        <v>387</v>
      </c>
      <c r="AT135" t="s">
        <v>1512</v>
      </c>
      <c r="AV135" t="s">
        <v>406</v>
      </c>
      <c r="AY135" t="s">
        <v>177</v>
      </c>
      <c r="AZ135" t="s">
        <v>138</v>
      </c>
      <c r="BA135" t="s">
        <v>1513</v>
      </c>
      <c r="BC135" t="s">
        <v>140</v>
      </c>
      <c r="BT135" s="7">
        <f t="shared" si="13"/>
        <v>0</v>
      </c>
      <c r="BU135" s="6">
        <f t="shared" si="14"/>
        <v>0</v>
      </c>
      <c r="BV135" s="6">
        <f t="shared" si="15"/>
        <v>0</v>
      </c>
      <c r="BW135" s="6">
        <f t="shared" si="16"/>
        <v>0</v>
      </c>
      <c r="BX135" s="6">
        <f t="shared" si="17"/>
        <v>0</v>
      </c>
    </row>
    <row r="136" spans="1:76" x14ac:dyDescent="0.35">
      <c r="A136" t="s">
        <v>1514</v>
      </c>
      <c r="B136" t="s">
        <v>107</v>
      </c>
      <c r="C136" t="s">
        <v>107</v>
      </c>
      <c r="F136" t="s">
        <v>158</v>
      </c>
      <c r="G136" t="s">
        <v>159</v>
      </c>
      <c r="H136" t="s">
        <v>111</v>
      </c>
      <c r="I136" t="s">
        <v>341</v>
      </c>
      <c r="J136" t="s">
        <v>113</v>
      </c>
      <c r="K136" s="8" t="s">
        <v>114</v>
      </c>
      <c r="L136" t="s">
        <v>114</v>
      </c>
      <c r="M136" s="6">
        <v>0</v>
      </c>
      <c r="N136" t="s">
        <v>114</v>
      </c>
      <c r="O136" s="6">
        <v>0</v>
      </c>
      <c r="P136" t="s">
        <v>114</v>
      </c>
      <c r="Q136" s="6">
        <v>0</v>
      </c>
      <c r="R136" s="7">
        <f t="shared" si="12"/>
        <v>0</v>
      </c>
      <c r="S136" t="s">
        <v>114</v>
      </c>
      <c r="T136" t="s">
        <v>114</v>
      </c>
      <c r="U136" t="s">
        <v>114</v>
      </c>
      <c r="W136" t="s">
        <v>114</v>
      </c>
      <c r="X136" t="s">
        <v>114</v>
      </c>
      <c r="Z136" t="s">
        <v>1515</v>
      </c>
      <c r="AA136" t="s">
        <v>1515</v>
      </c>
      <c r="AB136" s="1" t="s">
        <v>1506</v>
      </c>
      <c r="AC136" t="s">
        <v>1516</v>
      </c>
      <c r="AD136" t="s">
        <v>1517</v>
      </c>
      <c r="AH136" t="s">
        <v>123</v>
      </c>
      <c r="AI136" t="s">
        <v>124</v>
      </c>
      <c r="AJ136" t="s">
        <v>1518</v>
      </c>
      <c r="AK136" t="s">
        <v>126</v>
      </c>
      <c r="AL136" t="s">
        <v>127</v>
      </c>
      <c r="AN136" t="s">
        <v>1519</v>
      </c>
      <c r="AO136" t="s">
        <v>1520</v>
      </c>
      <c r="AP136" t="s">
        <v>1521</v>
      </c>
      <c r="AQ136" t="s">
        <v>131</v>
      </c>
      <c r="AR136" t="s">
        <v>132</v>
      </c>
      <c r="AS136" t="s">
        <v>1440</v>
      </c>
      <c r="AT136" t="s">
        <v>1522</v>
      </c>
      <c r="AV136" t="s">
        <v>952</v>
      </c>
      <c r="AW136" t="s">
        <v>190</v>
      </c>
      <c r="AY136" t="s">
        <v>177</v>
      </c>
      <c r="AZ136" t="s">
        <v>138</v>
      </c>
      <c r="BA136" t="s">
        <v>1523</v>
      </c>
      <c r="BC136" t="s">
        <v>140</v>
      </c>
      <c r="BT136" s="7">
        <f t="shared" si="13"/>
        <v>0</v>
      </c>
      <c r="BU136" s="6">
        <f t="shared" si="14"/>
        <v>0</v>
      </c>
      <c r="BV136" s="6">
        <f t="shared" si="15"/>
        <v>0</v>
      </c>
      <c r="BW136" s="6">
        <f t="shared" si="16"/>
        <v>0</v>
      </c>
      <c r="BX136" s="6">
        <f t="shared" si="17"/>
        <v>0</v>
      </c>
    </row>
    <row r="137" spans="1:76" x14ac:dyDescent="0.35">
      <c r="A137" t="s">
        <v>1524</v>
      </c>
      <c r="B137" t="s">
        <v>107</v>
      </c>
      <c r="C137" t="s">
        <v>107</v>
      </c>
      <c r="F137" t="s">
        <v>533</v>
      </c>
      <c r="G137" t="s">
        <v>534</v>
      </c>
      <c r="H137" t="s">
        <v>535</v>
      </c>
      <c r="I137" t="s">
        <v>536</v>
      </c>
      <c r="J137" t="s">
        <v>113</v>
      </c>
      <c r="K137" s="8" t="s">
        <v>114</v>
      </c>
      <c r="L137" t="s">
        <v>114</v>
      </c>
      <c r="M137" s="6">
        <v>0</v>
      </c>
      <c r="N137" t="s">
        <v>114</v>
      </c>
      <c r="O137" s="6">
        <v>0</v>
      </c>
      <c r="P137" t="s">
        <v>114</v>
      </c>
      <c r="Q137" s="6">
        <v>0</v>
      </c>
      <c r="R137" s="7">
        <f t="shared" si="12"/>
        <v>0</v>
      </c>
      <c r="S137" t="s">
        <v>114</v>
      </c>
      <c r="T137" t="s">
        <v>114</v>
      </c>
      <c r="U137" t="s">
        <v>114</v>
      </c>
      <c r="W137" t="s">
        <v>114</v>
      </c>
      <c r="X137" t="s">
        <v>114</v>
      </c>
      <c r="Z137" t="s">
        <v>1525</v>
      </c>
      <c r="AA137" t="s">
        <v>1525</v>
      </c>
      <c r="AB137" s="1" t="s">
        <v>1506</v>
      </c>
      <c r="AC137" t="s">
        <v>1526</v>
      </c>
      <c r="AD137" t="s">
        <v>1527</v>
      </c>
      <c r="AH137" t="s">
        <v>123</v>
      </c>
      <c r="AI137" t="s">
        <v>124</v>
      </c>
      <c r="AJ137" t="s">
        <v>1528</v>
      </c>
      <c r="AK137" t="s">
        <v>126</v>
      </c>
      <c r="AL137" t="s">
        <v>127</v>
      </c>
      <c r="AN137" t="s">
        <v>1529</v>
      </c>
      <c r="AO137" t="s">
        <v>1530</v>
      </c>
      <c r="AP137" t="s">
        <v>1531</v>
      </c>
      <c r="AQ137" t="s">
        <v>131</v>
      </c>
      <c r="AR137" t="s">
        <v>132</v>
      </c>
      <c r="AS137" t="s">
        <v>1532</v>
      </c>
      <c r="AT137" t="s">
        <v>1533</v>
      </c>
      <c r="AV137" t="s">
        <v>1183</v>
      </c>
      <c r="AW137" t="s">
        <v>1534</v>
      </c>
      <c r="AY137" t="s">
        <v>547</v>
      </c>
      <c r="AZ137" t="s">
        <v>364</v>
      </c>
      <c r="BA137" t="s">
        <v>1535</v>
      </c>
      <c r="BC137" t="s">
        <v>140</v>
      </c>
      <c r="BT137" s="7">
        <f t="shared" si="13"/>
        <v>0</v>
      </c>
      <c r="BU137" s="6">
        <f t="shared" si="14"/>
        <v>0</v>
      </c>
      <c r="BV137" s="6">
        <f t="shared" si="15"/>
        <v>0</v>
      </c>
      <c r="BW137" s="6">
        <f t="shared" si="16"/>
        <v>0</v>
      </c>
      <c r="BX137" s="6">
        <f t="shared" si="17"/>
        <v>0</v>
      </c>
    </row>
    <row r="138" spans="1:76" x14ac:dyDescent="0.35">
      <c r="A138" t="s">
        <v>1536</v>
      </c>
      <c r="B138" t="s">
        <v>107</v>
      </c>
      <c r="C138" t="s">
        <v>107</v>
      </c>
      <c r="E138" t="s">
        <v>108</v>
      </c>
      <c r="F138" t="s">
        <v>158</v>
      </c>
      <c r="G138" t="s">
        <v>159</v>
      </c>
      <c r="H138" t="s">
        <v>111</v>
      </c>
      <c r="I138" t="s">
        <v>341</v>
      </c>
      <c r="J138" t="s">
        <v>113</v>
      </c>
      <c r="K138" s="8" t="s">
        <v>114</v>
      </c>
      <c r="L138" t="s">
        <v>161</v>
      </c>
      <c r="M138" s="6">
        <v>459</v>
      </c>
      <c r="N138" t="s">
        <v>994</v>
      </c>
      <c r="O138" s="6">
        <v>220</v>
      </c>
      <c r="P138" t="s">
        <v>1151</v>
      </c>
      <c r="Q138" s="6">
        <v>0</v>
      </c>
      <c r="R138" s="7">
        <f t="shared" si="12"/>
        <v>239</v>
      </c>
      <c r="S138" t="s">
        <v>334</v>
      </c>
      <c r="T138" t="s">
        <v>114</v>
      </c>
      <c r="U138" t="s">
        <v>334</v>
      </c>
      <c r="W138" t="s">
        <v>114</v>
      </c>
      <c r="X138" t="s">
        <v>1151</v>
      </c>
      <c r="Z138" t="s">
        <v>1537</v>
      </c>
      <c r="AA138" t="s">
        <v>1538</v>
      </c>
      <c r="AB138" s="1" t="s">
        <v>1539</v>
      </c>
      <c r="AC138" t="s">
        <v>1540</v>
      </c>
      <c r="AD138" t="s">
        <v>1541</v>
      </c>
      <c r="AH138" t="s">
        <v>123</v>
      </c>
      <c r="AI138" t="s">
        <v>124</v>
      </c>
      <c r="AJ138" t="s">
        <v>1542</v>
      </c>
      <c r="AK138" t="s">
        <v>126</v>
      </c>
      <c r="AL138" t="s">
        <v>127</v>
      </c>
      <c r="AN138" t="s">
        <v>1543</v>
      </c>
      <c r="AO138" t="s">
        <v>1278</v>
      </c>
      <c r="AP138" t="s">
        <v>1544</v>
      </c>
      <c r="AQ138" t="s">
        <v>131</v>
      </c>
      <c r="AR138" t="s">
        <v>132</v>
      </c>
      <c r="AS138" t="s">
        <v>756</v>
      </c>
      <c r="AT138" t="s">
        <v>1545</v>
      </c>
      <c r="AV138" t="s">
        <v>434</v>
      </c>
      <c r="AW138" t="s">
        <v>219</v>
      </c>
      <c r="AX138" t="s">
        <v>155</v>
      </c>
      <c r="AY138" t="s">
        <v>177</v>
      </c>
      <c r="AZ138" t="s">
        <v>138</v>
      </c>
      <c r="BA138" t="s">
        <v>1546</v>
      </c>
      <c r="BC138" t="s">
        <v>140</v>
      </c>
      <c r="BT138" s="7">
        <f t="shared" si="13"/>
        <v>239</v>
      </c>
      <c r="BU138" s="6">
        <f t="shared" si="14"/>
        <v>223.36448598130841</v>
      </c>
      <c r="BV138" s="6">
        <f t="shared" si="15"/>
        <v>15.635514018691588</v>
      </c>
      <c r="BW138" s="6">
        <f t="shared" si="16"/>
        <v>239</v>
      </c>
      <c r="BX138" s="6">
        <f t="shared" si="17"/>
        <v>0</v>
      </c>
    </row>
    <row r="139" spans="1:76" x14ac:dyDescent="0.35">
      <c r="A139" t="s">
        <v>1547</v>
      </c>
      <c r="B139" t="s">
        <v>107</v>
      </c>
      <c r="C139" t="s">
        <v>107</v>
      </c>
      <c r="E139" t="s">
        <v>108</v>
      </c>
      <c r="F139" t="s">
        <v>158</v>
      </c>
      <c r="G139" t="s">
        <v>159</v>
      </c>
      <c r="H139" t="s">
        <v>111</v>
      </c>
      <c r="I139" t="s">
        <v>341</v>
      </c>
      <c r="J139" t="s">
        <v>1548</v>
      </c>
      <c r="K139" s="8" t="s">
        <v>114</v>
      </c>
      <c r="L139" t="s">
        <v>161</v>
      </c>
      <c r="M139" s="6">
        <v>918</v>
      </c>
      <c r="N139" t="s">
        <v>994</v>
      </c>
      <c r="O139" s="6">
        <v>440</v>
      </c>
      <c r="P139" t="s">
        <v>1551</v>
      </c>
      <c r="Q139" s="6">
        <v>0</v>
      </c>
      <c r="R139" s="7">
        <f t="shared" si="12"/>
        <v>478</v>
      </c>
      <c r="S139" t="s">
        <v>180</v>
      </c>
      <c r="T139" t="s">
        <v>114</v>
      </c>
      <c r="U139" t="s">
        <v>180</v>
      </c>
      <c r="W139" t="s">
        <v>114</v>
      </c>
      <c r="X139" t="s">
        <v>1551</v>
      </c>
      <c r="Z139" t="s">
        <v>1552</v>
      </c>
      <c r="AA139" t="s">
        <v>1553</v>
      </c>
      <c r="AB139" s="1" t="s">
        <v>1554</v>
      </c>
      <c r="AC139" t="s">
        <v>1555</v>
      </c>
      <c r="AD139" t="s">
        <v>1553</v>
      </c>
      <c r="AH139" t="s">
        <v>123</v>
      </c>
      <c r="AI139" t="s">
        <v>124</v>
      </c>
      <c r="AJ139" t="s">
        <v>1556</v>
      </c>
      <c r="AK139" t="s">
        <v>126</v>
      </c>
      <c r="AL139" t="s">
        <v>127</v>
      </c>
      <c r="AN139" t="s">
        <v>1557</v>
      </c>
      <c r="AO139" t="s">
        <v>1558</v>
      </c>
      <c r="AP139" t="s">
        <v>1559</v>
      </c>
      <c r="AQ139" t="s">
        <v>131</v>
      </c>
      <c r="AR139" t="s">
        <v>132</v>
      </c>
      <c r="AS139" t="s">
        <v>1560</v>
      </c>
      <c r="AT139" t="s">
        <v>1561</v>
      </c>
      <c r="AV139" t="s">
        <v>1195</v>
      </c>
      <c r="AW139" t="s">
        <v>625</v>
      </c>
      <c r="AX139" t="s">
        <v>136</v>
      </c>
      <c r="AY139" t="s">
        <v>1562</v>
      </c>
      <c r="AZ139" t="s">
        <v>138</v>
      </c>
      <c r="BA139" t="s">
        <v>1563</v>
      </c>
      <c r="BC139" t="s">
        <v>140</v>
      </c>
      <c r="BT139" s="7">
        <f t="shared" si="13"/>
        <v>478</v>
      </c>
      <c r="BU139" s="6">
        <f t="shared" si="14"/>
        <v>446.72897196261681</v>
      </c>
      <c r="BV139" s="6">
        <f t="shared" si="15"/>
        <v>31.271028037383175</v>
      </c>
      <c r="BW139" s="6">
        <f t="shared" si="16"/>
        <v>478</v>
      </c>
      <c r="BX139" s="6">
        <f t="shared" si="17"/>
        <v>0</v>
      </c>
    </row>
    <row r="140" spans="1:76" x14ac:dyDescent="0.35">
      <c r="A140" t="s">
        <v>1564</v>
      </c>
      <c r="B140" t="s">
        <v>107</v>
      </c>
      <c r="C140" t="s">
        <v>107</v>
      </c>
      <c r="E140" t="s">
        <v>108</v>
      </c>
      <c r="F140" t="s">
        <v>158</v>
      </c>
      <c r="G140" t="s">
        <v>159</v>
      </c>
      <c r="H140" t="s">
        <v>111</v>
      </c>
      <c r="I140" t="s">
        <v>341</v>
      </c>
      <c r="J140" t="s">
        <v>113</v>
      </c>
      <c r="K140" s="8" t="s">
        <v>114</v>
      </c>
      <c r="L140" t="s">
        <v>161</v>
      </c>
      <c r="M140" s="6">
        <v>459</v>
      </c>
      <c r="N140" t="s">
        <v>994</v>
      </c>
      <c r="O140" s="6">
        <v>220</v>
      </c>
      <c r="P140" t="s">
        <v>1151</v>
      </c>
      <c r="Q140" s="6">
        <v>0</v>
      </c>
      <c r="R140" s="7">
        <f t="shared" si="12"/>
        <v>239</v>
      </c>
      <c r="S140" t="s">
        <v>180</v>
      </c>
      <c r="T140" t="s">
        <v>114</v>
      </c>
      <c r="U140" t="s">
        <v>180</v>
      </c>
      <c r="W140" t="s">
        <v>114</v>
      </c>
      <c r="X140" t="s">
        <v>1151</v>
      </c>
      <c r="Z140" t="s">
        <v>1565</v>
      </c>
      <c r="AA140" t="s">
        <v>1566</v>
      </c>
      <c r="AB140" s="1" t="s">
        <v>1567</v>
      </c>
      <c r="AC140" t="s">
        <v>1568</v>
      </c>
      <c r="AD140" t="s">
        <v>1566</v>
      </c>
      <c r="AH140" t="s">
        <v>123</v>
      </c>
      <c r="AI140" t="s">
        <v>124</v>
      </c>
      <c r="AJ140" t="s">
        <v>1569</v>
      </c>
      <c r="AK140" t="s">
        <v>126</v>
      </c>
      <c r="AL140" t="s">
        <v>127</v>
      </c>
      <c r="AN140" t="s">
        <v>1570</v>
      </c>
      <c r="AO140" t="s">
        <v>1571</v>
      </c>
      <c r="AP140" t="s">
        <v>1572</v>
      </c>
      <c r="AQ140" t="s">
        <v>131</v>
      </c>
      <c r="AR140" t="s">
        <v>132</v>
      </c>
      <c r="AS140" t="s">
        <v>989</v>
      </c>
      <c r="AT140" t="s">
        <v>990</v>
      </c>
      <c r="AV140" t="s">
        <v>300</v>
      </c>
      <c r="AX140" t="s">
        <v>136</v>
      </c>
      <c r="AY140" t="s">
        <v>177</v>
      </c>
      <c r="AZ140" t="s">
        <v>138</v>
      </c>
      <c r="BA140" t="s">
        <v>1573</v>
      </c>
      <c r="BC140" t="s">
        <v>140</v>
      </c>
      <c r="BT140" s="7">
        <f t="shared" si="13"/>
        <v>239</v>
      </c>
      <c r="BU140" s="6">
        <f t="shared" si="14"/>
        <v>223.36448598130841</v>
      </c>
      <c r="BV140" s="6">
        <f t="shared" si="15"/>
        <v>15.635514018691588</v>
      </c>
      <c r="BW140" s="6">
        <f t="shared" si="16"/>
        <v>239</v>
      </c>
      <c r="BX140" s="6">
        <f t="shared" si="17"/>
        <v>0</v>
      </c>
    </row>
    <row r="141" spans="1:76" x14ac:dyDescent="0.35">
      <c r="A141" t="s">
        <v>1574</v>
      </c>
      <c r="B141" t="s">
        <v>107</v>
      </c>
      <c r="C141" t="s">
        <v>107</v>
      </c>
      <c r="E141" t="s">
        <v>108</v>
      </c>
      <c r="F141" t="s">
        <v>158</v>
      </c>
      <c r="G141" t="s">
        <v>159</v>
      </c>
      <c r="H141" t="s">
        <v>111</v>
      </c>
      <c r="I141" t="s">
        <v>341</v>
      </c>
      <c r="J141" t="s">
        <v>113</v>
      </c>
      <c r="K141" s="8" t="s">
        <v>114</v>
      </c>
      <c r="L141" t="s">
        <v>161</v>
      </c>
      <c r="M141" s="6">
        <v>459</v>
      </c>
      <c r="N141" t="s">
        <v>762</v>
      </c>
      <c r="O141" s="6">
        <v>220</v>
      </c>
      <c r="P141" t="s">
        <v>1575</v>
      </c>
      <c r="Q141" s="6">
        <v>0</v>
      </c>
      <c r="R141" s="7">
        <f t="shared" si="12"/>
        <v>239</v>
      </c>
      <c r="S141" t="s">
        <v>142</v>
      </c>
      <c r="T141" t="s">
        <v>114</v>
      </c>
      <c r="U141" t="s">
        <v>142</v>
      </c>
      <c r="W141" t="s">
        <v>114</v>
      </c>
      <c r="X141" t="s">
        <v>1575</v>
      </c>
      <c r="Z141" t="s">
        <v>1576</v>
      </c>
      <c r="AA141" t="s">
        <v>1577</v>
      </c>
      <c r="AB141" s="1" t="s">
        <v>1578</v>
      </c>
      <c r="AC141" t="s">
        <v>1579</v>
      </c>
      <c r="AD141" t="s">
        <v>1577</v>
      </c>
      <c r="AH141" t="s">
        <v>123</v>
      </c>
      <c r="AI141" t="s">
        <v>124</v>
      </c>
      <c r="AJ141" t="s">
        <v>1580</v>
      </c>
      <c r="AK141" t="s">
        <v>126</v>
      </c>
      <c r="AL141" t="s">
        <v>127</v>
      </c>
      <c r="AN141" t="s">
        <v>1581</v>
      </c>
      <c r="AO141" t="s">
        <v>1582</v>
      </c>
      <c r="AP141" t="s">
        <v>1583</v>
      </c>
      <c r="AQ141" t="s">
        <v>131</v>
      </c>
      <c r="AR141" t="s">
        <v>132</v>
      </c>
      <c r="AS141" t="s">
        <v>152</v>
      </c>
      <c r="AT141" t="s">
        <v>1584</v>
      </c>
      <c r="AV141" t="s">
        <v>406</v>
      </c>
      <c r="AX141" t="s">
        <v>136</v>
      </c>
      <c r="AY141" t="s">
        <v>177</v>
      </c>
      <c r="AZ141" t="s">
        <v>138</v>
      </c>
      <c r="BA141" t="s">
        <v>1585</v>
      </c>
      <c r="BC141" t="s">
        <v>140</v>
      </c>
      <c r="BT141" s="7">
        <f t="shared" si="13"/>
        <v>239</v>
      </c>
      <c r="BU141" s="6">
        <f t="shared" si="14"/>
        <v>223.36448598130841</v>
      </c>
      <c r="BV141" s="6">
        <f t="shared" si="15"/>
        <v>15.635514018691588</v>
      </c>
      <c r="BW141" s="6">
        <f t="shared" si="16"/>
        <v>239</v>
      </c>
      <c r="BX141" s="6">
        <f t="shared" si="17"/>
        <v>0</v>
      </c>
    </row>
    <row r="142" spans="1:76" x14ac:dyDescent="0.35">
      <c r="A142" t="s">
        <v>1586</v>
      </c>
      <c r="B142" t="s">
        <v>107</v>
      </c>
      <c r="C142" t="s">
        <v>107</v>
      </c>
      <c r="E142" t="s">
        <v>108</v>
      </c>
      <c r="F142" t="s">
        <v>499</v>
      </c>
      <c r="G142" t="s">
        <v>500</v>
      </c>
      <c r="H142" t="s">
        <v>501</v>
      </c>
      <c r="I142" t="s">
        <v>341</v>
      </c>
      <c r="J142" t="s">
        <v>113</v>
      </c>
      <c r="K142" s="8" t="s">
        <v>114</v>
      </c>
      <c r="L142" t="s">
        <v>502</v>
      </c>
      <c r="M142" s="6">
        <v>348</v>
      </c>
      <c r="N142" t="s">
        <v>114</v>
      </c>
      <c r="O142" s="6">
        <v>209</v>
      </c>
      <c r="P142" t="s">
        <v>895</v>
      </c>
      <c r="Q142" s="6">
        <v>0</v>
      </c>
      <c r="R142" s="7">
        <f t="shared" si="12"/>
        <v>139</v>
      </c>
      <c r="S142" t="s">
        <v>180</v>
      </c>
      <c r="T142" t="s">
        <v>114</v>
      </c>
      <c r="U142" t="s">
        <v>180</v>
      </c>
      <c r="W142" t="s">
        <v>114</v>
      </c>
      <c r="X142" t="s">
        <v>895</v>
      </c>
      <c r="Z142" t="s">
        <v>1587</v>
      </c>
      <c r="AA142" t="s">
        <v>1588</v>
      </c>
      <c r="AB142" s="1" t="s">
        <v>1589</v>
      </c>
      <c r="AC142" t="s">
        <v>1590</v>
      </c>
      <c r="AD142" t="s">
        <v>1588</v>
      </c>
      <c r="AH142" t="s">
        <v>123</v>
      </c>
      <c r="AI142" t="s">
        <v>124</v>
      </c>
      <c r="AJ142" t="s">
        <v>1591</v>
      </c>
      <c r="AK142" t="s">
        <v>126</v>
      </c>
      <c r="AL142" t="s">
        <v>127</v>
      </c>
      <c r="AN142" t="s">
        <v>1592</v>
      </c>
      <c r="AO142" t="s">
        <v>1593</v>
      </c>
      <c r="AP142" t="s">
        <v>1594</v>
      </c>
      <c r="AQ142" t="s">
        <v>131</v>
      </c>
      <c r="AR142" t="s">
        <v>132</v>
      </c>
      <c r="AS142" t="s">
        <v>432</v>
      </c>
      <c r="AT142" t="s">
        <v>433</v>
      </c>
      <c r="AV142" t="s">
        <v>668</v>
      </c>
      <c r="AX142" t="s">
        <v>136</v>
      </c>
      <c r="AY142" t="s">
        <v>177</v>
      </c>
      <c r="AZ142" t="s">
        <v>517</v>
      </c>
      <c r="BA142" t="s">
        <v>1595</v>
      </c>
      <c r="BC142" t="s">
        <v>140</v>
      </c>
      <c r="BT142" s="7">
        <f t="shared" si="13"/>
        <v>139</v>
      </c>
      <c r="BU142" s="6">
        <f t="shared" si="14"/>
        <v>129.90654205607476</v>
      </c>
      <c r="BV142" s="6">
        <f t="shared" si="15"/>
        <v>9.0934579439252339</v>
      </c>
      <c r="BW142" s="6">
        <f t="shared" si="16"/>
        <v>139</v>
      </c>
      <c r="BX142" s="6">
        <f t="shared" si="17"/>
        <v>0</v>
      </c>
    </row>
    <row r="143" spans="1:76" x14ac:dyDescent="0.35">
      <c r="A143" t="s">
        <v>1596</v>
      </c>
      <c r="B143" t="s">
        <v>107</v>
      </c>
      <c r="C143" t="s">
        <v>107</v>
      </c>
      <c r="E143" t="s">
        <v>108</v>
      </c>
      <c r="F143" t="s">
        <v>158</v>
      </c>
      <c r="G143" t="s">
        <v>159</v>
      </c>
      <c r="H143" t="s">
        <v>111</v>
      </c>
      <c r="I143" t="s">
        <v>341</v>
      </c>
      <c r="J143" t="s">
        <v>113</v>
      </c>
      <c r="K143" s="8" t="s">
        <v>114</v>
      </c>
      <c r="L143" t="s">
        <v>161</v>
      </c>
      <c r="M143" s="6">
        <v>459</v>
      </c>
      <c r="N143" t="s">
        <v>994</v>
      </c>
      <c r="O143" s="6">
        <v>220</v>
      </c>
      <c r="P143" t="s">
        <v>1151</v>
      </c>
      <c r="Q143" s="6">
        <v>0</v>
      </c>
      <c r="R143" s="7">
        <f t="shared" si="12"/>
        <v>239</v>
      </c>
      <c r="S143" t="s">
        <v>180</v>
      </c>
      <c r="T143" t="s">
        <v>114</v>
      </c>
      <c r="U143" t="s">
        <v>180</v>
      </c>
      <c r="W143" t="s">
        <v>114</v>
      </c>
      <c r="X143" t="s">
        <v>1151</v>
      </c>
      <c r="Z143" t="s">
        <v>1597</v>
      </c>
      <c r="AA143" t="s">
        <v>1598</v>
      </c>
      <c r="AB143" s="1" t="s">
        <v>1599</v>
      </c>
      <c r="AC143" t="s">
        <v>1600</v>
      </c>
      <c r="AD143" t="s">
        <v>1598</v>
      </c>
      <c r="AH143" t="s">
        <v>123</v>
      </c>
      <c r="AI143" t="s">
        <v>124</v>
      </c>
      <c r="AJ143" t="s">
        <v>1601</v>
      </c>
      <c r="AK143" t="s">
        <v>126</v>
      </c>
      <c r="AL143" t="s">
        <v>127</v>
      </c>
      <c r="AN143" t="s">
        <v>1602</v>
      </c>
      <c r="AO143" t="s">
        <v>1603</v>
      </c>
      <c r="AP143" t="s">
        <v>1604</v>
      </c>
      <c r="AQ143" t="s">
        <v>131</v>
      </c>
      <c r="AR143" t="s">
        <v>132</v>
      </c>
      <c r="AS143" t="s">
        <v>1605</v>
      </c>
      <c r="AT143" t="s">
        <v>1606</v>
      </c>
      <c r="AV143" t="s">
        <v>1072</v>
      </c>
      <c r="AW143" t="s">
        <v>1607</v>
      </c>
      <c r="AX143" t="s">
        <v>136</v>
      </c>
      <c r="AY143" t="s">
        <v>177</v>
      </c>
      <c r="AZ143" t="s">
        <v>138</v>
      </c>
      <c r="BA143" t="s">
        <v>1608</v>
      </c>
      <c r="BC143" t="s">
        <v>140</v>
      </c>
      <c r="BT143" s="7">
        <f t="shared" si="13"/>
        <v>239</v>
      </c>
      <c r="BU143" s="6">
        <f t="shared" si="14"/>
        <v>223.36448598130841</v>
      </c>
      <c r="BV143" s="6">
        <f t="shared" si="15"/>
        <v>15.635514018691588</v>
      </c>
      <c r="BW143" s="6">
        <f t="shared" si="16"/>
        <v>239</v>
      </c>
      <c r="BX143" s="6">
        <f t="shared" si="17"/>
        <v>0</v>
      </c>
    </row>
    <row r="144" spans="1:76" x14ac:dyDescent="0.35">
      <c r="A144" t="s">
        <v>1609</v>
      </c>
      <c r="B144" t="s">
        <v>107</v>
      </c>
      <c r="C144" t="s">
        <v>107</v>
      </c>
      <c r="E144" t="s">
        <v>108</v>
      </c>
      <c r="F144" t="s">
        <v>158</v>
      </c>
      <c r="G144" t="s">
        <v>159</v>
      </c>
      <c r="H144" t="s">
        <v>111</v>
      </c>
      <c r="I144" t="s">
        <v>341</v>
      </c>
      <c r="J144" t="s">
        <v>113</v>
      </c>
      <c r="K144" s="8" t="s">
        <v>114</v>
      </c>
      <c r="L144" t="s">
        <v>161</v>
      </c>
      <c r="M144" s="6">
        <v>459</v>
      </c>
      <c r="N144" t="s">
        <v>994</v>
      </c>
      <c r="O144" s="6">
        <v>220</v>
      </c>
      <c r="P144" t="s">
        <v>1151</v>
      </c>
      <c r="Q144" s="6">
        <v>0</v>
      </c>
      <c r="R144" s="7">
        <f t="shared" si="12"/>
        <v>239</v>
      </c>
      <c r="S144" t="s">
        <v>180</v>
      </c>
      <c r="T144" t="s">
        <v>114</v>
      </c>
      <c r="U144" t="s">
        <v>180</v>
      </c>
      <c r="W144" t="s">
        <v>114</v>
      </c>
      <c r="X144" t="s">
        <v>1151</v>
      </c>
      <c r="Z144" t="s">
        <v>1610</v>
      </c>
      <c r="AA144" t="s">
        <v>1611</v>
      </c>
      <c r="AB144" s="1" t="s">
        <v>1612</v>
      </c>
      <c r="AC144" t="s">
        <v>1613</v>
      </c>
      <c r="AD144" t="s">
        <v>1611</v>
      </c>
      <c r="AH144" t="s">
        <v>123</v>
      </c>
      <c r="AI144" t="s">
        <v>124</v>
      </c>
      <c r="AJ144" t="s">
        <v>1614</v>
      </c>
      <c r="AK144" t="s">
        <v>126</v>
      </c>
      <c r="AL144" t="s">
        <v>127</v>
      </c>
      <c r="AN144" t="s">
        <v>1615</v>
      </c>
      <c r="AO144" t="s">
        <v>1616</v>
      </c>
      <c r="AP144" t="s">
        <v>1617</v>
      </c>
      <c r="AQ144" t="s">
        <v>131</v>
      </c>
      <c r="AR144" t="s">
        <v>132</v>
      </c>
      <c r="AS144" t="s">
        <v>880</v>
      </c>
      <c r="AT144" t="s">
        <v>881</v>
      </c>
      <c r="AV144" t="s">
        <v>219</v>
      </c>
      <c r="AX144" t="s">
        <v>136</v>
      </c>
      <c r="AY144" t="s">
        <v>177</v>
      </c>
      <c r="AZ144" t="s">
        <v>138</v>
      </c>
      <c r="BA144" t="s">
        <v>1618</v>
      </c>
      <c r="BC144" t="s">
        <v>140</v>
      </c>
      <c r="BT144" s="7">
        <f t="shared" si="13"/>
        <v>239</v>
      </c>
      <c r="BU144" s="6">
        <f t="shared" si="14"/>
        <v>223.36448598130841</v>
      </c>
      <c r="BV144" s="6">
        <f t="shared" si="15"/>
        <v>15.635514018691588</v>
      </c>
      <c r="BW144" s="6">
        <f t="shared" si="16"/>
        <v>239</v>
      </c>
      <c r="BX144" s="6">
        <f t="shared" si="17"/>
        <v>0</v>
      </c>
    </row>
    <row r="145" spans="1:76" x14ac:dyDescent="0.35">
      <c r="A145" t="s">
        <v>1619</v>
      </c>
      <c r="B145" t="s">
        <v>336</v>
      </c>
      <c r="C145" t="s">
        <v>336</v>
      </c>
      <c r="D145" t="s">
        <v>337</v>
      </c>
      <c r="E145" t="s">
        <v>108</v>
      </c>
      <c r="F145" t="s">
        <v>158</v>
      </c>
      <c r="G145" t="s">
        <v>159</v>
      </c>
      <c r="H145" t="s">
        <v>111</v>
      </c>
      <c r="I145" t="s">
        <v>341</v>
      </c>
      <c r="J145" t="s">
        <v>113</v>
      </c>
      <c r="K145" s="8" t="s">
        <v>113</v>
      </c>
      <c r="L145" t="s">
        <v>161</v>
      </c>
      <c r="M145" s="6">
        <v>459</v>
      </c>
      <c r="N145" t="s">
        <v>994</v>
      </c>
      <c r="O145" s="6">
        <v>220</v>
      </c>
      <c r="P145" t="s">
        <v>1151</v>
      </c>
      <c r="Q145" s="6">
        <v>8</v>
      </c>
      <c r="R145" s="7">
        <f t="shared" si="12"/>
        <v>247</v>
      </c>
      <c r="S145" t="s">
        <v>118</v>
      </c>
      <c r="T145" t="s">
        <v>114</v>
      </c>
      <c r="U145" t="s">
        <v>997</v>
      </c>
      <c r="W145" t="s">
        <v>114</v>
      </c>
      <c r="X145" t="s">
        <v>1620</v>
      </c>
      <c r="Y145" t="s">
        <v>1151</v>
      </c>
      <c r="Z145" t="s">
        <v>1621</v>
      </c>
      <c r="AB145" s="1" t="s">
        <v>1622</v>
      </c>
      <c r="AC145" t="s">
        <v>1623</v>
      </c>
      <c r="AE145" t="s">
        <v>1624</v>
      </c>
      <c r="AF145" t="s">
        <v>474</v>
      </c>
      <c r="AG145" t="s">
        <v>475</v>
      </c>
      <c r="AH145" t="s">
        <v>123</v>
      </c>
      <c r="AI145" t="s">
        <v>124</v>
      </c>
      <c r="AJ145" t="s">
        <v>1625</v>
      </c>
      <c r="AK145" t="s">
        <v>126</v>
      </c>
      <c r="AL145" t="s">
        <v>127</v>
      </c>
      <c r="AN145" t="s">
        <v>1626</v>
      </c>
      <c r="AO145" t="s">
        <v>1627</v>
      </c>
      <c r="AP145" t="s">
        <v>1628</v>
      </c>
      <c r="AQ145" t="s">
        <v>131</v>
      </c>
      <c r="AR145" t="s">
        <v>132</v>
      </c>
      <c r="AS145" t="s">
        <v>262</v>
      </c>
      <c r="AT145" t="s">
        <v>571</v>
      </c>
      <c r="AV145" t="s">
        <v>1607</v>
      </c>
      <c r="AW145" t="s">
        <v>131</v>
      </c>
      <c r="AX145" t="s">
        <v>136</v>
      </c>
      <c r="AY145" t="s">
        <v>177</v>
      </c>
      <c r="AZ145" t="s">
        <v>138</v>
      </c>
      <c r="BA145" t="s">
        <v>1629</v>
      </c>
      <c r="BC145" t="s">
        <v>140</v>
      </c>
      <c r="BT145" s="7">
        <f t="shared" si="13"/>
        <v>247</v>
      </c>
      <c r="BU145" s="6">
        <f t="shared" si="14"/>
        <v>230.84112149532709</v>
      </c>
      <c r="BV145" s="6">
        <f t="shared" si="15"/>
        <v>16.158878504672895</v>
      </c>
      <c r="BW145" s="6">
        <f t="shared" si="16"/>
        <v>246.99999999999997</v>
      </c>
      <c r="BX145" s="6">
        <f t="shared" si="17"/>
        <v>0</v>
      </c>
    </row>
    <row r="146" spans="1:76" x14ac:dyDescent="0.35">
      <c r="A146" t="s">
        <v>1630</v>
      </c>
      <c r="B146" t="s">
        <v>107</v>
      </c>
      <c r="C146" t="s">
        <v>107</v>
      </c>
      <c r="E146" t="s">
        <v>108</v>
      </c>
      <c r="F146" t="s">
        <v>158</v>
      </c>
      <c r="G146" t="s">
        <v>159</v>
      </c>
      <c r="H146" t="s">
        <v>111</v>
      </c>
      <c r="I146" t="s">
        <v>341</v>
      </c>
      <c r="J146" t="s">
        <v>113</v>
      </c>
      <c r="K146" s="8" t="s">
        <v>114</v>
      </c>
      <c r="L146" t="s">
        <v>161</v>
      </c>
      <c r="M146" s="6">
        <v>459</v>
      </c>
      <c r="N146" t="s">
        <v>994</v>
      </c>
      <c r="O146" s="6">
        <v>220</v>
      </c>
      <c r="P146" t="s">
        <v>1151</v>
      </c>
      <c r="Q146" s="6">
        <v>0</v>
      </c>
      <c r="R146" s="7">
        <f t="shared" si="12"/>
        <v>239</v>
      </c>
      <c r="S146" t="s">
        <v>334</v>
      </c>
      <c r="T146" t="s">
        <v>114</v>
      </c>
      <c r="U146" t="s">
        <v>334</v>
      </c>
      <c r="W146" t="s">
        <v>114</v>
      </c>
      <c r="X146" t="s">
        <v>1151</v>
      </c>
      <c r="Z146" t="s">
        <v>1631</v>
      </c>
      <c r="AA146" t="s">
        <v>1632</v>
      </c>
      <c r="AB146" s="1" t="s">
        <v>1633</v>
      </c>
      <c r="AC146" t="s">
        <v>1634</v>
      </c>
      <c r="AD146" t="s">
        <v>1635</v>
      </c>
      <c r="AH146" t="s">
        <v>123</v>
      </c>
      <c r="AI146" t="s">
        <v>124</v>
      </c>
      <c r="AJ146" t="s">
        <v>1636</v>
      </c>
      <c r="AK146" t="s">
        <v>126</v>
      </c>
      <c r="AL146" t="s">
        <v>127</v>
      </c>
      <c r="AN146" t="s">
        <v>1637</v>
      </c>
      <c r="AO146" t="s">
        <v>1638</v>
      </c>
      <c r="AP146" t="s">
        <v>1639</v>
      </c>
      <c r="AQ146" t="s">
        <v>131</v>
      </c>
      <c r="AR146" t="s">
        <v>132</v>
      </c>
      <c r="AS146" t="s">
        <v>1640</v>
      </c>
      <c r="AT146" t="s">
        <v>1641</v>
      </c>
      <c r="AV146" t="s">
        <v>406</v>
      </c>
      <c r="AX146" t="s">
        <v>176</v>
      </c>
      <c r="AY146" t="s">
        <v>177</v>
      </c>
      <c r="AZ146" t="s">
        <v>138</v>
      </c>
      <c r="BA146" t="s">
        <v>1642</v>
      </c>
      <c r="BC146" t="s">
        <v>140</v>
      </c>
      <c r="BT146" s="7">
        <f t="shared" si="13"/>
        <v>239</v>
      </c>
      <c r="BU146" s="6">
        <f t="shared" si="14"/>
        <v>223.36448598130841</v>
      </c>
      <c r="BV146" s="6">
        <f t="shared" si="15"/>
        <v>15.635514018691588</v>
      </c>
      <c r="BW146" s="6">
        <f t="shared" si="16"/>
        <v>239</v>
      </c>
      <c r="BX146" s="6">
        <f t="shared" si="17"/>
        <v>0</v>
      </c>
    </row>
    <row r="147" spans="1:76" x14ac:dyDescent="0.35">
      <c r="A147" t="s">
        <v>1643</v>
      </c>
      <c r="B147" t="s">
        <v>107</v>
      </c>
      <c r="C147" t="s">
        <v>107</v>
      </c>
      <c r="E147" t="s">
        <v>108</v>
      </c>
      <c r="F147" t="s">
        <v>158</v>
      </c>
      <c r="G147" t="s">
        <v>159</v>
      </c>
      <c r="H147" t="s">
        <v>111</v>
      </c>
      <c r="I147" t="s">
        <v>341</v>
      </c>
      <c r="J147" t="s">
        <v>113</v>
      </c>
      <c r="K147" s="8" t="s">
        <v>114</v>
      </c>
      <c r="L147" t="s">
        <v>161</v>
      </c>
      <c r="M147" s="6">
        <v>459</v>
      </c>
      <c r="N147" t="s">
        <v>994</v>
      </c>
      <c r="O147" s="6">
        <v>220</v>
      </c>
      <c r="P147" t="s">
        <v>1151</v>
      </c>
      <c r="Q147" s="6">
        <v>60</v>
      </c>
      <c r="R147" s="7">
        <f t="shared" si="12"/>
        <v>299</v>
      </c>
      <c r="S147" t="s">
        <v>118</v>
      </c>
      <c r="T147" t="s">
        <v>114</v>
      </c>
      <c r="U147" t="s">
        <v>1644</v>
      </c>
      <c r="W147" t="s">
        <v>114</v>
      </c>
      <c r="X147" t="s">
        <v>1645</v>
      </c>
      <c r="Z147" t="s">
        <v>1646</v>
      </c>
      <c r="AA147" t="s">
        <v>1647</v>
      </c>
      <c r="AB147" s="1" t="s">
        <v>1648</v>
      </c>
      <c r="AC147" t="s">
        <v>1649</v>
      </c>
      <c r="AD147" t="s">
        <v>1647</v>
      </c>
      <c r="AH147" t="s">
        <v>123</v>
      </c>
      <c r="AI147" t="s">
        <v>124</v>
      </c>
      <c r="AJ147" t="s">
        <v>1650</v>
      </c>
      <c r="AK147" t="s">
        <v>126</v>
      </c>
      <c r="AL147" t="s">
        <v>127</v>
      </c>
      <c r="AN147" t="s">
        <v>1651</v>
      </c>
      <c r="AO147" t="s">
        <v>1652</v>
      </c>
      <c r="AP147" t="s">
        <v>1653</v>
      </c>
      <c r="AQ147" t="s">
        <v>131</v>
      </c>
      <c r="AR147" t="s">
        <v>132</v>
      </c>
      <c r="AS147" t="s">
        <v>262</v>
      </c>
      <c r="AT147" t="s">
        <v>571</v>
      </c>
      <c r="AV147" t="s">
        <v>530</v>
      </c>
      <c r="AX147" t="s">
        <v>136</v>
      </c>
      <c r="AY147" t="s">
        <v>177</v>
      </c>
      <c r="AZ147" t="s">
        <v>138</v>
      </c>
      <c r="BA147" t="s">
        <v>1654</v>
      </c>
      <c r="BC147" t="s">
        <v>140</v>
      </c>
      <c r="BT147" s="7">
        <f t="shared" si="13"/>
        <v>299</v>
      </c>
      <c r="BU147" s="6">
        <f t="shared" si="14"/>
        <v>279.43925233644859</v>
      </c>
      <c r="BV147" s="6">
        <f t="shared" si="15"/>
        <v>19.5607476635514</v>
      </c>
      <c r="BW147" s="6">
        <f t="shared" si="16"/>
        <v>299</v>
      </c>
      <c r="BX147" s="6">
        <f t="shared" si="17"/>
        <v>0</v>
      </c>
    </row>
    <row r="148" spans="1:76" x14ac:dyDescent="0.35">
      <c r="A148" t="s">
        <v>1655</v>
      </c>
      <c r="B148" t="s">
        <v>107</v>
      </c>
      <c r="C148" t="s">
        <v>107</v>
      </c>
      <c r="E148" t="s">
        <v>108</v>
      </c>
      <c r="F148" t="s">
        <v>158</v>
      </c>
      <c r="G148" t="s">
        <v>159</v>
      </c>
      <c r="H148" t="s">
        <v>111</v>
      </c>
      <c r="I148" t="s">
        <v>341</v>
      </c>
      <c r="J148" t="s">
        <v>113</v>
      </c>
      <c r="K148" s="8" t="s">
        <v>114</v>
      </c>
      <c r="L148" t="s">
        <v>161</v>
      </c>
      <c r="M148" s="6">
        <v>459</v>
      </c>
      <c r="N148" t="s">
        <v>162</v>
      </c>
      <c r="O148" s="6">
        <v>220</v>
      </c>
      <c r="P148" t="s">
        <v>1206</v>
      </c>
      <c r="Q148" s="6">
        <v>0</v>
      </c>
      <c r="R148" s="7">
        <f t="shared" si="12"/>
        <v>239</v>
      </c>
      <c r="S148" t="s">
        <v>142</v>
      </c>
      <c r="T148" t="s">
        <v>114</v>
      </c>
      <c r="U148" t="s">
        <v>142</v>
      </c>
      <c r="W148" t="s">
        <v>114</v>
      </c>
      <c r="X148" t="s">
        <v>1206</v>
      </c>
      <c r="Z148" t="s">
        <v>1656</v>
      </c>
      <c r="AA148" t="s">
        <v>1657</v>
      </c>
      <c r="AB148" s="1" t="s">
        <v>1658</v>
      </c>
      <c r="AC148" t="s">
        <v>1659</v>
      </c>
      <c r="AD148" t="s">
        <v>1657</v>
      </c>
      <c r="AH148" t="s">
        <v>123</v>
      </c>
      <c r="AI148" t="s">
        <v>124</v>
      </c>
      <c r="AJ148" t="s">
        <v>1660</v>
      </c>
      <c r="AK148" t="s">
        <v>126</v>
      </c>
      <c r="AL148" t="s">
        <v>127</v>
      </c>
      <c r="AN148" t="s">
        <v>1661</v>
      </c>
      <c r="AO148" t="s">
        <v>1662</v>
      </c>
      <c r="AP148" t="s">
        <v>1663</v>
      </c>
      <c r="AQ148" t="s">
        <v>131</v>
      </c>
      <c r="AR148" t="s">
        <v>132</v>
      </c>
      <c r="AS148" t="s">
        <v>720</v>
      </c>
      <c r="AT148" t="s">
        <v>1664</v>
      </c>
      <c r="AV148" t="s">
        <v>1665</v>
      </c>
      <c r="AX148" t="s">
        <v>136</v>
      </c>
      <c r="AY148" t="s">
        <v>177</v>
      </c>
      <c r="AZ148" t="s">
        <v>138</v>
      </c>
      <c r="BA148" t="s">
        <v>1666</v>
      </c>
      <c r="BC148" t="s">
        <v>140</v>
      </c>
      <c r="BT148" s="7">
        <f t="shared" si="13"/>
        <v>239</v>
      </c>
      <c r="BU148" s="6">
        <f t="shared" si="14"/>
        <v>223.36448598130841</v>
      </c>
      <c r="BV148" s="6">
        <f t="shared" si="15"/>
        <v>15.635514018691588</v>
      </c>
      <c r="BW148" s="6">
        <f t="shared" si="16"/>
        <v>239</v>
      </c>
      <c r="BX148" s="6">
        <f t="shared" si="17"/>
        <v>0</v>
      </c>
    </row>
    <row r="149" spans="1:76" x14ac:dyDescent="0.35">
      <c r="A149" t="s">
        <v>1667</v>
      </c>
      <c r="B149" t="s">
        <v>107</v>
      </c>
      <c r="C149" t="s">
        <v>107</v>
      </c>
      <c r="E149" t="s">
        <v>108</v>
      </c>
      <c r="F149" t="s">
        <v>158</v>
      </c>
      <c r="G149" t="s">
        <v>159</v>
      </c>
      <c r="H149" t="s">
        <v>111</v>
      </c>
      <c r="I149" t="s">
        <v>341</v>
      </c>
      <c r="J149" t="s">
        <v>113</v>
      </c>
      <c r="K149" s="8" t="s">
        <v>114</v>
      </c>
      <c r="L149" t="s">
        <v>161</v>
      </c>
      <c r="M149" s="6">
        <v>459</v>
      </c>
      <c r="N149" t="s">
        <v>162</v>
      </c>
      <c r="O149" s="6">
        <v>220</v>
      </c>
      <c r="P149" t="s">
        <v>1206</v>
      </c>
      <c r="Q149" s="6">
        <v>0</v>
      </c>
      <c r="R149" s="7">
        <f t="shared" si="12"/>
        <v>239</v>
      </c>
      <c r="S149" t="s">
        <v>180</v>
      </c>
      <c r="T149" t="s">
        <v>114</v>
      </c>
      <c r="U149" t="s">
        <v>180</v>
      </c>
      <c r="W149" t="s">
        <v>114</v>
      </c>
      <c r="X149" t="s">
        <v>1206</v>
      </c>
      <c r="Z149" t="s">
        <v>1668</v>
      </c>
      <c r="AA149" t="s">
        <v>1669</v>
      </c>
      <c r="AB149" s="1" t="s">
        <v>1670</v>
      </c>
      <c r="AC149" t="s">
        <v>1671</v>
      </c>
      <c r="AD149" t="s">
        <v>1672</v>
      </c>
      <c r="AH149" t="s">
        <v>123</v>
      </c>
      <c r="AI149" t="s">
        <v>124</v>
      </c>
      <c r="AJ149" t="s">
        <v>1673</v>
      </c>
      <c r="AK149" t="s">
        <v>126</v>
      </c>
      <c r="AL149" t="s">
        <v>127</v>
      </c>
      <c r="AN149" t="s">
        <v>1674</v>
      </c>
      <c r="AO149" t="s">
        <v>1675</v>
      </c>
      <c r="AP149" t="s">
        <v>1676</v>
      </c>
      <c r="AQ149" t="s">
        <v>131</v>
      </c>
      <c r="AR149" t="s">
        <v>403</v>
      </c>
      <c r="AS149" t="s">
        <v>404</v>
      </c>
      <c r="AT149" t="s">
        <v>405</v>
      </c>
      <c r="AV149" t="s">
        <v>375</v>
      </c>
      <c r="AX149" t="s">
        <v>155</v>
      </c>
      <c r="AY149" t="s">
        <v>177</v>
      </c>
      <c r="AZ149" t="s">
        <v>138</v>
      </c>
      <c r="BA149" t="s">
        <v>1677</v>
      </c>
      <c r="BC149" t="s">
        <v>140</v>
      </c>
      <c r="BT149" s="7">
        <f t="shared" si="13"/>
        <v>239</v>
      </c>
      <c r="BU149" s="6">
        <f t="shared" si="14"/>
        <v>223.36448598130841</v>
      </c>
      <c r="BV149" s="6">
        <f t="shared" si="15"/>
        <v>15.635514018691588</v>
      </c>
      <c r="BW149" s="6">
        <f t="shared" si="16"/>
        <v>239</v>
      </c>
      <c r="BX149" s="6">
        <f t="shared" si="17"/>
        <v>0</v>
      </c>
    </row>
    <row r="150" spans="1:76" x14ac:dyDescent="0.35">
      <c r="A150" t="s">
        <v>1678</v>
      </c>
      <c r="B150" t="s">
        <v>107</v>
      </c>
      <c r="C150" t="s">
        <v>107</v>
      </c>
      <c r="E150" t="s">
        <v>108</v>
      </c>
      <c r="F150" t="s">
        <v>158</v>
      </c>
      <c r="G150" t="s">
        <v>159</v>
      </c>
      <c r="H150" t="s">
        <v>111</v>
      </c>
      <c r="I150" t="s">
        <v>341</v>
      </c>
      <c r="J150" t="s">
        <v>113</v>
      </c>
      <c r="K150" s="8" t="s">
        <v>114</v>
      </c>
      <c r="L150" t="s">
        <v>161</v>
      </c>
      <c r="M150" s="6">
        <v>459</v>
      </c>
      <c r="N150" t="s">
        <v>1679</v>
      </c>
      <c r="O150" s="6">
        <v>220</v>
      </c>
      <c r="P150" t="s">
        <v>1680</v>
      </c>
      <c r="Q150" s="6">
        <v>0</v>
      </c>
      <c r="R150" s="7">
        <f t="shared" si="12"/>
        <v>239</v>
      </c>
      <c r="S150" t="s">
        <v>180</v>
      </c>
      <c r="T150" t="s">
        <v>114</v>
      </c>
      <c r="U150" t="s">
        <v>180</v>
      </c>
      <c r="W150" t="s">
        <v>114</v>
      </c>
      <c r="X150" t="s">
        <v>1680</v>
      </c>
      <c r="Z150" t="s">
        <v>1681</v>
      </c>
      <c r="AA150" t="s">
        <v>1682</v>
      </c>
      <c r="AB150" s="1" t="s">
        <v>1683</v>
      </c>
      <c r="AC150" t="s">
        <v>1684</v>
      </c>
      <c r="AD150" t="s">
        <v>1685</v>
      </c>
      <c r="AH150" t="s">
        <v>123</v>
      </c>
      <c r="AI150" t="s">
        <v>124</v>
      </c>
      <c r="AJ150" t="s">
        <v>1686</v>
      </c>
      <c r="AK150" t="s">
        <v>126</v>
      </c>
      <c r="AL150" t="s">
        <v>127</v>
      </c>
      <c r="AN150" t="s">
        <v>1687</v>
      </c>
      <c r="AO150" t="s">
        <v>1688</v>
      </c>
      <c r="AP150" t="s">
        <v>1689</v>
      </c>
      <c r="AQ150" t="s">
        <v>131</v>
      </c>
      <c r="AR150" t="s">
        <v>132</v>
      </c>
      <c r="AS150" t="s">
        <v>202</v>
      </c>
      <c r="AT150" t="s">
        <v>1690</v>
      </c>
      <c r="AV150" t="s">
        <v>654</v>
      </c>
      <c r="AW150" t="s">
        <v>625</v>
      </c>
      <c r="AX150" t="s">
        <v>317</v>
      </c>
      <c r="AY150" t="s">
        <v>177</v>
      </c>
      <c r="AZ150" t="s">
        <v>138</v>
      </c>
      <c r="BA150" t="s">
        <v>1691</v>
      </c>
      <c r="BC150" t="s">
        <v>140</v>
      </c>
      <c r="BT150" s="7">
        <f t="shared" si="13"/>
        <v>239</v>
      </c>
      <c r="BU150" s="6">
        <f t="shared" si="14"/>
        <v>223.36448598130841</v>
      </c>
      <c r="BV150" s="6">
        <f t="shared" si="15"/>
        <v>15.635514018691588</v>
      </c>
      <c r="BW150" s="6">
        <f t="shared" si="16"/>
        <v>239</v>
      </c>
      <c r="BX150" s="6">
        <f t="shared" si="17"/>
        <v>0</v>
      </c>
    </row>
    <row r="151" spans="1:76" x14ac:dyDescent="0.35">
      <c r="A151" t="s">
        <v>1692</v>
      </c>
      <c r="B151" t="s">
        <v>107</v>
      </c>
      <c r="C151" t="s">
        <v>107</v>
      </c>
      <c r="E151" t="s">
        <v>108</v>
      </c>
      <c r="F151" t="s">
        <v>158</v>
      </c>
      <c r="G151" t="s">
        <v>159</v>
      </c>
      <c r="H151" t="s">
        <v>111</v>
      </c>
      <c r="I151" t="s">
        <v>341</v>
      </c>
      <c r="J151" t="s">
        <v>113</v>
      </c>
      <c r="K151" s="8" t="s">
        <v>114</v>
      </c>
      <c r="L151" t="s">
        <v>161</v>
      </c>
      <c r="M151" s="6">
        <v>459</v>
      </c>
      <c r="N151" t="s">
        <v>114</v>
      </c>
      <c r="O151" s="6">
        <v>220</v>
      </c>
      <c r="P151" t="s">
        <v>1111</v>
      </c>
      <c r="Q151" s="6">
        <v>0</v>
      </c>
      <c r="R151" s="7">
        <f t="shared" si="12"/>
        <v>239</v>
      </c>
      <c r="S151" t="s">
        <v>142</v>
      </c>
      <c r="T151" t="s">
        <v>114</v>
      </c>
      <c r="U151" t="s">
        <v>142</v>
      </c>
      <c r="W151" t="s">
        <v>114</v>
      </c>
      <c r="X151" t="s">
        <v>1111</v>
      </c>
      <c r="Z151" t="s">
        <v>1693</v>
      </c>
      <c r="AA151" t="s">
        <v>1694</v>
      </c>
      <c r="AB151" s="1" t="s">
        <v>1695</v>
      </c>
      <c r="AC151" t="s">
        <v>1696</v>
      </c>
      <c r="AD151" t="s">
        <v>1697</v>
      </c>
      <c r="AH151" t="s">
        <v>123</v>
      </c>
      <c r="AI151" t="s">
        <v>124</v>
      </c>
      <c r="AJ151" t="s">
        <v>1698</v>
      </c>
      <c r="AK151" t="s">
        <v>126</v>
      </c>
      <c r="AL151" t="s">
        <v>127</v>
      </c>
      <c r="AN151" t="s">
        <v>1699</v>
      </c>
      <c r="AO151" t="s">
        <v>1700</v>
      </c>
      <c r="AP151" t="s">
        <v>1701</v>
      </c>
      <c r="AQ151" t="s">
        <v>131</v>
      </c>
      <c r="AR151" t="s">
        <v>132</v>
      </c>
      <c r="AS151" t="s">
        <v>152</v>
      </c>
      <c r="AT151" t="s">
        <v>1702</v>
      </c>
      <c r="AV151" t="s">
        <v>1703</v>
      </c>
      <c r="AX151" t="s">
        <v>655</v>
      </c>
      <c r="AY151" t="s">
        <v>177</v>
      </c>
      <c r="AZ151" t="s">
        <v>138</v>
      </c>
      <c r="BA151" t="s">
        <v>1704</v>
      </c>
      <c r="BC151" t="s">
        <v>140</v>
      </c>
      <c r="BT151" s="7">
        <f t="shared" si="13"/>
        <v>239</v>
      </c>
      <c r="BU151" s="6">
        <f t="shared" si="14"/>
        <v>223.36448598130841</v>
      </c>
      <c r="BV151" s="6">
        <f t="shared" si="15"/>
        <v>15.635514018691588</v>
      </c>
      <c r="BW151" s="6">
        <f t="shared" si="16"/>
        <v>239</v>
      </c>
      <c r="BX151" s="6">
        <f t="shared" si="17"/>
        <v>0</v>
      </c>
    </row>
    <row r="152" spans="1:76" x14ac:dyDescent="0.35">
      <c r="A152" t="s">
        <v>1705</v>
      </c>
      <c r="B152" t="s">
        <v>336</v>
      </c>
      <c r="C152" t="s">
        <v>336</v>
      </c>
      <c r="D152" t="s">
        <v>337</v>
      </c>
      <c r="E152" t="s">
        <v>108</v>
      </c>
      <c r="F152" t="s">
        <v>158</v>
      </c>
      <c r="G152" t="s">
        <v>159</v>
      </c>
      <c r="H152" t="s">
        <v>111</v>
      </c>
      <c r="I152" t="s">
        <v>341</v>
      </c>
      <c r="J152" t="s">
        <v>113</v>
      </c>
      <c r="K152" s="8" t="s">
        <v>113</v>
      </c>
      <c r="L152" t="s">
        <v>161</v>
      </c>
      <c r="M152" s="6">
        <v>459</v>
      </c>
      <c r="N152" t="s">
        <v>114</v>
      </c>
      <c r="O152" s="6">
        <v>220</v>
      </c>
      <c r="P152" t="s">
        <v>1111</v>
      </c>
      <c r="Q152" s="6">
        <v>0</v>
      </c>
      <c r="R152" s="7">
        <f t="shared" si="12"/>
        <v>239</v>
      </c>
      <c r="S152" t="s">
        <v>142</v>
      </c>
      <c r="T152" t="s">
        <v>114</v>
      </c>
      <c r="U152" t="s">
        <v>142</v>
      </c>
      <c r="W152" t="s">
        <v>114</v>
      </c>
      <c r="X152" t="s">
        <v>1111</v>
      </c>
      <c r="Y152" t="s">
        <v>1111</v>
      </c>
      <c r="Z152" t="s">
        <v>1706</v>
      </c>
      <c r="AA152" t="s">
        <v>1707</v>
      </c>
      <c r="AE152" t="s">
        <v>1708</v>
      </c>
      <c r="AF152" t="s">
        <v>346</v>
      </c>
      <c r="AG152" t="s">
        <v>347</v>
      </c>
      <c r="AH152" t="s">
        <v>123</v>
      </c>
      <c r="AI152" t="s">
        <v>124</v>
      </c>
      <c r="AK152" t="s">
        <v>126</v>
      </c>
      <c r="AN152" t="s">
        <v>1699</v>
      </c>
      <c r="AO152" t="s">
        <v>1700</v>
      </c>
      <c r="AP152" t="s">
        <v>1701</v>
      </c>
      <c r="AQ152" t="s">
        <v>131</v>
      </c>
      <c r="AR152" t="s">
        <v>132</v>
      </c>
      <c r="AS152" t="s">
        <v>152</v>
      </c>
      <c r="AT152" t="s">
        <v>1702</v>
      </c>
      <c r="AV152" t="s">
        <v>1703</v>
      </c>
      <c r="AX152" t="s">
        <v>655</v>
      </c>
      <c r="AY152" t="s">
        <v>177</v>
      </c>
      <c r="AZ152" t="s">
        <v>138</v>
      </c>
      <c r="BA152" t="s">
        <v>1709</v>
      </c>
      <c r="BC152" t="s">
        <v>140</v>
      </c>
      <c r="BT152" s="7">
        <f t="shared" si="13"/>
        <v>239</v>
      </c>
      <c r="BU152" s="6">
        <f t="shared" si="14"/>
        <v>223.36448598130841</v>
      </c>
      <c r="BV152" s="6">
        <f t="shared" si="15"/>
        <v>15.635514018691588</v>
      </c>
      <c r="BW152" s="6">
        <f t="shared" si="16"/>
        <v>239</v>
      </c>
      <c r="BX152" s="6">
        <f t="shared" si="17"/>
        <v>0</v>
      </c>
    </row>
    <row r="153" spans="1:76" x14ac:dyDescent="0.35">
      <c r="A153" t="s">
        <v>1710</v>
      </c>
      <c r="B153" t="s">
        <v>107</v>
      </c>
      <c r="C153" t="s">
        <v>107</v>
      </c>
      <c r="E153" t="s">
        <v>108</v>
      </c>
      <c r="F153" t="s">
        <v>158</v>
      </c>
      <c r="G153" t="s">
        <v>159</v>
      </c>
      <c r="H153" t="s">
        <v>111</v>
      </c>
      <c r="I153" t="s">
        <v>341</v>
      </c>
      <c r="J153" t="s">
        <v>113</v>
      </c>
      <c r="K153" s="8" t="s">
        <v>114</v>
      </c>
      <c r="L153" t="s">
        <v>161</v>
      </c>
      <c r="M153" s="6">
        <v>459</v>
      </c>
      <c r="N153" t="s">
        <v>994</v>
      </c>
      <c r="O153" s="6">
        <v>220</v>
      </c>
      <c r="P153" t="s">
        <v>1151</v>
      </c>
      <c r="Q153" s="6">
        <v>0</v>
      </c>
      <c r="R153" s="7">
        <f t="shared" si="12"/>
        <v>239</v>
      </c>
      <c r="S153" t="s">
        <v>180</v>
      </c>
      <c r="T153" t="s">
        <v>114</v>
      </c>
      <c r="U153" t="s">
        <v>180</v>
      </c>
      <c r="W153" t="s">
        <v>114</v>
      </c>
      <c r="X153" t="s">
        <v>1151</v>
      </c>
      <c r="Z153" t="s">
        <v>1711</v>
      </c>
      <c r="AA153" t="s">
        <v>1712</v>
      </c>
      <c r="AB153" s="1" t="s">
        <v>1713</v>
      </c>
      <c r="AC153" t="s">
        <v>1714</v>
      </c>
      <c r="AD153" t="s">
        <v>1712</v>
      </c>
      <c r="AH153" t="s">
        <v>123</v>
      </c>
      <c r="AI153" t="s">
        <v>124</v>
      </c>
      <c r="AJ153" t="s">
        <v>1715</v>
      </c>
      <c r="AK153" t="s">
        <v>126</v>
      </c>
      <c r="AL153" t="s">
        <v>127</v>
      </c>
      <c r="AN153" t="s">
        <v>1716</v>
      </c>
      <c r="AO153" t="s">
        <v>1717</v>
      </c>
      <c r="AP153" t="s">
        <v>1718</v>
      </c>
      <c r="AQ153" t="s">
        <v>131</v>
      </c>
      <c r="AR153" t="s">
        <v>132</v>
      </c>
      <c r="AS153" t="s">
        <v>1120</v>
      </c>
      <c r="AT153" t="s">
        <v>1719</v>
      </c>
      <c r="AV153" t="s">
        <v>773</v>
      </c>
      <c r="AX153" t="s">
        <v>136</v>
      </c>
      <c r="AY153" t="s">
        <v>177</v>
      </c>
      <c r="AZ153" t="s">
        <v>138</v>
      </c>
      <c r="BA153" t="s">
        <v>1720</v>
      </c>
      <c r="BC153" t="s">
        <v>140</v>
      </c>
      <c r="BT153" s="7">
        <f t="shared" si="13"/>
        <v>239</v>
      </c>
      <c r="BU153" s="6">
        <f t="shared" si="14"/>
        <v>223.36448598130841</v>
      </c>
      <c r="BV153" s="6">
        <f t="shared" si="15"/>
        <v>15.635514018691588</v>
      </c>
      <c r="BW153" s="6">
        <f t="shared" si="16"/>
        <v>239</v>
      </c>
      <c r="BX153" s="6">
        <f t="shared" si="17"/>
        <v>0</v>
      </c>
    </row>
    <row r="154" spans="1:76" x14ac:dyDescent="0.35">
      <c r="A154" t="s">
        <v>1721</v>
      </c>
      <c r="B154" t="s">
        <v>107</v>
      </c>
      <c r="C154" t="s">
        <v>107</v>
      </c>
      <c r="E154" t="s">
        <v>108</v>
      </c>
      <c r="F154" t="s">
        <v>158</v>
      </c>
      <c r="G154" t="s">
        <v>159</v>
      </c>
      <c r="H154" t="s">
        <v>111</v>
      </c>
      <c r="I154" t="s">
        <v>341</v>
      </c>
      <c r="J154" t="s">
        <v>113</v>
      </c>
      <c r="K154" s="8" t="s">
        <v>114</v>
      </c>
      <c r="L154" t="s">
        <v>161</v>
      </c>
      <c r="M154" s="6">
        <v>459</v>
      </c>
      <c r="N154" t="s">
        <v>994</v>
      </c>
      <c r="O154" s="6">
        <v>220</v>
      </c>
      <c r="P154" t="s">
        <v>1151</v>
      </c>
      <c r="Q154" s="6">
        <v>0</v>
      </c>
      <c r="R154" s="7">
        <f t="shared" si="12"/>
        <v>239</v>
      </c>
      <c r="S154" t="s">
        <v>142</v>
      </c>
      <c r="T154" t="s">
        <v>114</v>
      </c>
      <c r="U154" t="s">
        <v>142</v>
      </c>
      <c r="W154" t="s">
        <v>114</v>
      </c>
      <c r="X154" t="s">
        <v>1151</v>
      </c>
      <c r="Z154" t="s">
        <v>1722</v>
      </c>
      <c r="AA154" t="s">
        <v>1723</v>
      </c>
      <c r="AB154" s="1" t="s">
        <v>1724</v>
      </c>
      <c r="AC154" t="s">
        <v>1725</v>
      </c>
      <c r="AD154" t="s">
        <v>1723</v>
      </c>
      <c r="AH154" t="s">
        <v>123</v>
      </c>
      <c r="AI154" t="s">
        <v>124</v>
      </c>
      <c r="AJ154" t="s">
        <v>1726</v>
      </c>
      <c r="AK154" t="s">
        <v>126</v>
      </c>
      <c r="AL154" t="s">
        <v>127</v>
      </c>
      <c r="AN154" t="s">
        <v>1727</v>
      </c>
      <c r="AO154" t="s">
        <v>1728</v>
      </c>
      <c r="AP154" t="s">
        <v>1729</v>
      </c>
      <c r="AQ154" t="s">
        <v>131</v>
      </c>
      <c r="AR154" t="s">
        <v>132</v>
      </c>
      <c r="AS154" t="s">
        <v>152</v>
      </c>
      <c r="AT154" t="s">
        <v>1730</v>
      </c>
      <c r="AV154" t="s">
        <v>773</v>
      </c>
      <c r="AX154" t="s">
        <v>136</v>
      </c>
      <c r="AY154" t="s">
        <v>177</v>
      </c>
      <c r="AZ154" t="s">
        <v>138</v>
      </c>
      <c r="BA154" t="s">
        <v>1731</v>
      </c>
      <c r="BC154" t="s">
        <v>140</v>
      </c>
      <c r="BT154" s="7">
        <f t="shared" si="13"/>
        <v>239</v>
      </c>
      <c r="BU154" s="6">
        <f t="shared" si="14"/>
        <v>223.36448598130841</v>
      </c>
      <c r="BV154" s="6">
        <f t="shared" si="15"/>
        <v>15.635514018691588</v>
      </c>
      <c r="BW154" s="6">
        <f t="shared" si="16"/>
        <v>239</v>
      </c>
      <c r="BX154" s="6">
        <f t="shared" si="17"/>
        <v>0</v>
      </c>
    </row>
    <row r="155" spans="1:76" x14ac:dyDescent="0.35">
      <c r="A155" t="s">
        <v>1732</v>
      </c>
      <c r="B155" t="s">
        <v>107</v>
      </c>
      <c r="C155" t="s">
        <v>107</v>
      </c>
      <c r="E155" t="s">
        <v>108</v>
      </c>
      <c r="F155" t="s">
        <v>158</v>
      </c>
      <c r="G155" t="s">
        <v>159</v>
      </c>
      <c r="H155" t="s">
        <v>111</v>
      </c>
      <c r="I155" t="s">
        <v>341</v>
      </c>
      <c r="J155" t="s">
        <v>113</v>
      </c>
      <c r="K155" s="8" t="s">
        <v>114</v>
      </c>
      <c r="L155" t="s">
        <v>161</v>
      </c>
      <c r="M155" s="6">
        <v>459</v>
      </c>
      <c r="N155" t="s">
        <v>997</v>
      </c>
      <c r="O155" s="6">
        <v>220</v>
      </c>
      <c r="P155" t="s">
        <v>457</v>
      </c>
      <c r="Q155" s="6">
        <v>0</v>
      </c>
      <c r="R155" s="7">
        <f t="shared" si="12"/>
        <v>239</v>
      </c>
      <c r="S155" t="s">
        <v>142</v>
      </c>
      <c r="T155" t="s">
        <v>114</v>
      </c>
      <c r="U155" t="s">
        <v>142</v>
      </c>
      <c r="W155" t="s">
        <v>114</v>
      </c>
      <c r="X155" t="s">
        <v>457</v>
      </c>
      <c r="Z155" t="s">
        <v>1733</v>
      </c>
      <c r="AA155" t="s">
        <v>1734</v>
      </c>
      <c r="AB155" s="1" t="s">
        <v>1735</v>
      </c>
      <c r="AC155" t="s">
        <v>1736</v>
      </c>
      <c r="AD155" t="s">
        <v>1737</v>
      </c>
      <c r="AH155" t="s">
        <v>123</v>
      </c>
      <c r="AI155" t="s">
        <v>124</v>
      </c>
      <c r="AJ155" t="s">
        <v>1738</v>
      </c>
      <c r="AK155" t="s">
        <v>126</v>
      </c>
      <c r="AL155" t="s">
        <v>127</v>
      </c>
      <c r="AN155" t="s">
        <v>1739</v>
      </c>
      <c r="AO155" t="s">
        <v>1740</v>
      </c>
      <c r="AP155" t="s">
        <v>1741</v>
      </c>
      <c r="AQ155" t="s">
        <v>131</v>
      </c>
      <c r="AR155" t="s">
        <v>132</v>
      </c>
      <c r="AS155" t="s">
        <v>387</v>
      </c>
      <c r="AT155" t="s">
        <v>1742</v>
      </c>
      <c r="AV155" t="s">
        <v>516</v>
      </c>
      <c r="AX155" t="s">
        <v>155</v>
      </c>
      <c r="AY155" t="s">
        <v>177</v>
      </c>
      <c r="AZ155" t="s">
        <v>138</v>
      </c>
      <c r="BA155" t="s">
        <v>1743</v>
      </c>
      <c r="BC155" t="s">
        <v>140</v>
      </c>
      <c r="BT155" s="7">
        <f t="shared" si="13"/>
        <v>239</v>
      </c>
      <c r="BU155" s="6">
        <f t="shared" si="14"/>
        <v>223.36448598130841</v>
      </c>
      <c r="BV155" s="6">
        <f t="shared" si="15"/>
        <v>15.635514018691588</v>
      </c>
      <c r="BW155" s="6">
        <f t="shared" si="16"/>
        <v>239</v>
      </c>
      <c r="BX155" s="6">
        <f t="shared" si="17"/>
        <v>0</v>
      </c>
    </row>
    <row r="156" spans="1:76" x14ac:dyDescent="0.35">
      <c r="A156" t="s">
        <v>1744</v>
      </c>
      <c r="B156" t="s">
        <v>107</v>
      </c>
      <c r="C156" t="s">
        <v>107</v>
      </c>
      <c r="E156" t="s">
        <v>108</v>
      </c>
      <c r="F156" t="s">
        <v>158</v>
      </c>
      <c r="G156" t="s">
        <v>159</v>
      </c>
      <c r="H156" t="s">
        <v>111</v>
      </c>
      <c r="I156" t="s">
        <v>341</v>
      </c>
      <c r="J156" t="s">
        <v>113</v>
      </c>
      <c r="K156" s="8" t="s">
        <v>114</v>
      </c>
      <c r="L156" t="s">
        <v>161</v>
      </c>
      <c r="M156" s="6">
        <v>459</v>
      </c>
      <c r="N156" t="s">
        <v>994</v>
      </c>
      <c r="O156" s="6">
        <v>220</v>
      </c>
      <c r="P156" t="s">
        <v>1151</v>
      </c>
      <c r="Q156" s="6">
        <v>0</v>
      </c>
      <c r="R156" s="7">
        <f t="shared" si="12"/>
        <v>239</v>
      </c>
      <c r="S156" t="s">
        <v>180</v>
      </c>
      <c r="T156" t="s">
        <v>114</v>
      </c>
      <c r="U156" t="s">
        <v>180</v>
      </c>
      <c r="W156" t="s">
        <v>114</v>
      </c>
      <c r="X156" t="s">
        <v>1151</v>
      </c>
      <c r="Z156" t="s">
        <v>1745</v>
      </c>
      <c r="AA156" t="s">
        <v>1746</v>
      </c>
      <c r="AB156" s="1" t="s">
        <v>1747</v>
      </c>
      <c r="AC156" t="s">
        <v>1748</v>
      </c>
      <c r="AD156" t="s">
        <v>1749</v>
      </c>
      <c r="AH156" t="s">
        <v>123</v>
      </c>
      <c r="AI156" t="s">
        <v>124</v>
      </c>
      <c r="AJ156" t="s">
        <v>1750</v>
      </c>
      <c r="AK156" t="s">
        <v>126</v>
      </c>
      <c r="AL156" t="s">
        <v>127</v>
      </c>
      <c r="AN156" t="s">
        <v>1751</v>
      </c>
      <c r="AO156" t="s">
        <v>1752</v>
      </c>
      <c r="AP156" t="s">
        <v>1753</v>
      </c>
      <c r="AQ156" t="s">
        <v>131</v>
      </c>
      <c r="AR156" t="s">
        <v>132</v>
      </c>
      <c r="AS156" t="s">
        <v>1754</v>
      </c>
      <c r="AT156" t="s">
        <v>1755</v>
      </c>
      <c r="AV156" t="s">
        <v>434</v>
      </c>
      <c r="AX156" t="s">
        <v>317</v>
      </c>
      <c r="AY156" t="s">
        <v>177</v>
      </c>
      <c r="AZ156" t="s">
        <v>138</v>
      </c>
      <c r="BA156" t="s">
        <v>1756</v>
      </c>
      <c r="BC156" t="s">
        <v>140</v>
      </c>
      <c r="BT156" s="7">
        <f t="shared" si="13"/>
        <v>239</v>
      </c>
      <c r="BU156" s="6">
        <f t="shared" si="14"/>
        <v>223.36448598130841</v>
      </c>
      <c r="BV156" s="6">
        <f t="shared" si="15"/>
        <v>15.635514018691588</v>
      </c>
      <c r="BW156" s="6">
        <f t="shared" si="16"/>
        <v>239</v>
      </c>
      <c r="BX156" s="6">
        <f t="shared" si="17"/>
        <v>0</v>
      </c>
    </row>
    <row r="157" spans="1:76" x14ac:dyDescent="0.35">
      <c r="A157" t="s">
        <v>1757</v>
      </c>
      <c r="B157" t="s">
        <v>107</v>
      </c>
      <c r="C157" t="s">
        <v>107</v>
      </c>
      <c r="E157" t="s">
        <v>108</v>
      </c>
      <c r="F157" t="s">
        <v>158</v>
      </c>
      <c r="G157" t="s">
        <v>159</v>
      </c>
      <c r="H157" t="s">
        <v>111</v>
      </c>
      <c r="I157" t="s">
        <v>341</v>
      </c>
      <c r="J157" t="s">
        <v>113</v>
      </c>
      <c r="K157" s="8" t="s">
        <v>114</v>
      </c>
      <c r="L157" t="s">
        <v>161</v>
      </c>
      <c r="M157" s="6">
        <v>459</v>
      </c>
      <c r="N157" t="s">
        <v>994</v>
      </c>
      <c r="O157" s="6">
        <v>220</v>
      </c>
      <c r="P157" t="s">
        <v>1151</v>
      </c>
      <c r="Q157" s="6">
        <v>0</v>
      </c>
      <c r="R157" s="7">
        <f t="shared" si="12"/>
        <v>239</v>
      </c>
      <c r="S157" t="s">
        <v>194</v>
      </c>
      <c r="T157" t="s">
        <v>114</v>
      </c>
      <c r="U157" t="s">
        <v>194</v>
      </c>
      <c r="W157" t="s">
        <v>114</v>
      </c>
      <c r="X157" t="s">
        <v>1151</v>
      </c>
      <c r="Z157" t="s">
        <v>1758</v>
      </c>
      <c r="AA157" t="s">
        <v>1759</v>
      </c>
      <c r="AB157" s="1" t="s">
        <v>1760</v>
      </c>
      <c r="AC157" t="s">
        <v>1761</v>
      </c>
      <c r="AD157" t="s">
        <v>1759</v>
      </c>
      <c r="AH157" t="s">
        <v>123</v>
      </c>
      <c r="AI157" t="s">
        <v>124</v>
      </c>
      <c r="AJ157" t="s">
        <v>1762</v>
      </c>
      <c r="AK157" t="s">
        <v>126</v>
      </c>
      <c r="AL157" t="s">
        <v>127</v>
      </c>
      <c r="AN157" t="s">
        <v>1763</v>
      </c>
      <c r="AO157" t="s">
        <v>1764</v>
      </c>
      <c r="AP157" t="s">
        <v>1765</v>
      </c>
      <c r="AQ157" t="s">
        <v>131</v>
      </c>
      <c r="AR157" t="s">
        <v>132</v>
      </c>
      <c r="AS157" t="s">
        <v>352</v>
      </c>
      <c r="AT157" t="s">
        <v>353</v>
      </c>
      <c r="AV157" t="s">
        <v>1766</v>
      </c>
      <c r="AX157" t="s">
        <v>136</v>
      </c>
      <c r="AY157" t="s">
        <v>177</v>
      </c>
      <c r="AZ157" t="s">
        <v>138</v>
      </c>
      <c r="BA157" t="s">
        <v>1767</v>
      </c>
      <c r="BC157" t="s">
        <v>140</v>
      </c>
      <c r="BT157" s="7">
        <f t="shared" si="13"/>
        <v>239</v>
      </c>
      <c r="BU157" s="6">
        <f t="shared" si="14"/>
        <v>223.36448598130841</v>
      </c>
      <c r="BV157" s="6">
        <f t="shared" si="15"/>
        <v>15.635514018691588</v>
      </c>
      <c r="BW157" s="6">
        <f t="shared" si="16"/>
        <v>239</v>
      </c>
      <c r="BX157" s="6">
        <f t="shared" si="17"/>
        <v>0</v>
      </c>
    </row>
    <row r="158" spans="1:76" x14ac:dyDescent="0.35">
      <c r="A158" t="s">
        <v>1768</v>
      </c>
      <c r="B158" t="s">
        <v>107</v>
      </c>
      <c r="C158" t="s">
        <v>107</v>
      </c>
      <c r="E158" t="s">
        <v>108</v>
      </c>
      <c r="F158" t="s">
        <v>158</v>
      </c>
      <c r="G158" t="s">
        <v>159</v>
      </c>
      <c r="H158" t="s">
        <v>111</v>
      </c>
      <c r="I158" t="s">
        <v>341</v>
      </c>
      <c r="J158" t="s">
        <v>113</v>
      </c>
      <c r="K158" s="8" t="s">
        <v>114</v>
      </c>
      <c r="L158" t="s">
        <v>161</v>
      </c>
      <c r="M158" s="6">
        <v>459</v>
      </c>
      <c r="N158" t="s">
        <v>994</v>
      </c>
      <c r="O158" s="6">
        <v>220</v>
      </c>
      <c r="P158" t="s">
        <v>1151</v>
      </c>
      <c r="Q158" s="6">
        <v>0</v>
      </c>
      <c r="R158" s="7">
        <f t="shared" si="12"/>
        <v>239</v>
      </c>
      <c r="S158" t="s">
        <v>180</v>
      </c>
      <c r="T158" t="s">
        <v>114</v>
      </c>
      <c r="U158" t="s">
        <v>180</v>
      </c>
      <c r="W158" t="s">
        <v>114</v>
      </c>
      <c r="X158" t="s">
        <v>1151</v>
      </c>
      <c r="Z158" t="s">
        <v>1769</v>
      </c>
      <c r="AA158" t="s">
        <v>1770</v>
      </c>
      <c r="AB158" s="1" t="s">
        <v>1771</v>
      </c>
      <c r="AC158" t="s">
        <v>1772</v>
      </c>
      <c r="AD158" t="s">
        <v>1770</v>
      </c>
      <c r="AH158" t="s">
        <v>123</v>
      </c>
      <c r="AI158" t="s">
        <v>124</v>
      </c>
      <c r="AJ158" t="s">
        <v>1773</v>
      </c>
      <c r="AK158" t="s">
        <v>126</v>
      </c>
      <c r="AL158" t="s">
        <v>127</v>
      </c>
      <c r="AN158" t="s">
        <v>1774</v>
      </c>
      <c r="AO158" t="s">
        <v>1775</v>
      </c>
      <c r="AP158" t="s">
        <v>1776</v>
      </c>
      <c r="AQ158" t="s">
        <v>131</v>
      </c>
      <c r="AR158" t="s">
        <v>132</v>
      </c>
      <c r="AS158" t="s">
        <v>1777</v>
      </c>
      <c r="AT158" t="s">
        <v>1778</v>
      </c>
      <c r="AV158" t="s">
        <v>191</v>
      </c>
      <c r="AW158" t="s">
        <v>237</v>
      </c>
      <c r="AX158" t="s">
        <v>136</v>
      </c>
      <c r="AY158" t="s">
        <v>177</v>
      </c>
      <c r="AZ158" t="s">
        <v>138</v>
      </c>
      <c r="BA158" t="s">
        <v>1779</v>
      </c>
      <c r="BC158" t="s">
        <v>140</v>
      </c>
      <c r="BT158" s="7">
        <f t="shared" si="13"/>
        <v>239</v>
      </c>
      <c r="BU158" s="6">
        <f t="shared" si="14"/>
        <v>223.36448598130841</v>
      </c>
      <c r="BV158" s="6">
        <f t="shared" si="15"/>
        <v>15.635514018691588</v>
      </c>
      <c r="BW158" s="6">
        <f t="shared" si="16"/>
        <v>239</v>
      </c>
      <c r="BX158" s="6">
        <f t="shared" si="17"/>
        <v>0</v>
      </c>
    </row>
    <row r="159" spans="1:76" x14ac:dyDescent="0.35">
      <c r="A159" t="s">
        <v>1780</v>
      </c>
      <c r="B159" t="s">
        <v>107</v>
      </c>
      <c r="C159" t="s">
        <v>107</v>
      </c>
      <c r="F159" t="s">
        <v>613</v>
      </c>
      <c r="G159" t="s">
        <v>614</v>
      </c>
      <c r="H159" t="s">
        <v>615</v>
      </c>
      <c r="I159" t="s">
        <v>271</v>
      </c>
      <c r="J159" t="s">
        <v>113</v>
      </c>
      <c r="K159" s="8" t="s">
        <v>114</v>
      </c>
      <c r="L159" t="s">
        <v>114</v>
      </c>
      <c r="M159" s="6">
        <v>0</v>
      </c>
      <c r="N159" t="s">
        <v>114</v>
      </c>
      <c r="O159" s="6">
        <v>0</v>
      </c>
      <c r="P159" t="s">
        <v>114</v>
      </c>
      <c r="Q159" s="6">
        <v>0</v>
      </c>
      <c r="R159" s="7">
        <f t="shared" si="12"/>
        <v>0</v>
      </c>
      <c r="S159" t="s">
        <v>114</v>
      </c>
      <c r="T159" t="s">
        <v>114</v>
      </c>
      <c r="U159" t="s">
        <v>114</v>
      </c>
      <c r="W159" t="s">
        <v>114</v>
      </c>
      <c r="X159" t="s">
        <v>114</v>
      </c>
      <c r="Z159" t="s">
        <v>1781</v>
      </c>
      <c r="AA159" t="s">
        <v>1781</v>
      </c>
      <c r="AB159" s="1" t="s">
        <v>1782</v>
      </c>
      <c r="AC159" t="s">
        <v>1783</v>
      </c>
      <c r="AD159" t="s">
        <v>1784</v>
      </c>
      <c r="AH159" t="s">
        <v>123</v>
      </c>
      <c r="AI159" t="s">
        <v>124</v>
      </c>
      <c r="AJ159" t="s">
        <v>1785</v>
      </c>
      <c r="AK159" t="s">
        <v>126</v>
      </c>
      <c r="AL159" t="s">
        <v>127</v>
      </c>
      <c r="AN159" t="s">
        <v>1786</v>
      </c>
      <c r="AO159" t="s">
        <v>1787</v>
      </c>
      <c r="AP159" t="s">
        <v>1788</v>
      </c>
      <c r="AQ159" t="s">
        <v>131</v>
      </c>
      <c r="AR159" t="s">
        <v>403</v>
      </c>
      <c r="AS159" t="s">
        <v>1789</v>
      </c>
      <c r="AT159" t="s">
        <v>559</v>
      </c>
      <c r="AV159" t="s">
        <v>516</v>
      </c>
      <c r="AW159" t="s">
        <v>135</v>
      </c>
      <c r="AY159" t="s">
        <v>177</v>
      </c>
      <c r="AZ159" t="s">
        <v>627</v>
      </c>
      <c r="BA159" t="s">
        <v>1790</v>
      </c>
      <c r="BC159" t="s">
        <v>140</v>
      </c>
      <c r="BT159" s="7">
        <f t="shared" si="13"/>
        <v>0</v>
      </c>
      <c r="BU159" s="6">
        <f t="shared" si="14"/>
        <v>0</v>
      </c>
      <c r="BV159" s="6">
        <f t="shared" si="15"/>
        <v>0</v>
      </c>
      <c r="BW159" s="6">
        <f t="shared" si="16"/>
        <v>0</v>
      </c>
      <c r="BX159" s="6">
        <f t="shared" si="17"/>
        <v>0</v>
      </c>
    </row>
    <row r="160" spans="1:76" x14ac:dyDescent="0.35">
      <c r="A160" t="s">
        <v>1791</v>
      </c>
      <c r="B160" t="s">
        <v>107</v>
      </c>
      <c r="C160" t="s">
        <v>107</v>
      </c>
      <c r="E160" t="s">
        <v>108</v>
      </c>
      <c r="F160" t="s">
        <v>158</v>
      </c>
      <c r="G160" t="s">
        <v>159</v>
      </c>
      <c r="H160" t="s">
        <v>111</v>
      </c>
      <c r="I160" t="s">
        <v>341</v>
      </c>
      <c r="J160" t="s">
        <v>113</v>
      </c>
      <c r="K160" s="8" t="s">
        <v>114</v>
      </c>
      <c r="L160" t="s">
        <v>161</v>
      </c>
      <c r="M160" s="6">
        <v>459</v>
      </c>
      <c r="N160" t="s">
        <v>994</v>
      </c>
      <c r="O160" s="6">
        <v>220</v>
      </c>
      <c r="P160" t="s">
        <v>1151</v>
      </c>
      <c r="Q160" s="6">
        <v>0</v>
      </c>
      <c r="R160" s="7">
        <f t="shared" si="12"/>
        <v>239</v>
      </c>
      <c r="S160" t="s">
        <v>180</v>
      </c>
      <c r="T160" t="s">
        <v>114</v>
      </c>
      <c r="U160" t="s">
        <v>180</v>
      </c>
      <c r="W160" t="s">
        <v>114</v>
      </c>
      <c r="X160" t="s">
        <v>1151</v>
      </c>
      <c r="Z160" t="s">
        <v>1792</v>
      </c>
      <c r="AA160" t="s">
        <v>1793</v>
      </c>
      <c r="AB160" s="1" t="s">
        <v>1794</v>
      </c>
      <c r="AC160" t="s">
        <v>1795</v>
      </c>
      <c r="AD160" t="s">
        <v>1793</v>
      </c>
      <c r="AH160" t="s">
        <v>123</v>
      </c>
      <c r="AI160" t="s">
        <v>124</v>
      </c>
      <c r="AJ160" t="s">
        <v>1796</v>
      </c>
      <c r="AK160" t="s">
        <v>126</v>
      </c>
      <c r="AL160" t="s">
        <v>127</v>
      </c>
      <c r="AN160" t="s">
        <v>1797</v>
      </c>
      <c r="AO160" t="s">
        <v>1616</v>
      </c>
      <c r="AP160" t="s">
        <v>1798</v>
      </c>
      <c r="AQ160" t="s">
        <v>131</v>
      </c>
      <c r="AR160" t="s">
        <v>132</v>
      </c>
      <c r="AS160" t="s">
        <v>1799</v>
      </c>
      <c r="AT160" t="s">
        <v>1800</v>
      </c>
      <c r="AV160" t="s">
        <v>690</v>
      </c>
      <c r="AX160" t="s">
        <v>136</v>
      </c>
      <c r="AY160" t="s">
        <v>177</v>
      </c>
      <c r="AZ160" t="s">
        <v>138</v>
      </c>
      <c r="BA160" t="s">
        <v>1801</v>
      </c>
      <c r="BC160" t="s">
        <v>140</v>
      </c>
      <c r="BT160" s="7">
        <f t="shared" si="13"/>
        <v>239</v>
      </c>
      <c r="BU160" s="6">
        <f t="shared" si="14"/>
        <v>223.36448598130841</v>
      </c>
      <c r="BV160" s="6">
        <f t="shared" si="15"/>
        <v>15.635514018691588</v>
      </c>
      <c r="BW160" s="6">
        <f t="shared" si="16"/>
        <v>239</v>
      </c>
      <c r="BX160" s="6">
        <f t="shared" si="17"/>
        <v>0</v>
      </c>
    </row>
    <row r="161" spans="1:76" x14ac:dyDescent="0.35">
      <c r="A161" t="s">
        <v>1802</v>
      </c>
      <c r="B161" t="s">
        <v>107</v>
      </c>
      <c r="C161" t="s">
        <v>107</v>
      </c>
      <c r="E161" t="s">
        <v>108</v>
      </c>
      <c r="F161" t="s">
        <v>158</v>
      </c>
      <c r="G161" t="s">
        <v>159</v>
      </c>
      <c r="H161" t="s">
        <v>111</v>
      </c>
      <c r="I161" t="s">
        <v>341</v>
      </c>
      <c r="J161" t="s">
        <v>113</v>
      </c>
      <c r="K161" s="8" t="s">
        <v>114</v>
      </c>
      <c r="L161" t="s">
        <v>161</v>
      </c>
      <c r="M161" s="6">
        <v>459</v>
      </c>
      <c r="N161" t="s">
        <v>994</v>
      </c>
      <c r="O161" s="6">
        <v>220</v>
      </c>
      <c r="P161" t="s">
        <v>1151</v>
      </c>
      <c r="Q161" s="6">
        <v>0</v>
      </c>
      <c r="R161" s="7">
        <f t="shared" si="12"/>
        <v>239</v>
      </c>
      <c r="S161" t="s">
        <v>180</v>
      </c>
      <c r="T161" t="s">
        <v>114</v>
      </c>
      <c r="U161" t="s">
        <v>180</v>
      </c>
      <c r="W161" t="s">
        <v>114</v>
      </c>
      <c r="X161" t="s">
        <v>1151</v>
      </c>
      <c r="Z161" t="s">
        <v>1803</v>
      </c>
      <c r="AA161" t="s">
        <v>1804</v>
      </c>
      <c r="AB161" s="1" t="s">
        <v>1805</v>
      </c>
      <c r="AC161" t="s">
        <v>1806</v>
      </c>
      <c r="AD161" t="s">
        <v>1804</v>
      </c>
      <c r="AH161" t="s">
        <v>123</v>
      </c>
      <c r="AI161" t="s">
        <v>124</v>
      </c>
      <c r="AJ161" t="s">
        <v>1807</v>
      </c>
      <c r="AK161" t="s">
        <v>126</v>
      </c>
      <c r="AL161" t="s">
        <v>127</v>
      </c>
      <c r="AN161" t="s">
        <v>1808</v>
      </c>
      <c r="AO161" t="s">
        <v>1809</v>
      </c>
      <c r="AP161" t="s">
        <v>1810</v>
      </c>
      <c r="AQ161" t="s">
        <v>131</v>
      </c>
      <c r="AR161" t="s">
        <v>132</v>
      </c>
      <c r="AS161" t="s">
        <v>880</v>
      </c>
      <c r="AT161" t="s">
        <v>1811</v>
      </c>
      <c r="AV161" t="s">
        <v>1183</v>
      </c>
      <c r="AX161" t="s">
        <v>136</v>
      </c>
      <c r="AY161" t="s">
        <v>177</v>
      </c>
      <c r="AZ161" t="s">
        <v>138</v>
      </c>
      <c r="BA161" t="s">
        <v>1812</v>
      </c>
      <c r="BC161" t="s">
        <v>140</v>
      </c>
      <c r="BT161" s="7">
        <f t="shared" si="13"/>
        <v>239</v>
      </c>
      <c r="BU161" s="6">
        <f t="shared" si="14"/>
        <v>223.36448598130841</v>
      </c>
      <c r="BV161" s="6">
        <f t="shared" si="15"/>
        <v>15.635514018691588</v>
      </c>
      <c r="BW161" s="6">
        <f t="shared" si="16"/>
        <v>239</v>
      </c>
      <c r="BX161" s="6">
        <f t="shared" si="17"/>
        <v>0</v>
      </c>
    </row>
    <row r="162" spans="1:76" x14ac:dyDescent="0.35">
      <c r="A162" t="s">
        <v>1813</v>
      </c>
      <c r="B162" t="s">
        <v>336</v>
      </c>
      <c r="C162" t="s">
        <v>336</v>
      </c>
      <c r="D162" t="s">
        <v>337</v>
      </c>
      <c r="E162" t="s">
        <v>108</v>
      </c>
      <c r="F162" t="s">
        <v>158</v>
      </c>
      <c r="G162" t="s">
        <v>159</v>
      </c>
      <c r="H162" t="s">
        <v>111</v>
      </c>
      <c r="I162" t="s">
        <v>341</v>
      </c>
      <c r="J162" t="s">
        <v>113</v>
      </c>
      <c r="K162" s="8" t="s">
        <v>113</v>
      </c>
      <c r="L162" t="s">
        <v>161</v>
      </c>
      <c r="M162" s="6">
        <v>459</v>
      </c>
      <c r="N162" t="s">
        <v>994</v>
      </c>
      <c r="O162" s="6">
        <v>220</v>
      </c>
      <c r="P162" t="s">
        <v>1151</v>
      </c>
      <c r="Q162" s="6">
        <v>0</v>
      </c>
      <c r="R162" s="7">
        <f t="shared" si="12"/>
        <v>239</v>
      </c>
      <c r="S162" t="s">
        <v>180</v>
      </c>
      <c r="T162" t="s">
        <v>114</v>
      </c>
      <c r="U162" t="s">
        <v>180</v>
      </c>
      <c r="W162" t="s">
        <v>114</v>
      </c>
      <c r="X162" t="s">
        <v>1151</v>
      </c>
      <c r="Y162" t="s">
        <v>1151</v>
      </c>
      <c r="Z162" t="s">
        <v>1814</v>
      </c>
      <c r="AE162" t="s">
        <v>1815</v>
      </c>
      <c r="AF162" t="s">
        <v>346</v>
      </c>
      <c r="AG162" t="s">
        <v>347</v>
      </c>
      <c r="AH162" t="s">
        <v>123</v>
      </c>
      <c r="AI162" t="s">
        <v>124</v>
      </c>
      <c r="AK162" t="s">
        <v>126</v>
      </c>
      <c r="AN162" t="s">
        <v>1816</v>
      </c>
      <c r="AO162" t="s">
        <v>1817</v>
      </c>
      <c r="AP162" t="s">
        <v>1818</v>
      </c>
      <c r="AQ162" t="s">
        <v>131</v>
      </c>
      <c r="AR162" t="s">
        <v>403</v>
      </c>
      <c r="AS162" t="s">
        <v>1819</v>
      </c>
      <c r="AT162" t="s">
        <v>1820</v>
      </c>
      <c r="AV162" t="s">
        <v>1821</v>
      </c>
      <c r="AW162" t="s">
        <v>1821</v>
      </c>
      <c r="AX162" t="s">
        <v>136</v>
      </c>
      <c r="AY162" t="s">
        <v>177</v>
      </c>
      <c r="AZ162" t="s">
        <v>138</v>
      </c>
      <c r="BA162" t="s">
        <v>1822</v>
      </c>
      <c r="BC162" t="s">
        <v>140</v>
      </c>
      <c r="BT162" s="7">
        <f t="shared" si="13"/>
        <v>239</v>
      </c>
      <c r="BU162" s="6">
        <f t="shared" si="14"/>
        <v>223.36448598130841</v>
      </c>
      <c r="BV162" s="6">
        <f t="shared" si="15"/>
        <v>15.635514018691588</v>
      </c>
      <c r="BW162" s="6">
        <f t="shared" si="16"/>
        <v>239</v>
      </c>
      <c r="BX162" s="6">
        <f t="shared" si="17"/>
        <v>0</v>
      </c>
    </row>
    <row r="163" spans="1:76" x14ac:dyDescent="0.35">
      <c r="A163" t="s">
        <v>1823</v>
      </c>
      <c r="B163" t="s">
        <v>107</v>
      </c>
      <c r="C163" t="s">
        <v>107</v>
      </c>
      <c r="F163" t="s">
        <v>158</v>
      </c>
      <c r="G163" t="s">
        <v>159</v>
      </c>
      <c r="H163" t="s">
        <v>111</v>
      </c>
      <c r="I163" t="s">
        <v>341</v>
      </c>
      <c r="J163" t="s">
        <v>113</v>
      </c>
      <c r="K163" s="8" t="s">
        <v>114</v>
      </c>
      <c r="L163" t="s">
        <v>114</v>
      </c>
      <c r="M163" s="6">
        <v>0</v>
      </c>
      <c r="N163" t="s">
        <v>114</v>
      </c>
      <c r="O163" s="6">
        <v>0</v>
      </c>
      <c r="P163" t="s">
        <v>114</v>
      </c>
      <c r="Q163" s="6">
        <v>0</v>
      </c>
      <c r="R163" s="7">
        <f t="shared" si="12"/>
        <v>0</v>
      </c>
      <c r="S163" t="s">
        <v>114</v>
      </c>
      <c r="T163" t="s">
        <v>114</v>
      </c>
      <c r="U163" t="s">
        <v>114</v>
      </c>
      <c r="W163" t="s">
        <v>114</v>
      </c>
      <c r="X163" t="s">
        <v>114</v>
      </c>
      <c r="Z163" t="s">
        <v>1824</v>
      </c>
      <c r="AA163" t="s">
        <v>1824</v>
      </c>
      <c r="AB163" s="1" t="s">
        <v>1825</v>
      </c>
      <c r="AC163" t="s">
        <v>1826</v>
      </c>
      <c r="AD163" t="s">
        <v>1827</v>
      </c>
      <c r="AH163" t="s">
        <v>123</v>
      </c>
      <c r="AI163" t="s">
        <v>124</v>
      </c>
      <c r="AJ163" t="s">
        <v>1828</v>
      </c>
      <c r="AK163" t="s">
        <v>126</v>
      </c>
      <c r="AL163" t="s">
        <v>127</v>
      </c>
      <c r="AN163" t="s">
        <v>1829</v>
      </c>
      <c r="AO163" t="s">
        <v>1830</v>
      </c>
      <c r="AP163" t="s">
        <v>1831</v>
      </c>
      <c r="AQ163" t="s">
        <v>131</v>
      </c>
      <c r="AR163" t="s">
        <v>132</v>
      </c>
      <c r="AS163" t="s">
        <v>756</v>
      </c>
      <c r="AT163" t="s">
        <v>1832</v>
      </c>
      <c r="AV163" t="s">
        <v>375</v>
      </c>
      <c r="AW163" t="s">
        <v>1195</v>
      </c>
      <c r="AY163" t="s">
        <v>177</v>
      </c>
      <c r="AZ163" t="s">
        <v>138</v>
      </c>
      <c r="BA163" t="s">
        <v>1833</v>
      </c>
      <c r="BC163" t="s">
        <v>140</v>
      </c>
      <c r="BT163" s="7">
        <f t="shared" si="13"/>
        <v>0</v>
      </c>
      <c r="BU163" s="6">
        <f t="shared" si="14"/>
        <v>0</v>
      </c>
      <c r="BV163" s="6">
        <f t="shared" si="15"/>
        <v>0</v>
      </c>
      <c r="BW163" s="6">
        <f t="shared" si="16"/>
        <v>0</v>
      </c>
      <c r="BX163" s="6">
        <f t="shared" si="17"/>
        <v>0</v>
      </c>
    </row>
    <row r="164" spans="1:76" x14ac:dyDescent="0.35">
      <c r="A164" t="s">
        <v>1823</v>
      </c>
      <c r="B164" t="s">
        <v>107</v>
      </c>
      <c r="C164" t="s">
        <v>107</v>
      </c>
      <c r="F164" t="s">
        <v>358</v>
      </c>
      <c r="G164" t="s">
        <v>359</v>
      </c>
      <c r="H164" t="s">
        <v>360</v>
      </c>
      <c r="I164" t="s">
        <v>341</v>
      </c>
      <c r="J164" t="s">
        <v>113</v>
      </c>
      <c r="K164" s="8" t="s">
        <v>114</v>
      </c>
      <c r="L164" t="s">
        <v>114</v>
      </c>
      <c r="M164" s="6">
        <v>0</v>
      </c>
      <c r="N164" t="s">
        <v>114</v>
      </c>
      <c r="O164" s="6">
        <v>0</v>
      </c>
      <c r="P164" t="s">
        <v>114</v>
      </c>
      <c r="Q164" s="6">
        <v>0</v>
      </c>
      <c r="R164" s="7">
        <f t="shared" si="12"/>
        <v>0</v>
      </c>
      <c r="S164" t="s">
        <v>114</v>
      </c>
      <c r="T164" t="s">
        <v>114</v>
      </c>
      <c r="U164" t="s">
        <v>114</v>
      </c>
      <c r="W164" t="s">
        <v>114</v>
      </c>
      <c r="X164" t="s">
        <v>114</v>
      </c>
      <c r="Z164" t="s">
        <v>1824</v>
      </c>
      <c r="AA164" t="s">
        <v>1824</v>
      </c>
      <c r="AB164" s="1" t="s">
        <v>1825</v>
      </c>
      <c r="AC164" t="s">
        <v>1826</v>
      </c>
      <c r="AD164" t="s">
        <v>1827</v>
      </c>
      <c r="AH164" t="s">
        <v>123</v>
      </c>
      <c r="AI164" t="s">
        <v>124</v>
      </c>
      <c r="AJ164" t="s">
        <v>1828</v>
      </c>
      <c r="AK164" t="s">
        <v>126</v>
      </c>
      <c r="AL164" t="s">
        <v>127</v>
      </c>
      <c r="AN164" t="s">
        <v>1829</v>
      </c>
      <c r="AO164" t="s">
        <v>1830</v>
      </c>
      <c r="AP164" t="s">
        <v>1831</v>
      </c>
      <c r="AQ164" t="s">
        <v>131</v>
      </c>
      <c r="AR164" t="s">
        <v>132</v>
      </c>
      <c r="AS164" t="s">
        <v>756</v>
      </c>
      <c r="AT164" t="s">
        <v>1832</v>
      </c>
      <c r="AV164" t="s">
        <v>375</v>
      </c>
      <c r="AW164" t="s">
        <v>1195</v>
      </c>
      <c r="AY164" t="s">
        <v>177</v>
      </c>
      <c r="AZ164" t="s">
        <v>364</v>
      </c>
      <c r="BA164" t="s">
        <v>1833</v>
      </c>
      <c r="BC164" t="s">
        <v>140</v>
      </c>
      <c r="BT164" s="7">
        <f t="shared" si="13"/>
        <v>0</v>
      </c>
      <c r="BU164" s="6">
        <f t="shared" si="14"/>
        <v>0</v>
      </c>
      <c r="BV164" s="6">
        <f t="shared" si="15"/>
        <v>0</v>
      </c>
      <c r="BW164" s="6">
        <f t="shared" si="16"/>
        <v>0</v>
      </c>
      <c r="BX164" s="6">
        <f t="shared" si="17"/>
        <v>0</v>
      </c>
    </row>
    <row r="165" spans="1:76" x14ac:dyDescent="0.35">
      <c r="A165" t="s">
        <v>1834</v>
      </c>
      <c r="B165" t="s">
        <v>107</v>
      </c>
      <c r="C165" t="s">
        <v>107</v>
      </c>
      <c r="E165" t="s">
        <v>108</v>
      </c>
      <c r="F165" t="s">
        <v>158</v>
      </c>
      <c r="G165" t="s">
        <v>159</v>
      </c>
      <c r="H165" t="s">
        <v>111</v>
      </c>
      <c r="I165" t="s">
        <v>341</v>
      </c>
      <c r="J165" t="s">
        <v>113</v>
      </c>
      <c r="K165" s="8" t="s">
        <v>114</v>
      </c>
      <c r="L165" t="s">
        <v>161</v>
      </c>
      <c r="M165" s="6">
        <v>459</v>
      </c>
      <c r="N165" t="s">
        <v>162</v>
      </c>
      <c r="O165" s="6">
        <v>220</v>
      </c>
      <c r="P165" t="s">
        <v>1206</v>
      </c>
      <c r="Q165" s="6">
        <v>0</v>
      </c>
      <c r="R165" s="7">
        <f t="shared" si="12"/>
        <v>239</v>
      </c>
      <c r="S165" t="s">
        <v>180</v>
      </c>
      <c r="T165" t="s">
        <v>114</v>
      </c>
      <c r="U165" t="s">
        <v>180</v>
      </c>
      <c r="W165" t="s">
        <v>114</v>
      </c>
      <c r="X165" t="s">
        <v>1206</v>
      </c>
      <c r="Z165" t="s">
        <v>1835</v>
      </c>
      <c r="AA165" t="s">
        <v>1836</v>
      </c>
      <c r="AB165" s="1" t="s">
        <v>1837</v>
      </c>
      <c r="AC165" t="s">
        <v>1838</v>
      </c>
      <c r="AD165" t="s">
        <v>1836</v>
      </c>
      <c r="AH165" t="s">
        <v>123</v>
      </c>
      <c r="AI165" t="s">
        <v>124</v>
      </c>
      <c r="AJ165" t="s">
        <v>1839</v>
      </c>
      <c r="AK165" t="s">
        <v>126</v>
      </c>
      <c r="AL165" t="s">
        <v>127</v>
      </c>
      <c r="AN165" t="s">
        <v>1840</v>
      </c>
      <c r="AO165" t="s">
        <v>1841</v>
      </c>
      <c r="AP165" t="s">
        <v>1842</v>
      </c>
      <c r="AQ165" t="s">
        <v>131</v>
      </c>
      <c r="AR165" t="s">
        <v>132</v>
      </c>
      <c r="AS165" t="s">
        <v>331</v>
      </c>
      <c r="AT165" t="s">
        <v>1843</v>
      </c>
      <c r="AV165" t="s">
        <v>516</v>
      </c>
      <c r="AX165" t="s">
        <v>136</v>
      </c>
      <c r="AY165" t="s">
        <v>177</v>
      </c>
      <c r="AZ165" t="s">
        <v>138</v>
      </c>
      <c r="BA165" t="s">
        <v>1844</v>
      </c>
      <c r="BC165" t="s">
        <v>140</v>
      </c>
      <c r="BT165" s="7">
        <f t="shared" si="13"/>
        <v>239</v>
      </c>
      <c r="BU165" s="6">
        <f t="shared" si="14"/>
        <v>223.36448598130841</v>
      </c>
      <c r="BV165" s="6">
        <f t="shared" si="15"/>
        <v>15.635514018691588</v>
      </c>
      <c r="BW165" s="6">
        <f t="shared" si="16"/>
        <v>239</v>
      </c>
      <c r="BX165" s="6">
        <f t="shared" si="17"/>
        <v>0</v>
      </c>
    </row>
    <row r="166" spans="1:76" x14ac:dyDescent="0.35">
      <c r="A166" t="s">
        <v>1845</v>
      </c>
      <c r="B166" t="s">
        <v>107</v>
      </c>
      <c r="C166" t="s">
        <v>107</v>
      </c>
      <c r="E166" t="s">
        <v>108</v>
      </c>
      <c r="F166" t="s">
        <v>158</v>
      </c>
      <c r="G166" t="s">
        <v>159</v>
      </c>
      <c r="H166" t="s">
        <v>111</v>
      </c>
      <c r="I166" t="s">
        <v>341</v>
      </c>
      <c r="J166" t="s">
        <v>113</v>
      </c>
      <c r="K166" s="8" t="s">
        <v>114</v>
      </c>
      <c r="L166" t="s">
        <v>161</v>
      </c>
      <c r="M166" s="6">
        <v>459</v>
      </c>
      <c r="N166" t="s">
        <v>672</v>
      </c>
      <c r="O166" s="6">
        <v>220</v>
      </c>
      <c r="P166" t="s">
        <v>117</v>
      </c>
      <c r="Q166" s="6">
        <v>0</v>
      </c>
      <c r="R166" s="7">
        <f t="shared" si="12"/>
        <v>239</v>
      </c>
      <c r="S166" t="s">
        <v>142</v>
      </c>
      <c r="T166" t="s">
        <v>114</v>
      </c>
      <c r="U166" t="s">
        <v>142</v>
      </c>
      <c r="W166" t="s">
        <v>114</v>
      </c>
      <c r="X166" t="s">
        <v>117</v>
      </c>
      <c r="Z166" t="s">
        <v>1846</v>
      </c>
      <c r="AA166" t="s">
        <v>1847</v>
      </c>
      <c r="AB166" s="1" t="s">
        <v>1848</v>
      </c>
      <c r="AC166" t="s">
        <v>1849</v>
      </c>
      <c r="AD166" t="s">
        <v>1850</v>
      </c>
      <c r="AH166" t="s">
        <v>123</v>
      </c>
      <c r="AI166" t="s">
        <v>124</v>
      </c>
      <c r="AJ166" t="s">
        <v>1851</v>
      </c>
      <c r="AK166" t="s">
        <v>126</v>
      </c>
      <c r="AL166" t="s">
        <v>127</v>
      </c>
      <c r="AN166" t="s">
        <v>230</v>
      </c>
      <c r="AO166" t="s">
        <v>231</v>
      </c>
      <c r="AP166" t="s">
        <v>232</v>
      </c>
      <c r="AQ166" t="s">
        <v>131</v>
      </c>
      <c r="AR166" t="s">
        <v>233</v>
      </c>
      <c r="AS166" t="s">
        <v>234</v>
      </c>
      <c r="AT166" t="s">
        <v>235</v>
      </c>
      <c r="AV166" t="s">
        <v>236</v>
      </c>
      <c r="AW166" t="s">
        <v>237</v>
      </c>
      <c r="AX166" t="s">
        <v>176</v>
      </c>
      <c r="AY166" t="s">
        <v>177</v>
      </c>
      <c r="AZ166" t="s">
        <v>138</v>
      </c>
      <c r="BA166" t="s">
        <v>1852</v>
      </c>
      <c r="BC166" t="s">
        <v>140</v>
      </c>
      <c r="BT166" s="7">
        <f t="shared" si="13"/>
        <v>239</v>
      </c>
      <c r="BU166" s="6">
        <f t="shared" si="14"/>
        <v>223.36448598130841</v>
      </c>
      <c r="BV166" s="6">
        <f t="shared" si="15"/>
        <v>15.635514018691588</v>
      </c>
      <c r="BW166" s="6">
        <f t="shared" si="16"/>
        <v>239</v>
      </c>
      <c r="BX166" s="6">
        <f t="shared" si="17"/>
        <v>0</v>
      </c>
    </row>
    <row r="167" spans="1:76" x14ac:dyDescent="0.35">
      <c r="A167" t="s">
        <v>1853</v>
      </c>
      <c r="B167" t="s">
        <v>107</v>
      </c>
      <c r="C167" t="s">
        <v>107</v>
      </c>
      <c r="F167" t="s">
        <v>533</v>
      </c>
      <c r="G167" t="s">
        <v>534</v>
      </c>
      <c r="H167" t="s">
        <v>535</v>
      </c>
      <c r="I167" t="s">
        <v>536</v>
      </c>
      <c r="J167" t="s">
        <v>113</v>
      </c>
      <c r="K167" s="8" t="s">
        <v>114</v>
      </c>
      <c r="L167" t="s">
        <v>114</v>
      </c>
      <c r="M167" s="6">
        <v>0</v>
      </c>
      <c r="N167" t="s">
        <v>114</v>
      </c>
      <c r="O167" s="6">
        <v>0</v>
      </c>
      <c r="P167" t="s">
        <v>114</v>
      </c>
      <c r="Q167" s="6">
        <v>0</v>
      </c>
      <c r="R167" s="7">
        <f t="shared" si="12"/>
        <v>0</v>
      </c>
      <c r="S167" t="s">
        <v>114</v>
      </c>
      <c r="T167" t="s">
        <v>114</v>
      </c>
      <c r="U167" t="s">
        <v>114</v>
      </c>
      <c r="W167" t="s">
        <v>114</v>
      </c>
      <c r="X167" t="s">
        <v>114</v>
      </c>
      <c r="Z167" t="s">
        <v>1854</v>
      </c>
      <c r="AA167" t="s">
        <v>1854</v>
      </c>
      <c r="AB167" s="1" t="s">
        <v>1855</v>
      </c>
      <c r="AC167" t="s">
        <v>1856</v>
      </c>
      <c r="AD167" t="s">
        <v>1857</v>
      </c>
      <c r="AH167" t="s">
        <v>123</v>
      </c>
      <c r="AI167" t="s">
        <v>124</v>
      </c>
      <c r="AJ167" t="s">
        <v>1858</v>
      </c>
      <c r="AK167" t="s">
        <v>126</v>
      </c>
      <c r="AL167" t="s">
        <v>127</v>
      </c>
      <c r="AN167" t="s">
        <v>1859</v>
      </c>
      <c r="AO167" t="s">
        <v>1860</v>
      </c>
      <c r="AP167" t="s">
        <v>1861</v>
      </c>
      <c r="AQ167" t="s">
        <v>131</v>
      </c>
      <c r="AR167" t="s">
        <v>132</v>
      </c>
      <c r="AS167" t="s">
        <v>1862</v>
      </c>
      <c r="AT167" t="s">
        <v>1863</v>
      </c>
      <c r="AV167" t="s">
        <v>1183</v>
      </c>
      <c r="AY167" t="s">
        <v>547</v>
      </c>
      <c r="AZ167" t="s">
        <v>364</v>
      </c>
      <c r="BA167" t="s">
        <v>1864</v>
      </c>
      <c r="BC167" t="s">
        <v>140</v>
      </c>
      <c r="BT167" s="7">
        <f t="shared" si="13"/>
        <v>0</v>
      </c>
      <c r="BU167" s="6">
        <f t="shared" si="14"/>
        <v>0</v>
      </c>
      <c r="BV167" s="6">
        <f t="shared" si="15"/>
        <v>0</v>
      </c>
      <c r="BW167" s="6">
        <f t="shared" si="16"/>
        <v>0</v>
      </c>
      <c r="BX167" s="6">
        <f t="shared" si="17"/>
        <v>0</v>
      </c>
    </row>
    <row r="168" spans="1:76" x14ac:dyDescent="0.35">
      <c r="A168" t="s">
        <v>1865</v>
      </c>
      <c r="B168" t="s">
        <v>107</v>
      </c>
      <c r="C168" t="s">
        <v>107</v>
      </c>
      <c r="F168" t="s">
        <v>158</v>
      </c>
      <c r="G168" t="s">
        <v>159</v>
      </c>
      <c r="H168" t="s">
        <v>111</v>
      </c>
      <c r="I168" t="s">
        <v>341</v>
      </c>
      <c r="J168" t="s">
        <v>113</v>
      </c>
      <c r="K168" s="8" t="s">
        <v>114</v>
      </c>
      <c r="L168" t="s">
        <v>114</v>
      </c>
      <c r="M168" s="6">
        <v>0</v>
      </c>
      <c r="N168" t="s">
        <v>114</v>
      </c>
      <c r="O168" s="6">
        <v>0</v>
      </c>
      <c r="P168" t="s">
        <v>114</v>
      </c>
      <c r="Q168" s="6">
        <v>0</v>
      </c>
      <c r="R168" s="7">
        <f t="shared" si="12"/>
        <v>0</v>
      </c>
      <c r="S168" t="s">
        <v>114</v>
      </c>
      <c r="T168" t="s">
        <v>114</v>
      </c>
      <c r="U168" t="s">
        <v>114</v>
      </c>
      <c r="W168" t="s">
        <v>114</v>
      </c>
      <c r="X168" t="s">
        <v>114</v>
      </c>
      <c r="Z168" t="s">
        <v>1866</v>
      </c>
      <c r="AA168" t="s">
        <v>1866</v>
      </c>
      <c r="AB168" s="1" t="s">
        <v>1855</v>
      </c>
      <c r="AC168" t="s">
        <v>1867</v>
      </c>
      <c r="AD168" t="s">
        <v>1868</v>
      </c>
      <c r="AH168" t="s">
        <v>123</v>
      </c>
      <c r="AI168" t="s">
        <v>124</v>
      </c>
      <c r="AJ168" t="s">
        <v>1869</v>
      </c>
      <c r="AK168" t="s">
        <v>126</v>
      </c>
      <c r="AL168" t="s">
        <v>127</v>
      </c>
      <c r="AN168" t="s">
        <v>1870</v>
      </c>
      <c r="AO168" t="s">
        <v>1871</v>
      </c>
      <c r="AP168" t="s">
        <v>1872</v>
      </c>
      <c r="AQ168" t="s">
        <v>131</v>
      </c>
      <c r="AR168" t="s">
        <v>132</v>
      </c>
      <c r="AS168" t="s">
        <v>1862</v>
      </c>
      <c r="AT168" t="s">
        <v>1873</v>
      </c>
      <c r="AV168" t="s">
        <v>1490</v>
      </c>
      <c r="AY168" t="s">
        <v>177</v>
      </c>
      <c r="AZ168" t="s">
        <v>138</v>
      </c>
      <c r="BA168" t="s">
        <v>1874</v>
      </c>
      <c r="BC168" t="s">
        <v>140</v>
      </c>
      <c r="BT168" s="7">
        <f t="shared" si="13"/>
        <v>0</v>
      </c>
      <c r="BU168" s="6">
        <f t="shared" si="14"/>
        <v>0</v>
      </c>
      <c r="BV168" s="6">
        <f t="shared" si="15"/>
        <v>0</v>
      </c>
      <c r="BW168" s="6">
        <f t="shared" si="16"/>
        <v>0</v>
      </c>
      <c r="BX168" s="6">
        <f t="shared" si="17"/>
        <v>0</v>
      </c>
    </row>
    <row r="169" spans="1:76" x14ac:dyDescent="0.35">
      <c r="A169" t="s">
        <v>1875</v>
      </c>
      <c r="B169" t="s">
        <v>336</v>
      </c>
      <c r="C169" t="s">
        <v>336</v>
      </c>
      <c r="D169" t="s">
        <v>337</v>
      </c>
      <c r="E169" t="s">
        <v>108</v>
      </c>
      <c r="F169" t="s">
        <v>158</v>
      </c>
      <c r="G169" t="s">
        <v>159</v>
      </c>
      <c r="H169" t="s">
        <v>111</v>
      </c>
      <c r="I169" t="s">
        <v>341</v>
      </c>
      <c r="J169" t="s">
        <v>113</v>
      </c>
      <c r="K169" s="8" t="s">
        <v>113</v>
      </c>
      <c r="L169" t="s">
        <v>161</v>
      </c>
      <c r="M169" s="6">
        <v>459</v>
      </c>
      <c r="N169" t="s">
        <v>436</v>
      </c>
      <c r="O169" s="6">
        <v>220</v>
      </c>
      <c r="P169" t="s">
        <v>1876</v>
      </c>
      <c r="Q169" s="6">
        <v>0</v>
      </c>
      <c r="R169" s="7">
        <f t="shared" si="12"/>
        <v>239</v>
      </c>
      <c r="S169" t="s">
        <v>142</v>
      </c>
      <c r="T169" t="s">
        <v>114</v>
      </c>
      <c r="U169" t="s">
        <v>142</v>
      </c>
      <c r="W169" t="s">
        <v>114</v>
      </c>
      <c r="X169" t="s">
        <v>1876</v>
      </c>
      <c r="Y169" t="s">
        <v>1876</v>
      </c>
      <c r="Z169" t="s">
        <v>1877</v>
      </c>
      <c r="AA169" t="s">
        <v>1878</v>
      </c>
      <c r="AB169" s="1" t="s">
        <v>1879</v>
      </c>
      <c r="AE169" t="s">
        <v>1880</v>
      </c>
      <c r="AF169" t="s">
        <v>346</v>
      </c>
      <c r="AG169" t="s">
        <v>1881</v>
      </c>
      <c r="AH169" t="s">
        <v>123</v>
      </c>
      <c r="AI169" t="s">
        <v>124</v>
      </c>
      <c r="AJ169" t="s">
        <v>1882</v>
      </c>
      <c r="AK169" t="s">
        <v>126</v>
      </c>
      <c r="AL169" t="s">
        <v>127</v>
      </c>
      <c r="AN169" t="s">
        <v>230</v>
      </c>
      <c r="AO169" t="s">
        <v>1883</v>
      </c>
      <c r="AP169" t="s">
        <v>232</v>
      </c>
      <c r="AQ169" t="s">
        <v>131</v>
      </c>
      <c r="AR169" t="s">
        <v>233</v>
      </c>
      <c r="AS169" t="s">
        <v>234</v>
      </c>
      <c r="AT169" t="s">
        <v>1884</v>
      </c>
      <c r="AV169" t="s">
        <v>1885</v>
      </c>
      <c r="AW169" t="s">
        <v>668</v>
      </c>
      <c r="AX169" t="s">
        <v>176</v>
      </c>
      <c r="AY169" t="s">
        <v>177</v>
      </c>
      <c r="AZ169" t="s">
        <v>138</v>
      </c>
      <c r="BA169" t="s">
        <v>1886</v>
      </c>
      <c r="BC169" t="s">
        <v>140</v>
      </c>
      <c r="BT169" s="7">
        <f t="shared" si="13"/>
        <v>239</v>
      </c>
      <c r="BU169" s="6">
        <f t="shared" si="14"/>
        <v>223.36448598130841</v>
      </c>
      <c r="BV169" s="6">
        <f t="shared" si="15"/>
        <v>15.635514018691588</v>
      </c>
      <c r="BW169" s="6">
        <f t="shared" si="16"/>
        <v>239</v>
      </c>
      <c r="BX169" s="6">
        <f t="shared" si="17"/>
        <v>0</v>
      </c>
    </row>
    <row r="170" spans="1:76" x14ac:dyDescent="0.35">
      <c r="A170" t="s">
        <v>1887</v>
      </c>
      <c r="B170" t="s">
        <v>107</v>
      </c>
      <c r="C170" t="s">
        <v>107</v>
      </c>
      <c r="F170" t="s">
        <v>158</v>
      </c>
      <c r="G170" t="s">
        <v>159</v>
      </c>
      <c r="H170" t="s">
        <v>111</v>
      </c>
      <c r="I170" t="s">
        <v>341</v>
      </c>
      <c r="J170" t="s">
        <v>113</v>
      </c>
      <c r="K170" s="8" t="s">
        <v>114</v>
      </c>
      <c r="L170" t="s">
        <v>114</v>
      </c>
      <c r="M170" s="6">
        <v>0</v>
      </c>
      <c r="N170" t="s">
        <v>114</v>
      </c>
      <c r="O170" s="6">
        <v>0</v>
      </c>
      <c r="P170" t="s">
        <v>114</v>
      </c>
      <c r="Q170" s="6">
        <v>0</v>
      </c>
      <c r="R170" s="7">
        <f t="shared" si="12"/>
        <v>0</v>
      </c>
      <c r="S170" t="s">
        <v>114</v>
      </c>
      <c r="T170" t="s">
        <v>114</v>
      </c>
      <c r="U170" t="s">
        <v>114</v>
      </c>
      <c r="W170" t="s">
        <v>114</v>
      </c>
      <c r="X170" t="s">
        <v>114</v>
      </c>
      <c r="Z170" t="s">
        <v>1888</v>
      </c>
      <c r="AA170" t="s">
        <v>1888</v>
      </c>
      <c r="AB170" s="1" t="s">
        <v>1889</v>
      </c>
      <c r="AC170" t="s">
        <v>1890</v>
      </c>
      <c r="AD170" t="s">
        <v>1891</v>
      </c>
      <c r="AH170" t="s">
        <v>123</v>
      </c>
      <c r="AI170" t="s">
        <v>124</v>
      </c>
      <c r="AJ170" t="s">
        <v>1892</v>
      </c>
      <c r="AK170" t="s">
        <v>126</v>
      </c>
      <c r="AL170" t="s">
        <v>127</v>
      </c>
      <c r="AN170" t="s">
        <v>1893</v>
      </c>
      <c r="AO170" t="s">
        <v>1894</v>
      </c>
      <c r="AP170" t="s">
        <v>1895</v>
      </c>
      <c r="AQ170" t="s">
        <v>131</v>
      </c>
      <c r="AR170" t="s">
        <v>132</v>
      </c>
      <c r="AS170" t="s">
        <v>466</v>
      </c>
      <c r="AT170" t="s">
        <v>584</v>
      </c>
      <c r="AV170" t="s">
        <v>1896</v>
      </c>
      <c r="AY170" t="s">
        <v>177</v>
      </c>
      <c r="AZ170" t="s">
        <v>138</v>
      </c>
      <c r="BA170" t="s">
        <v>1897</v>
      </c>
      <c r="BC170" t="s">
        <v>140</v>
      </c>
      <c r="BT170" s="7">
        <f t="shared" si="13"/>
        <v>0</v>
      </c>
      <c r="BU170" s="6">
        <f t="shared" si="14"/>
        <v>0</v>
      </c>
      <c r="BV170" s="6">
        <f t="shared" si="15"/>
        <v>0</v>
      </c>
      <c r="BW170" s="6">
        <f t="shared" si="16"/>
        <v>0</v>
      </c>
      <c r="BX170" s="6">
        <f t="shared" si="17"/>
        <v>0</v>
      </c>
    </row>
    <row r="171" spans="1:76" x14ac:dyDescent="0.35">
      <c r="A171" t="s">
        <v>1898</v>
      </c>
      <c r="B171" t="s">
        <v>107</v>
      </c>
      <c r="C171" t="s">
        <v>107</v>
      </c>
      <c r="F171" t="s">
        <v>613</v>
      </c>
      <c r="G171" t="s">
        <v>614</v>
      </c>
      <c r="H171" t="s">
        <v>615</v>
      </c>
      <c r="I171" t="s">
        <v>271</v>
      </c>
      <c r="J171" t="s">
        <v>113</v>
      </c>
      <c r="K171" s="8" t="s">
        <v>114</v>
      </c>
      <c r="L171" t="s">
        <v>114</v>
      </c>
      <c r="M171" s="6">
        <v>0</v>
      </c>
      <c r="N171" t="s">
        <v>114</v>
      </c>
      <c r="O171" s="6">
        <v>0</v>
      </c>
      <c r="P171" t="s">
        <v>114</v>
      </c>
      <c r="Q171" s="6">
        <v>0</v>
      </c>
      <c r="R171" s="7">
        <f t="shared" si="12"/>
        <v>0</v>
      </c>
      <c r="S171" t="s">
        <v>114</v>
      </c>
      <c r="T171" t="s">
        <v>114</v>
      </c>
      <c r="U171" t="s">
        <v>114</v>
      </c>
      <c r="W171" t="s">
        <v>114</v>
      </c>
      <c r="X171" t="s">
        <v>114</v>
      </c>
      <c r="Z171" t="s">
        <v>1899</v>
      </c>
      <c r="AA171" t="s">
        <v>1899</v>
      </c>
      <c r="AB171" s="1" t="s">
        <v>1900</v>
      </c>
      <c r="AC171" t="s">
        <v>1901</v>
      </c>
      <c r="AD171" t="s">
        <v>1902</v>
      </c>
      <c r="AH171" t="s">
        <v>123</v>
      </c>
      <c r="AI171" t="s">
        <v>124</v>
      </c>
      <c r="AJ171" t="s">
        <v>1903</v>
      </c>
      <c r="AK171" t="s">
        <v>126</v>
      </c>
      <c r="AL171" t="s">
        <v>127</v>
      </c>
      <c r="AN171" t="s">
        <v>1904</v>
      </c>
      <c r="AO171" t="s">
        <v>569</v>
      </c>
      <c r="AP171" t="s">
        <v>1905</v>
      </c>
      <c r="AQ171" t="s">
        <v>131</v>
      </c>
      <c r="AR171" t="s">
        <v>132</v>
      </c>
      <c r="AS171" t="s">
        <v>756</v>
      </c>
      <c r="AT171" t="s">
        <v>1906</v>
      </c>
      <c r="AV171" t="s">
        <v>965</v>
      </c>
      <c r="AW171" t="s">
        <v>918</v>
      </c>
      <c r="AY171" t="s">
        <v>177</v>
      </c>
      <c r="AZ171" t="s">
        <v>627</v>
      </c>
      <c r="BA171" t="s">
        <v>1907</v>
      </c>
      <c r="BC171" t="s">
        <v>140</v>
      </c>
      <c r="BT171" s="7">
        <f t="shared" si="13"/>
        <v>0</v>
      </c>
      <c r="BU171" s="6">
        <f t="shared" si="14"/>
        <v>0</v>
      </c>
      <c r="BV171" s="6">
        <f t="shared" si="15"/>
        <v>0</v>
      </c>
      <c r="BW171" s="6">
        <f t="shared" si="16"/>
        <v>0</v>
      </c>
      <c r="BX171" s="6">
        <f t="shared" si="17"/>
        <v>0</v>
      </c>
    </row>
    <row r="172" spans="1:76" x14ac:dyDescent="0.35">
      <c r="A172" t="s">
        <v>1908</v>
      </c>
      <c r="B172" t="s">
        <v>107</v>
      </c>
      <c r="C172" t="s">
        <v>107</v>
      </c>
      <c r="F172" t="s">
        <v>613</v>
      </c>
      <c r="G172" t="s">
        <v>614</v>
      </c>
      <c r="H172" t="s">
        <v>615</v>
      </c>
      <c r="I172" t="s">
        <v>271</v>
      </c>
      <c r="J172" t="s">
        <v>113</v>
      </c>
      <c r="K172" s="8" t="s">
        <v>114</v>
      </c>
      <c r="L172" t="s">
        <v>114</v>
      </c>
      <c r="M172" s="6">
        <v>0</v>
      </c>
      <c r="N172" t="s">
        <v>114</v>
      </c>
      <c r="O172" s="6">
        <v>0</v>
      </c>
      <c r="P172" t="s">
        <v>114</v>
      </c>
      <c r="Q172" s="6">
        <v>0</v>
      </c>
      <c r="R172" s="7">
        <f t="shared" si="12"/>
        <v>0</v>
      </c>
      <c r="S172" t="s">
        <v>114</v>
      </c>
      <c r="T172" t="s">
        <v>114</v>
      </c>
      <c r="U172" t="s">
        <v>114</v>
      </c>
      <c r="W172" t="s">
        <v>114</v>
      </c>
      <c r="X172" t="s">
        <v>114</v>
      </c>
      <c r="Z172" t="s">
        <v>1909</v>
      </c>
      <c r="AA172" t="s">
        <v>1909</v>
      </c>
      <c r="AB172" s="1" t="s">
        <v>1910</v>
      </c>
      <c r="AC172" t="s">
        <v>1911</v>
      </c>
      <c r="AD172" t="s">
        <v>1912</v>
      </c>
      <c r="AH172" t="s">
        <v>123</v>
      </c>
      <c r="AI172" t="s">
        <v>124</v>
      </c>
      <c r="AJ172" t="s">
        <v>1913</v>
      </c>
      <c r="AK172" t="s">
        <v>126</v>
      </c>
      <c r="AL172" t="s">
        <v>127</v>
      </c>
      <c r="AN172" t="s">
        <v>1914</v>
      </c>
      <c r="AO172" t="s">
        <v>1915</v>
      </c>
      <c r="AP172" t="s">
        <v>1916</v>
      </c>
      <c r="AQ172" t="s">
        <v>131</v>
      </c>
      <c r="AR172" t="s">
        <v>403</v>
      </c>
      <c r="AS172" t="s">
        <v>720</v>
      </c>
      <c r="AT172" t="s">
        <v>1664</v>
      </c>
      <c r="AV172" t="s">
        <v>654</v>
      </c>
      <c r="AY172" t="s">
        <v>177</v>
      </c>
      <c r="AZ172" t="s">
        <v>627</v>
      </c>
      <c r="BA172" t="s">
        <v>1917</v>
      </c>
      <c r="BC172" t="s">
        <v>140</v>
      </c>
      <c r="BT172" s="7">
        <f t="shared" si="13"/>
        <v>0</v>
      </c>
      <c r="BU172" s="6">
        <f t="shared" si="14"/>
        <v>0</v>
      </c>
      <c r="BV172" s="6">
        <f t="shared" si="15"/>
        <v>0</v>
      </c>
      <c r="BW172" s="6">
        <f t="shared" si="16"/>
        <v>0</v>
      </c>
      <c r="BX172" s="6">
        <f t="shared" si="17"/>
        <v>0</v>
      </c>
    </row>
    <row r="173" spans="1:76" x14ac:dyDescent="0.35">
      <c r="A173" t="s">
        <v>1918</v>
      </c>
      <c r="B173" t="s">
        <v>107</v>
      </c>
      <c r="C173" t="s">
        <v>107</v>
      </c>
      <c r="F173" t="s">
        <v>158</v>
      </c>
      <c r="G173" t="s">
        <v>159</v>
      </c>
      <c r="H173" t="s">
        <v>111</v>
      </c>
      <c r="I173" t="s">
        <v>341</v>
      </c>
      <c r="J173" t="s">
        <v>113</v>
      </c>
      <c r="K173" s="8" t="s">
        <v>114</v>
      </c>
      <c r="L173" t="s">
        <v>114</v>
      </c>
      <c r="M173" s="6">
        <v>0</v>
      </c>
      <c r="N173" t="s">
        <v>114</v>
      </c>
      <c r="O173" s="6">
        <v>0</v>
      </c>
      <c r="P173" t="s">
        <v>114</v>
      </c>
      <c r="Q173" s="6">
        <v>0</v>
      </c>
      <c r="R173" s="7">
        <f t="shared" si="12"/>
        <v>0</v>
      </c>
      <c r="S173" t="s">
        <v>114</v>
      </c>
      <c r="T173" t="s">
        <v>114</v>
      </c>
      <c r="U173" t="s">
        <v>114</v>
      </c>
      <c r="W173" t="s">
        <v>114</v>
      </c>
      <c r="X173" t="s">
        <v>114</v>
      </c>
      <c r="Z173" t="s">
        <v>1919</v>
      </c>
      <c r="AA173" t="s">
        <v>1919</v>
      </c>
      <c r="AB173" s="1" t="s">
        <v>1920</v>
      </c>
      <c r="AC173" t="s">
        <v>1921</v>
      </c>
      <c r="AD173" t="s">
        <v>1922</v>
      </c>
      <c r="AH173" t="s">
        <v>123</v>
      </c>
      <c r="AI173" t="s">
        <v>124</v>
      </c>
      <c r="AJ173" t="s">
        <v>1923</v>
      </c>
      <c r="AK173" t="s">
        <v>126</v>
      </c>
      <c r="AL173" t="s">
        <v>127</v>
      </c>
      <c r="AN173" t="s">
        <v>1924</v>
      </c>
      <c r="AO173" t="s">
        <v>1925</v>
      </c>
      <c r="AP173" t="s">
        <v>1926</v>
      </c>
      <c r="AQ173" t="s">
        <v>131</v>
      </c>
      <c r="AR173" t="s">
        <v>132</v>
      </c>
      <c r="AS173" t="s">
        <v>1440</v>
      </c>
      <c r="AT173" t="s">
        <v>1927</v>
      </c>
      <c r="AV173" t="s">
        <v>546</v>
      </c>
      <c r="AW173" t="s">
        <v>1928</v>
      </c>
      <c r="AY173" t="s">
        <v>177</v>
      </c>
      <c r="AZ173" t="s">
        <v>138</v>
      </c>
      <c r="BA173" t="s">
        <v>1929</v>
      </c>
      <c r="BC173" t="s">
        <v>140</v>
      </c>
      <c r="BT173" s="7">
        <f t="shared" si="13"/>
        <v>0</v>
      </c>
      <c r="BU173" s="6">
        <f t="shared" si="14"/>
        <v>0</v>
      </c>
      <c r="BV173" s="6">
        <f t="shared" si="15"/>
        <v>0</v>
      </c>
      <c r="BW173" s="6">
        <f t="shared" si="16"/>
        <v>0</v>
      </c>
      <c r="BX173" s="6">
        <f t="shared" si="17"/>
        <v>0</v>
      </c>
    </row>
    <row r="174" spans="1:76" x14ac:dyDescent="0.35">
      <c r="A174" t="s">
        <v>1930</v>
      </c>
      <c r="B174" t="s">
        <v>107</v>
      </c>
      <c r="C174" t="s">
        <v>107</v>
      </c>
      <c r="F174" t="s">
        <v>533</v>
      </c>
      <c r="G174" t="s">
        <v>534</v>
      </c>
      <c r="H174" t="s">
        <v>535</v>
      </c>
      <c r="I174" t="s">
        <v>536</v>
      </c>
      <c r="J174" t="s">
        <v>113</v>
      </c>
      <c r="K174" s="8" t="s">
        <v>114</v>
      </c>
      <c r="L174" t="s">
        <v>114</v>
      </c>
      <c r="M174" s="6">
        <v>0</v>
      </c>
      <c r="N174" t="s">
        <v>114</v>
      </c>
      <c r="O174" s="6">
        <v>0</v>
      </c>
      <c r="P174" t="s">
        <v>114</v>
      </c>
      <c r="Q174" s="6">
        <v>0</v>
      </c>
      <c r="R174" s="7">
        <f t="shared" si="12"/>
        <v>0</v>
      </c>
      <c r="S174" t="s">
        <v>114</v>
      </c>
      <c r="T174" t="s">
        <v>114</v>
      </c>
      <c r="U174" t="s">
        <v>114</v>
      </c>
      <c r="W174" t="s">
        <v>114</v>
      </c>
      <c r="X174" t="s">
        <v>114</v>
      </c>
      <c r="Z174" t="s">
        <v>1931</v>
      </c>
      <c r="AA174" t="s">
        <v>1932</v>
      </c>
      <c r="AB174" s="1" t="s">
        <v>1920</v>
      </c>
      <c r="AC174" t="s">
        <v>1933</v>
      </c>
      <c r="AD174" t="s">
        <v>1934</v>
      </c>
      <c r="AH174" t="s">
        <v>123</v>
      </c>
      <c r="AI174" t="s">
        <v>124</v>
      </c>
      <c r="AJ174" t="s">
        <v>1935</v>
      </c>
      <c r="AK174" t="s">
        <v>126</v>
      </c>
      <c r="AL174" t="s">
        <v>127</v>
      </c>
      <c r="AN174" t="s">
        <v>1936</v>
      </c>
      <c r="AO174" t="s">
        <v>1937</v>
      </c>
      <c r="AP174" t="s">
        <v>1938</v>
      </c>
      <c r="AQ174" t="s">
        <v>131</v>
      </c>
      <c r="AR174" t="s">
        <v>132</v>
      </c>
      <c r="AS174" t="s">
        <v>152</v>
      </c>
      <c r="AT174" t="s">
        <v>494</v>
      </c>
      <c r="AV174" t="s">
        <v>1821</v>
      </c>
      <c r="AY174" t="s">
        <v>547</v>
      </c>
      <c r="AZ174" t="s">
        <v>364</v>
      </c>
      <c r="BA174" t="s">
        <v>1939</v>
      </c>
      <c r="BC174" t="s">
        <v>140</v>
      </c>
      <c r="BT174" s="7">
        <f t="shared" si="13"/>
        <v>0</v>
      </c>
      <c r="BU174" s="6">
        <f t="shared" si="14"/>
        <v>0</v>
      </c>
      <c r="BV174" s="6">
        <f t="shared" si="15"/>
        <v>0</v>
      </c>
      <c r="BW174" s="6">
        <f t="shared" si="16"/>
        <v>0</v>
      </c>
      <c r="BX174" s="6">
        <f t="shared" si="17"/>
        <v>0</v>
      </c>
    </row>
    <row r="175" spans="1:76" x14ac:dyDescent="0.35">
      <c r="A175" t="s">
        <v>1930</v>
      </c>
      <c r="B175" t="s">
        <v>107</v>
      </c>
      <c r="C175" t="s">
        <v>107</v>
      </c>
      <c r="F175" t="s">
        <v>158</v>
      </c>
      <c r="G175" t="s">
        <v>159</v>
      </c>
      <c r="H175" t="s">
        <v>111</v>
      </c>
      <c r="I175" t="s">
        <v>341</v>
      </c>
      <c r="J175" t="s">
        <v>113</v>
      </c>
      <c r="K175" s="8" t="s">
        <v>114</v>
      </c>
      <c r="L175" t="s">
        <v>114</v>
      </c>
      <c r="M175" s="6">
        <v>0</v>
      </c>
      <c r="N175" t="s">
        <v>114</v>
      </c>
      <c r="O175" s="6">
        <v>0</v>
      </c>
      <c r="P175" t="s">
        <v>114</v>
      </c>
      <c r="Q175" s="6">
        <v>0</v>
      </c>
      <c r="R175" s="7">
        <f t="shared" si="12"/>
        <v>0</v>
      </c>
      <c r="S175" t="s">
        <v>114</v>
      </c>
      <c r="T175" t="s">
        <v>114</v>
      </c>
      <c r="U175" t="s">
        <v>114</v>
      </c>
      <c r="W175" t="s">
        <v>114</v>
      </c>
      <c r="X175" t="s">
        <v>114</v>
      </c>
      <c r="Z175" t="s">
        <v>1931</v>
      </c>
      <c r="AA175" t="s">
        <v>1932</v>
      </c>
      <c r="AB175" s="1" t="s">
        <v>1920</v>
      </c>
      <c r="AC175" t="s">
        <v>1933</v>
      </c>
      <c r="AD175" t="s">
        <v>1934</v>
      </c>
      <c r="AH175" t="s">
        <v>123</v>
      </c>
      <c r="AI175" t="s">
        <v>124</v>
      </c>
      <c r="AJ175" t="s">
        <v>1935</v>
      </c>
      <c r="AK175" t="s">
        <v>126</v>
      </c>
      <c r="AL175" t="s">
        <v>127</v>
      </c>
      <c r="AN175" t="s">
        <v>1936</v>
      </c>
      <c r="AO175" t="s">
        <v>1937</v>
      </c>
      <c r="AP175" t="s">
        <v>1938</v>
      </c>
      <c r="AQ175" t="s">
        <v>131</v>
      </c>
      <c r="AR175" t="s">
        <v>132</v>
      </c>
      <c r="AS175" t="s">
        <v>152</v>
      </c>
      <c r="AT175" t="s">
        <v>494</v>
      </c>
      <c r="AV175" t="s">
        <v>1821</v>
      </c>
      <c r="AY175" t="s">
        <v>177</v>
      </c>
      <c r="AZ175" t="s">
        <v>138</v>
      </c>
      <c r="BA175" t="s">
        <v>1939</v>
      </c>
      <c r="BC175" t="s">
        <v>140</v>
      </c>
      <c r="BT175" s="7">
        <f t="shared" si="13"/>
        <v>0</v>
      </c>
      <c r="BU175" s="6">
        <f t="shared" si="14"/>
        <v>0</v>
      </c>
      <c r="BV175" s="6">
        <f t="shared" si="15"/>
        <v>0</v>
      </c>
      <c r="BW175" s="6">
        <f t="shared" si="16"/>
        <v>0</v>
      </c>
      <c r="BX175" s="6">
        <f t="shared" si="17"/>
        <v>0</v>
      </c>
    </row>
    <row r="176" spans="1:76" x14ac:dyDescent="0.35">
      <c r="A176" t="s">
        <v>1940</v>
      </c>
      <c r="B176" t="s">
        <v>107</v>
      </c>
      <c r="C176" t="s">
        <v>107</v>
      </c>
      <c r="F176" t="s">
        <v>613</v>
      </c>
      <c r="G176" t="s">
        <v>614</v>
      </c>
      <c r="H176" t="s">
        <v>615</v>
      </c>
      <c r="I176" t="s">
        <v>271</v>
      </c>
      <c r="J176" t="s">
        <v>113</v>
      </c>
      <c r="K176" s="8" t="s">
        <v>114</v>
      </c>
      <c r="L176" t="s">
        <v>114</v>
      </c>
      <c r="M176" s="6">
        <v>0</v>
      </c>
      <c r="N176" t="s">
        <v>114</v>
      </c>
      <c r="O176" s="6">
        <v>0</v>
      </c>
      <c r="P176" t="s">
        <v>114</v>
      </c>
      <c r="Q176" s="6">
        <v>0</v>
      </c>
      <c r="R176" s="7">
        <f t="shared" si="12"/>
        <v>0</v>
      </c>
      <c r="S176" t="s">
        <v>114</v>
      </c>
      <c r="T176" t="s">
        <v>114</v>
      </c>
      <c r="U176" t="s">
        <v>114</v>
      </c>
      <c r="W176" t="s">
        <v>114</v>
      </c>
      <c r="X176" t="s">
        <v>114</v>
      </c>
      <c r="Z176" t="s">
        <v>1941</v>
      </c>
      <c r="AA176" t="s">
        <v>1941</v>
      </c>
      <c r="AB176" s="1" t="s">
        <v>1942</v>
      </c>
      <c r="AC176" t="s">
        <v>1943</v>
      </c>
      <c r="AD176" t="s">
        <v>1944</v>
      </c>
      <c r="AH176" t="s">
        <v>123</v>
      </c>
      <c r="AI176" t="s">
        <v>124</v>
      </c>
      <c r="AJ176" t="s">
        <v>1945</v>
      </c>
      <c r="AK176" t="s">
        <v>126</v>
      </c>
      <c r="AL176" t="s">
        <v>127</v>
      </c>
      <c r="AN176" t="s">
        <v>1946</v>
      </c>
      <c r="AO176" t="s">
        <v>1947</v>
      </c>
      <c r="AP176" t="s">
        <v>1948</v>
      </c>
      <c r="AQ176" t="s">
        <v>131</v>
      </c>
      <c r="AR176" t="s">
        <v>132</v>
      </c>
      <c r="AS176" t="s">
        <v>152</v>
      </c>
      <c r="AT176" t="s">
        <v>1949</v>
      </c>
      <c r="AV176" t="s">
        <v>668</v>
      </c>
      <c r="AY176" t="s">
        <v>177</v>
      </c>
      <c r="AZ176" t="s">
        <v>627</v>
      </c>
      <c r="BA176" t="s">
        <v>1950</v>
      </c>
      <c r="BC176" t="s">
        <v>140</v>
      </c>
      <c r="BT176" s="7">
        <f t="shared" si="13"/>
        <v>0</v>
      </c>
      <c r="BU176" s="6">
        <f t="shared" si="14"/>
        <v>0</v>
      </c>
      <c r="BV176" s="6">
        <f t="shared" si="15"/>
        <v>0</v>
      </c>
      <c r="BW176" s="6">
        <f t="shared" si="16"/>
        <v>0</v>
      </c>
      <c r="BX176" s="6">
        <f t="shared" si="17"/>
        <v>0</v>
      </c>
    </row>
    <row r="177" spans="1:76" x14ac:dyDescent="0.35">
      <c r="A177" t="s">
        <v>1951</v>
      </c>
      <c r="B177" t="s">
        <v>107</v>
      </c>
      <c r="C177" t="s">
        <v>107</v>
      </c>
      <c r="F177" t="s">
        <v>158</v>
      </c>
      <c r="G177" t="s">
        <v>159</v>
      </c>
      <c r="H177" t="s">
        <v>111</v>
      </c>
      <c r="I177" t="s">
        <v>341</v>
      </c>
      <c r="J177" t="s">
        <v>113</v>
      </c>
      <c r="K177" s="8" t="s">
        <v>114</v>
      </c>
      <c r="L177" t="s">
        <v>114</v>
      </c>
      <c r="M177" s="6">
        <v>0</v>
      </c>
      <c r="N177" t="s">
        <v>114</v>
      </c>
      <c r="O177" s="6">
        <v>0</v>
      </c>
      <c r="P177" t="s">
        <v>114</v>
      </c>
      <c r="Q177" s="6">
        <v>0</v>
      </c>
      <c r="R177" s="7">
        <f t="shared" si="12"/>
        <v>0</v>
      </c>
      <c r="S177" t="s">
        <v>114</v>
      </c>
      <c r="T177" t="s">
        <v>114</v>
      </c>
      <c r="U177" t="s">
        <v>114</v>
      </c>
      <c r="W177" t="s">
        <v>114</v>
      </c>
      <c r="X177" t="s">
        <v>114</v>
      </c>
      <c r="Z177" t="s">
        <v>1952</v>
      </c>
      <c r="AA177" t="s">
        <v>1952</v>
      </c>
      <c r="AB177" s="1" t="s">
        <v>1953</v>
      </c>
      <c r="AC177" t="s">
        <v>1954</v>
      </c>
      <c r="AD177" t="s">
        <v>1955</v>
      </c>
      <c r="AH177" t="s">
        <v>123</v>
      </c>
      <c r="AI177" t="s">
        <v>124</v>
      </c>
      <c r="AJ177" t="s">
        <v>1956</v>
      </c>
      <c r="AK177" t="s">
        <v>126</v>
      </c>
      <c r="AL177" t="s">
        <v>127</v>
      </c>
      <c r="AN177" t="s">
        <v>1957</v>
      </c>
      <c r="AO177" t="s">
        <v>1958</v>
      </c>
      <c r="AP177" t="s">
        <v>1959</v>
      </c>
      <c r="AQ177" t="s">
        <v>131</v>
      </c>
      <c r="AR177" t="s">
        <v>132</v>
      </c>
      <c r="AS177" t="s">
        <v>558</v>
      </c>
      <c r="AT177" t="s">
        <v>1960</v>
      </c>
      <c r="AV177" t="s">
        <v>316</v>
      </c>
      <c r="AW177" t="s">
        <v>918</v>
      </c>
      <c r="AY177" t="s">
        <v>177</v>
      </c>
      <c r="AZ177" t="s">
        <v>138</v>
      </c>
      <c r="BA177" t="s">
        <v>1961</v>
      </c>
      <c r="BC177" t="s">
        <v>140</v>
      </c>
      <c r="BT177" s="7">
        <f t="shared" si="13"/>
        <v>0</v>
      </c>
      <c r="BU177" s="6">
        <f t="shared" si="14"/>
        <v>0</v>
      </c>
      <c r="BV177" s="6">
        <f t="shared" si="15"/>
        <v>0</v>
      </c>
      <c r="BW177" s="6">
        <f t="shared" si="16"/>
        <v>0</v>
      </c>
      <c r="BX177" s="6">
        <f t="shared" si="17"/>
        <v>0</v>
      </c>
    </row>
    <row r="178" spans="1:76" x14ac:dyDescent="0.35">
      <c r="A178" t="s">
        <v>1962</v>
      </c>
      <c r="B178" t="s">
        <v>107</v>
      </c>
      <c r="C178" t="s">
        <v>107</v>
      </c>
      <c r="F178" t="s">
        <v>158</v>
      </c>
      <c r="G178" t="s">
        <v>159</v>
      </c>
      <c r="H178" t="s">
        <v>111</v>
      </c>
      <c r="I178" t="s">
        <v>341</v>
      </c>
      <c r="J178" t="s">
        <v>113</v>
      </c>
      <c r="K178" s="8" t="s">
        <v>114</v>
      </c>
      <c r="L178" t="s">
        <v>114</v>
      </c>
      <c r="M178" s="6">
        <v>0</v>
      </c>
      <c r="N178" t="s">
        <v>114</v>
      </c>
      <c r="O178" s="6">
        <v>0</v>
      </c>
      <c r="P178" t="s">
        <v>114</v>
      </c>
      <c r="Q178" s="6">
        <v>0</v>
      </c>
      <c r="R178" s="7">
        <f t="shared" si="12"/>
        <v>0</v>
      </c>
      <c r="S178" t="s">
        <v>114</v>
      </c>
      <c r="T178" t="s">
        <v>114</v>
      </c>
      <c r="U178" t="s">
        <v>114</v>
      </c>
      <c r="W178" t="s">
        <v>114</v>
      </c>
      <c r="X178" t="s">
        <v>114</v>
      </c>
      <c r="Z178" t="s">
        <v>1963</v>
      </c>
      <c r="AA178" t="s">
        <v>1963</v>
      </c>
      <c r="AB178" s="1" t="s">
        <v>1964</v>
      </c>
      <c r="AC178" t="s">
        <v>1965</v>
      </c>
      <c r="AD178" t="s">
        <v>1966</v>
      </c>
      <c r="AH178" t="s">
        <v>123</v>
      </c>
      <c r="AI178" t="s">
        <v>124</v>
      </c>
      <c r="AJ178" t="s">
        <v>1967</v>
      </c>
      <c r="AK178" t="s">
        <v>126</v>
      </c>
      <c r="AL178" t="s">
        <v>127</v>
      </c>
      <c r="AN178" t="s">
        <v>1968</v>
      </c>
      <c r="AO178" t="s">
        <v>1969</v>
      </c>
      <c r="AP178" t="s">
        <v>1970</v>
      </c>
      <c r="AQ178" t="s">
        <v>131</v>
      </c>
      <c r="AR178" t="s">
        <v>132</v>
      </c>
      <c r="AS178" t="s">
        <v>152</v>
      </c>
      <c r="AT178" t="s">
        <v>1971</v>
      </c>
      <c r="AV178" t="s">
        <v>1766</v>
      </c>
      <c r="AW178" t="s">
        <v>810</v>
      </c>
      <c r="AY178" t="s">
        <v>177</v>
      </c>
      <c r="AZ178" t="s">
        <v>138</v>
      </c>
      <c r="BA178" t="s">
        <v>1972</v>
      </c>
      <c r="BC178" t="s">
        <v>140</v>
      </c>
      <c r="BT178" s="7">
        <f t="shared" si="13"/>
        <v>0</v>
      </c>
      <c r="BU178" s="6">
        <f t="shared" si="14"/>
        <v>0</v>
      </c>
      <c r="BV178" s="6">
        <f t="shared" si="15"/>
        <v>0</v>
      </c>
      <c r="BW178" s="6">
        <f t="shared" si="16"/>
        <v>0</v>
      </c>
      <c r="BX178" s="6">
        <f t="shared" si="17"/>
        <v>0</v>
      </c>
    </row>
    <row r="179" spans="1:76" x14ac:dyDescent="0.35">
      <c r="A179" t="s">
        <v>1973</v>
      </c>
      <c r="B179" t="s">
        <v>107</v>
      </c>
      <c r="C179" t="s">
        <v>107</v>
      </c>
      <c r="F179" t="s">
        <v>533</v>
      </c>
      <c r="G179" t="s">
        <v>534</v>
      </c>
      <c r="H179" t="s">
        <v>535</v>
      </c>
      <c r="I179" t="s">
        <v>536</v>
      </c>
      <c r="J179" t="s">
        <v>113</v>
      </c>
      <c r="K179" s="8" t="s">
        <v>114</v>
      </c>
      <c r="L179" t="s">
        <v>114</v>
      </c>
      <c r="M179" s="6">
        <v>0</v>
      </c>
      <c r="N179" t="s">
        <v>114</v>
      </c>
      <c r="O179" s="6">
        <v>0</v>
      </c>
      <c r="P179" t="s">
        <v>114</v>
      </c>
      <c r="Q179" s="6">
        <v>0</v>
      </c>
      <c r="R179" s="7">
        <f t="shared" si="12"/>
        <v>0</v>
      </c>
      <c r="S179" t="s">
        <v>114</v>
      </c>
      <c r="T179" t="s">
        <v>114</v>
      </c>
      <c r="U179" t="s">
        <v>114</v>
      </c>
      <c r="W179" t="s">
        <v>114</v>
      </c>
      <c r="X179" t="s">
        <v>114</v>
      </c>
      <c r="Z179" t="s">
        <v>1974</v>
      </c>
      <c r="AA179" t="s">
        <v>1974</v>
      </c>
      <c r="AB179" s="1" t="s">
        <v>1975</v>
      </c>
      <c r="AC179" t="s">
        <v>1976</v>
      </c>
      <c r="AD179" t="s">
        <v>1977</v>
      </c>
      <c r="AH179" t="s">
        <v>123</v>
      </c>
      <c r="AI179" t="s">
        <v>124</v>
      </c>
      <c r="AJ179" t="s">
        <v>1978</v>
      </c>
      <c r="AK179" t="s">
        <v>126</v>
      </c>
      <c r="AL179" t="s">
        <v>127</v>
      </c>
      <c r="AN179" t="s">
        <v>1979</v>
      </c>
      <c r="AO179" t="s">
        <v>1980</v>
      </c>
      <c r="AP179" t="s">
        <v>1981</v>
      </c>
      <c r="AQ179" t="s">
        <v>131</v>
      </c>
      <c r="AR179" t="s">
        <v>132</v>
      </c>
      <c r="AS179" t="s">
        <v>152</v>
      </c>
      <c r="AT179" t="s">
        <v>1982</v>
      </c>
      <c r="AV179" t="s">
        <v>991</v>
      </c>
      <c r="AY179" t="s">
        <v>547</v>
      </c>
      <c r="AZ179" t="s">
        <v>364</v>
      </c>
      <c r="BA179" t="s">
        <v>1983</v>
      </c>
      <c r="BC179" t="s">
        <v>140</v>
      </c>
      <c r="BT179" s="7">
        <f t="shared" si="13"/>
        <v>0</v>
      </c>
      <c r="BU179" s="6">
        <f t="shared" si="14"/>
        <v>0</v>
      </c>
      <c r="BV179" s="6">
        <f t="shared" si="15"/>
        <v>0</v>
      </c>
      <c r="BW179" s="6">
        <f t="shared" si="16"/>
        <v>0</v>
      </c>
      <c r="BX179" s="6">
        <f t="shared" si="17"/>
        <v>0</v>
      </c>
    </row>
    <row r="180" spans="1:76" x14ac:dyDescent="0.35">
      <c r="A180" t="s">
        <v>1984</v>
      </c>
      <c r="B180" t="s">
        <v>107</v>
      </c>
      <c r="C180" t="s">
        <v>107</v>
      </c>
      <c r="E180" t="s">
        <v>108</v>
      </c>
      <c r="F180" t="s">
        <v>484</v>
      </c>
      <c r="G180" t="s">
        <v>159</v>
      </c>
      <c r="H180" t="s">
        <v>485</v>
      </c>
      <c r="I180" t="s">
        <v>341</v>
      </c>
      <c r="J180" t="s">
        <v>113</v>
      </c>
      <c r="K180" s="8" t="s">
        <v>114</v>
      </c>
      <c r="L180" t="s">
        <v>1985</v>
      </c>
      <c r="M180" s="6">
        <v>394</v>
      </c>
      <c r="N180" t="s">
        <v>162</v>
      </c>
      <c r="O180" s="6">
        <v>155</v>
      </c>
      <c r="P180" t="s">
        <v>1206</v>
      </c>
      <c r="Q180" s="6">
        <v>0</v>
      </c>
      <c r="R180" s="7">
        <f t="shared" si="12"/>
        <v>239</v>
      </c>
      <c r="S180" t="s">
        <v>180</v>
      </c>
      <c r="T180" t="s">
        <v>114</v>
      </c>
      <c r="U180" t="s">
        <v>180</v>
      </c>
      <c r="W180" t="s">
        <v>114</v>
      </c>
      <c r="X180" t="s">
        <v>1206</v>
      </c>
      <c r="Z180" t="s">
        <v>1987</v>
      </c>
      <c r="AA180" t="s">
        <v>1988</v>
      </c>
      <c r="AB180" s="1" t="s">
        <v>1989</v>
      </c>
      <c r="AC180" t="s">
        <v>1990</v>
      </c>
      <c r="AD180" t="s">
        <v>1991</v>
      </c>
      <c r="AH180" t="s">
        <v>123</v>
      </c>
      <c r="AI180" t="s">
        <v>124</v>
      </c>
      <c r="AJ180" t="s">
        <v>1992</v>
      </c>
      <c r="AK180" t="s">
        <v>126</v>
      </c>
      <c r="AL180" t="s">
        <v>127</v>
      </c>
      <c r="AN180" t="s">
        <v>1993</v>
      </c>
      <c r="AO180" t="s">
        <v>1994</v>
      </c>
      <c r="AP180" t="s">
        <v>1995</v>
      </c>
      <c r="AQ180" t="s">
        <v>131</v>
      </c>
      <c r="AR180" t="s">
        <v>132</v>
      </c>
      <c r="AS180" t="s">
        <v>756</v>
      </c>
      <c r="AT180" t="s">
        <v>1832</v>
      </c>
      <c r="AV180" t="s">
        <v>1996</v>
      </c>
      <c r="AX180" t="s">
        <v>1997</v>
      </c>
      <c r="AY180" t="s">
        <v>177</v>
      </c>
      <c r="AZ180" t="s">
        <v>356</v>
      </c>
      <c r="BA180" t="s">
        <v>1998</v>
      </c>
      <c r="BC180" t="s">
        <v>140</v>
      </c>
      <c r="BT180" s="7">
        <f t="shared" si="13"/>
        <v>239</v>
      </c>
      <c r="BU180" s="6">
        <f t="shared" si="14"/>
        <v>223.36448598130841</v>
      </c>
      <c r="BV180" s="6">
        <f t="shared" si="15"/>
        <v>15.635514018691588</v>
      </c>
      <c r="BW180" s="6">
        <f t="shared" si="16"/>
        <v>239</v>
      </c>
      <c r="BX180" s="6">
        <f t="shared" si="17"/>
        <v>0</v>
      </c>
    </row>
    <row r="181" spans="1:76" x14ac:dyDescent="0.35">
      <c r="A181" t="s">
        <v>1999</v>
      </c>
      <c r="B181" t="s">
        <v>107</v>
      </c>
      <c r="C181" t="s">
        <v>107</v>
      </c>
      <c r="F181" t="s">
        <v>158</v>
      </c>
      <c r="G181" t="s">
        <v>159</v>
      </c>
      <c r="H181" t="s">
        <v>111</v>
      </c>
      <c r="I181" t="s">
        <v>341</v>
      </c>
      <c r="J181" t="s">
        <v>113</v>
      </c>
      <c r="K181" s="8" t="s">
        <v>114</v>
      </c>
      <c r="L181" t="s">
        <v>114</v>
      </c>
      <c r="M181" s="6">
        <v>0</v>
      </c>
      <c r="N181" t="s">
        <v>114</v>
      </c>
      <c r="O181" s="6">
        <v>0</v>
      </c>
      <c r="P181" t="s">
        <v>114</v>
      </c>
      <c r="Q181" s="6">
        <v>0</v>
      </c>
      <c r="R181" s="7">
        <f t="shared" si="12"/>
        <v>0</v>
      </c>
      <c r="S181" t="s">
        <v>114</v>
      </c>
      <c r="T181" t="s">
        <v>114</v>
      </c>
      <c r="U181" t="s">
        <v>114</v>
      </c>
      <c r="W181" t="s">
        <v>114</v>
      </c>
      <c r="X181" t="s">
        <v>114</v>
      </c>
      <c r="Z181" t="s">
        <v>2000</v>
      </c>
      <c r="AA181" t="s">
        <v>2000</v>
      </c>
      <c r="AB181" s="1" t="s">
        <v>2001</v>
      </c>
      <c r="AC181" t="s">
        <v>2002</v>
      </c>
      <c r="AD181" t="s">
        <v>2003</v>
      </c>
      <c r="AH181" t="s">
        <v>123</v>
      </c>
      <c r="AI181" t="s">
        <v>124</v>
      </c>
      <c r="AJ181" t="s">
        <v>2004</v>
      </c>
      <c r="AK181" t="s">
        <v>126</v>
      </c>
      <c r="AL181" t="s">
        <v>127</v>
      </c>
      <c r="AN181" t="s">
        <v>2005</v>
      </c>
      <c r="AO181" t="s">
        <v>2006</v>
      </c>
      <c r="AP181" t="s">
        <v>2007</v>
      </c>
      <c r="AQ181" t="s">
        <v>131</v>
      </c>
      <c r="AR181" t="s">
        <v>132</v>
      </c>
      <c r="AS181" t="s">
        <v>202</v>
      </c>
      <c r="AT181" t="s">
        <v>1489</v>
      </c>
      <c r="AV181" t="s">
        <v>2008</v>
      </c>
      <c r="AY181" t="s">
        <v>177</v>
      </c>
      <c r="AZ181" t="s">
        <v>138</v>
      </c>
      <c r="BA181" t="s">
        <v>2009</v>
      </c>
      <c r="BC181" t="s">
        <v>140</v>
      </c>
      <c r="BT181" s="7">
        <f t="shared" si="13"/>
        <v>0</v>
      </c>
      <c r="BU181" s="6">
        <f t="shared" si="14"/>
        <v>0</v>
      </c>
      <c r="BV181" s="6">
        <f t="shared" si="15"/>
        <v>0</v>
      </c>
      <c r="BW181" s="6">
        <f t="shared" si="16"/>
        <v>0</v>
      </c>
      <c r="BX181" s="6">
        <f t="shared" si="17"/>
        <v>0</v>
      </c>
    </row>
    <row r="182" spans="1:76" x14ac:dyDescent="0.35">
      <c r="A182" t="s">
        <v>1999</v>
      </c>
      <c r="B182" t="s">
        <v>107</v>
      </c>
      <c r="C182" t="s">
        <v>107</v>
      </c>
      <c r="F182" t="s">
        <v>533</v>
      </c>
      <c r="G182" t="s">
        <v>534</v>
      </c>
      <c r="H182" t="s">
        <v>535</v>
      </c>
      <c r="I182" t="s">
        <v>536</v>
      </c>
      <c r="J182" t="s">
        <v>113</v>
      </c>
      <c r="K182" s="8" t="s">
        <v>114</v>
      </c>
      <c r="L182" t="s">
        <v>114</v>
      </c>
      <c r="M182" s="6">
        <v>0</v>
      </c>
      <c r="N182" t="s">
        <v>114</v>
      </c>
      <c r="O182" s="6">
        <v>0</v>
      </c>
      <c r="P182" t="s">
        <v>114</v>
      </c>
      <c r="Q182" s="6">
        <v>0</v>
      </c>
      <c r="R182" s="7">
        <f t="shared" si="12"/>
        <v>0</v>
      </c>
      <c r="S182" t="s">
        <v>114</v>
      </c>
      <c r="T182" t="s">
        <v>114</v>
      </c>
      <c r="U182" t="s">
        <v>114</v>
      </c>
      <c r="W182" t="s">
        <v>114</v>
      </c>
      <c r="X182" t="s">
        <v>114</v>
      </c>
      <c r="Z182" t="s">
        <v>2000</v>
      </c>
      <c r="AA182" t="s">
        <v>2000</v>
      </c>
      <c r="AB182" s="1" t="s">
        <v>2001</v>
      </c>
      <c r="AC182" t="s">
        <v>2002</v>
      </c>
      <c r="AD182" t="s">
        <v>2003</v>
      </c>
      <c r="AH182" t="s">
        <v>123</v>
      </c>
      <c r="AI182" t="s">
        <v>124</v>
      </c>
      <c r="AJ182" t="s">
        <v>2004</v>
      </c>
      <c r="AK182" t="s">
        <v>126</v>
      </c>
      <c r="AL182" t="s">
        <v>127</v>
      </c>
      <c r="AN182" t="s">
        <v>2005</v>
      </c>
      <c r="AO182" t="s">
        <v>2006</v>
      </c>
      <c r="AP182" t="s">
        <v>2007</v>
      </c>
      <c r="AQ182" t="s">
        <v>131</v>
      </c>
      <c r="AR182" t="s">
        <v>132</v>
      </c>
      <c r="AS182" t="s">
        <v>202</v>
      </c>
      <c r="AT182" t="s">
        <v>1489</v>
      </c>
      <c r="AV182" t="s">
        <v>2008</v>
      </c>
      <c r="AY182" t="s">
        <v>547</v>
      </c>
      <c r="AZ182" t="s">
        <v>364</v>
      </c>
      <c r="BA182" t="s">
        <v>2009</v>
      </c>
      <c r="BC182" t="s">
        <v>140</v>
      </c>
      <c r="BT182" s="7">
        <f t="shared" si="13"/>
        <v>0</v>
      </c>
      <c r="BU182" s="6">
        <f t="shared" si="14"/>
        <v>0</v>
      </c>
      <c r="BV182" s="6">
        <f t="shared" si="15"/>
        <v>0</v>
      </c>
      <c r="BW182" s="6">
        <f t="shared" si="16"/>
        <v>0</v>
      </c>
      <c r="BX182" s="6">
        <f t="shared" si="17"/>
        <v>0</v>
      </c>
    </row>
    <row r="183" spans="1:76" x14ac:dyDescent="0.35">
      <c r="A183" t="s">
        <v>2010</v>
      </c>
      <c r="B183" t="s">
        <v>107</v>
      </c>
      <c r="C183" t="s">
        <v>107</v>
      </c>
      <c r="F183" t="s">
        <v>158</v>
      </c>
      <c r="G183" t="s">
        <v>159</v>
      </c>
      <c r="H183" t="s">
        <v>111</v>
      </c>
      <c r="I183" t="s">
        <v>341</v>
      </c>
      <c r="J183" t="s">
        <v>113</v>
      </c>
      <c r="K183" s="8" t="s">
        <v>114</v>
      </c>
      <c r="L183" t="s">
        <v>114</v>
      </c>
      <c r="M183" s="6">
        <v>0</v>
      </c>
      <c r="N183" t="s">
        <v>114</v>
      </c>
      <c r="O183" s="6">
        <v>0</v>
      </c>
      <c r="P183" t="s">
        <v>114</v>
      </c>
      <c r="Q183" s="6">
        <v>0</v>
      </c>
      <c r="R183" s="7">
        <f t="shared" si="12"/>
        <v>0</v>
      </c>
      <c r="S183" t="s">
        <v>114</v>
      </c>
      <c r="T183" t="s">
        <v>114</v>
      </c>
      <c r="U183" t="s">
        <v>114</v>
      </c>
      <c r="W183" t="s">
        <v>114</v>
      </c>
      <c r="X183" t="s">
        <v>114</v>
      </c>
      <c r="Z183" t="s">
        <v>2011</v>
      </c>
      <c r="AA183" t="s">
        <v>2011</v>
      </c>
      <c r="AB183" s="1" t="s">
        <v>2012</v>
      </c>
      <c r="AC183" t="s">
        <v>2013</v>
      </c>
      <c r="AD183" t="s">
        <v>2014</v>
      </c>
      <c r="AH183" t="s">
        <v>123</v>
      </c>
      <c r="AI183" t="s">
        <v>124</v>
      </c>
      <c r="AJ183" t="s">
        <v>2015</v>
      </c>
      <c r="AK183" t="s">
        <v>126</v>
      </c>
      <c r="AL183" t="s">
        <v>127</v>
      </c>
      <c r="AN183" t="s">
        <v>2016</v>
      </c>
      <c r="AO183" t="s">
        <v>2017</v>
      </c>
      <c r="AP183" t="s">
        <v>2018</v>
      </c>
      <c r="AQ183" t="s">
        <v>131</v>
      </c>
      <c r="AR183" t="s">
        <v>132</v>
      </c>
      <c r="AS183" t="s">
        <v>387</v>
      </c>
      <c r="AT183" t="s">
        <v>2019</v>
      </c>
      <c r="AV183" t="s">
        <v>375</v>
      </c>
      <c r="AW183" t="s">
        <v>316</v>
      </c>
      <c r="AY183" t="s">
        <v>177</v>
      </c>
      <c r="AZ183" t="s">
        <v>138</v>
      </c>
      <c r="BA183" t="s">
        <v>2020</v>
      </c>
      <c r="BC183" t="s">
        <v>140</v>
      </c>
      <c r="BT183" s="7">
        <f t="shared" si="13"/>
        <v>0</v>
      </c>
      <c r="BU183" s="6">
        <f t="shared" si="14"/>
        <v>0</v>
      </c>
      <c r="BV183" s="6">
        <f t="shared" si="15"/>
        <v>0</v>
      </c>
      <c r="BW183" s="6">
        <f t="shared" si="16"/>
        <v>0</v>
      </c>
      <c r="BX183" s="6">
        <f t="shared" si="17"/>
        <v>0</v>
      </c>
    </row>
    <row r="184" spans="1:76" x14ac:dyDescent="0.35">
      <c r="A184" t="s">
        <v>2010</v>
      </c>
      <c r="B184" t="s">
        <v>107</v>
      </c>
      <c r="C184" t="s">
        <v>107</v>
      </c>
      <c r="F184" t="s">
        <v>533</v>
      </c>
      <c r="G184" t="s">
        <v>534</v>
      </c>
      <c r="H184" t="s">
        <v>535</v>
      </c>
      <c r="I184" t="s">
        <v>536</v>
      </c>
      <c r="J184" t="s">
        <v>113</v>
      </c>
      <c r="K184" s="8" t="s">
        <v>114</v>
      </c>
      <c r="L184" t="s">
        <v>114</v>
      </c>
      <c r="M184" s="6">
        <v>0</v>
      </c>
      <c r="N184" t="s">
        <v>114</v>
      </c>
      <c r="O184" s="6">
        <v>0</v>
      </c>
      <c r="P184" t="s">
        <v>114</v>
      </c>
      <c r="Q184" s="6">
        <v>0</v>
      </c>
      <c r="R184" s="7">
        <f t="shared" si="12"/>
        <v>0</v>
      </c>
      <c r="S184" t="s">
        <v>114</v>
      </c>
      <c r="T184" t="s">
        <v>114</v>
      </c>
      <c r="U184" t="s">
        <v>114</v>
      </c>
      <c r="W184" t="s">
        <v>114</v>
      </c>
      <c r="X184" t="s">
        <v>114</v>
      </c>
      <c r="Z184" t="s">
        <v>2011</v>
      </c>
      <c r="AA184" t="s">
        <v>2011</v>
      </c>
      <c r="AB184" s="1" t="s">
        <v>2012</v>
      </c>
      <c r="AC184" t="s">
        <v>2013</v>
      </c>
      <c r="AD184" t="s">
        <v>2014</v>
      </c>
      <c r="AH184" t="s">
        <v>123</v>
      </c>
      <c r="AI184" t="s">
        <v>124</v>
      </c>
      <c r="AJ184" t="s">
        <v>2015</v>
      </c>
      <c r="AK184" t="s">
        <v>126</v>
      </c>
      <c r="AL184" t="s">
        <v>127</v>
      </c>
      <c r="AN184" t="s">
        <v>2016</v>
      </c>
      <c r="AO184" t="s">
        <v>2017</v>
      </c>
      <c r="AP184" t="s">
        <v>2018</v>
      </c>
      <c r="AQ184" t="s">
        <v>131</v>
      </c>
      <c r="AR184" t="s">
        <v>132</v>
      </c>
      <c r="AS184" t="s">
        <v>387</v>
      </c>
      <c r="AT184" t="s">
        <v>2019</v>
      </c>
      <c r="AV184" t="s">
        <v>375</v>
      </c>
      <c r="AW184" t="s">
        <v>316</v>
      </c>
      <c r="AY184" t="s">
        <v>547</v>
      </c>
      <c r="AZ184" t="s">
        <v>364</v>
      </c>
      <c r="BA184" t="s">
        <v>2020</v>
      </c>
      <c r="BC184" t="s">
        <v>140</v>
      </c>
      <c r="BT184" s="7">
        <f t="shared" si="13"/>
        <v>0</v>
      </c>
      <c r="BU184" s="6">
        <f t="shared" si="14"/>
        <v>0</v>
      </c>
      <c r="BV184" s="6">
        <f t="shared" si="15"/>
        <v>0</v>
      </c>
      <c r="BW184" s="6">
        <f t="shared" si="16"/>
        <v>0</v>
      </c>
      <c r="BX184" s="6">
        <f t="shared" si="17"/>
        <v>0</v>
      </c>
    </row>
    <row r="185" spans="1:76" x14ac:dyDescent="0.35">
      <c r="A185" t="s">
        <v>2021</v>
      </c>
      <c r="B185" t="s">
        <v>107</v>
      </c>
      <c r="C185" t="s">
        <v>107</v>
      </c>
      <c r="E185" t="s">
        <v>108</v>
      </c>
      <c r="F185" t="s">
        <v>358</v>
      </c>
      <c r="G185" t="s">
        <v>359</v>
      </c>
      <c r="H185" t="s">
        <v>360</v>
      </c>
      <c r="I185" t="s">
        <v>341</v>
      </c>
      <c r="J185" t="s">
        <v>113</v>
      </c>
      <c r="K185" s="8" t="s">
        <v>114</v>
      </c>
      <c r="L185" t="s">
        <v>361</v>
      </c>
      <c r="M185" s="6">
        <v>233</v>
      </c>
      <c r="N185" t="s">
        <v>113</v>
      </c>
      <c r="O185" s="6">
        <v>127</v>
      </c>
      <c r="P185" t="s">
        <v>562</v>
      </c>
      <c r="Q185" s="6">
        <v>0</v>
      </c>
      <c r="R185" s="7">
        <f t="shared" si="12"/>
        <v>106</v>
      </c>
      <c r="S185" t="s">
        <v>180</v>
      </c>
      <c r="T185" t="s">
        <v>114</v>
      </c>
      <c r="U185" t="s">
        <v>180</v>
      </c>
      <c r="W185" t="s">
        <v>114</v>
      </c>
      <c r="X185" t="s">
        <v>562</v>
      </c>
      <c r="Z185" t="s">
        <v>2022</v>
      </c>
      <c r="AA185" t="s">
        <v>2023</v>
      </c>
      <c r="AB185" s="1" t="s">
        <v>2024</v>
      </c>
      <c r="AC185" t="s">
        <v>2025</v>
      </c>
      <c r="AD185" t="s">
        <v>2026</v>
      </c>
      <c r="AH185" t="s">
        <v>123</v>
      </c>
      <c r="AI185" t="s">
        <v>124</v>
      </c>
      <c r="AJ185" t="s">
        <v>2027</v>
      </c>
      <c r="AK185" t="s">
        <v>126</v>
      </c>
      <c r="AL185" t="s">
        <v>127</v>
      </c>
      <c r="AN185" t="s">
        <v>2028</v>
      </c>
      <c r="AO185" t="s">
        <v>2029</v>
      </c>
      <c r="AP185" t="s">
        <v>2030</v>
      </c>
      <c r="AQ185" t="s">
        <v>131</v>
      </c>
      <c r="AR185" t="s">
        <v>403</v>
      </c>
      <c r="AS185" t="s">
        <v>839</v>
      </c>
      <c r="AT185" t="s">
        <v>840</v>
      </c>
      <c r="AV185" t="s">
        <v>495</v>
      </c>
      <c r="AX185" t="s">
        <v>155</v>
      </c>
      <c r="AY185" t="s">
        <v>177</v>
      </c>
      <c r="AZ185" t="s">
        <v>364</v>
      </c>
      <c r="BA185" t="s">
        <v>2031</v>
      </c>
      <c r="BC185" t="s">
        <v>140</v>
      </c>
      <c r="BT185" s="7">
        <f t="shared" si="13"/>
        <v>106</v>
      </c>
      <c r="BU185" s="6">
        <f t="shared" si="14"/>
        <v>99.065420560747654</v>
      </c>
      <c r="BV185" s="6">
        <f t="shared" si="15"/>
        <v>6.9345794392523361</v>
      </c>
      <c r="BW185" s="6">
        <f t="shared" si="16"/>
        <v>105.99999999999999</v>
      </c>
      <c r="BX185" s="6">
        <f t="shared" si="17"/>
        <v>0</v>
      </c>
    </row>
    <row r="186" spans="1:76" x14ac:dyDescent="0.35">
      <c r="A186" t="s">
        <v>2021</v>
      </c>
      <c r="B186" t="s">
        <v>107</v>
      </c>
      <c r="C186" t="s">
        <v>107</v>
      </c>
      <c r="E186" t="s">
        <v>108</v>
      </c>
      <c r="F186" t="s">
        <v>338</v>
      </c>
      <c r="G186" t="s">
        <v>339</v>
      </c>
      <c r="H186" t="s">
        <v>340</v>
      </c>
      <c r="I186" t="s">
        <v>341</v>
      </c>
      <c r="J186" t="s">
        <v>113</v>
      </c>
      <c r="K186" s="8" t="s">
        <v>114</v>
      </c>
      <c r="L186" t="s">
        <v>114</v>
      </c>
      <c r="M186" s="6">
        <v>0</v>
      </c>
      <c r="N186" t="s">
        <v>114</v>
      </c>
      <c r="O186" s="6">
        <v>0</v>
      </c>
      <c r="P186" t="s">
        <v>114</v>
      </c>
      <c r="Q186" s="6">
        <v>0</v>
      </c>
      <c r="R186" s="7">
        <f t="shared" si="12"/>
        <v>0</v>
      </c>
      <c r="S186" t="s">
        <v>180</v>
      </c>
      <c r="T186" t="s">
        <v>114</v>
      </c>
      <c r="U186" t="s">
        <v>180</v>
      </c>
      <c r="W186" t="s">
        <v>114</v>
      </c>
      <c r="X186" t="s">
        <v>562</v>
      </c>
      <c r="Z186" t="s">
        <v>2022</v>
      </c>
      <c r="AA186" t="s">
        <v>2023</v>
      </c>
      <c r="AB186" s="1" t="s">
        <v>2024</v>
      </c>
      <c r="AC186" t="s">
        <v>2025</v>
      </c>
      <c r="AD186" t="s">
        <v>2026</v>
      </c>
      <c r="AH186" t="s">
        <v>123</v>
      </c>
      <c r="AI186" t="s">
        <v>124</v>
      </c>
      <c r="AJ186" t="s">
        <v>2027</v>
      </c>
      <c r="AK186" t="s">
        <v>126</v>
      </c>
      <c r="AL186" t="s">
        <v>127</v>
      </c>
      <c r="AN186" t="s">
        <v>2028</v>
      </c>
      <c r="AO186" t="s">
        <v>2029</v>
      </c>
      <c r="AP186" t="s">
        <v>2030</v>
      </c>
      <c r="AQ186" t="s">
        <v>131</v>
      </c>
      <c r="AR186" t="s">
        <v>403</v>
      </c>
      <c r="AS186" t="s">
        <v>839</v>
      </c>
      <c r="AT186" t="s">
        <v>840</v>
      </c>
      <c r="AV186" t="s">
        <v>495</v>
      </c>
      <c r="AX186" t="s">
        <v>155</v>
      </c>
      <c r="AY186" t="s">
        <v>177</v>
      </c>
      <c r="AZ186" t="s">
        <v>356</v>
      </c>
      <c r="BA186" t="s">
        <v>2031</v>
      </c>
      <c r="BC186" t="s">
        <v>140</v>
      </c>
      <c r="BT186" s="7">
        <f t="shared" si="13"/>
        <v>0</v>
      </c>
      <c r="BU186" s="6">
        <f t="shared" si="14"/>
        <v>0</v>
      </c>
      <c r="BV186" s="6">
        <f t="shared" si="15"/>
        <v>0</v>
      </c>
      <c r="BW186" s="6">
        <f t="shared" si="16"/>
        <v>0</v>
      </c>
      <c r="BX186" s="6">
        <f t="shared" si="17"/>
        <v>0</v>
      </c>
    </row>
    <row r="187" spans="1:76" x14ac:dyDescent="0.35">
      <c r="A187" t="s">
        <v>2032</v>
      </c>
      <c r="B187" t="s">
        <v>107</v>
      </c>
      <c r="C187" t="s">
        <v>107</v>
      </c>
      <c r="F187" t="s">
        <v>158</v>
      </c>
      <c r="G187" t="s">
        <v>159</v>
      </c>
      <c r="H187" t="s">
        <v>111</v>
      </c>
      <c r="I187" t="s">
        <v>341</v>
      </c>
      <c r="J187" t="s">
        <v>113</v>
      </c>
      <c r="K187" s="8" t="s">
        <v>114</v>
      </c>
      <c r="L187" t="s">
        <v>114</v>
      </c>
      <c r="M187" s="6">
        <v>0</v>
      </c>
      <c r="N187" t="s">
        <v>114</v>
      </c>
      <c r="O187" s="6">
        <v>0</v>
      </c>
      <c r="P187" t="s">
        <v>114</v>
      </c>
      <c r="Q187" s="6">
        <v>0</v>
      </c>
      <c r="R187" s="7">
        <f t="shared" si="12"/>
        <v>0</v>
      </c>
      <c r="S187" t="s">
        <v>114</v>
      </c>
      <c r="T187" t="s">
        <v>114</v>
      </c>
      <c r="U187" t="s">
        <v>114</v>
      </c>
      <c r="W187" t="s">
        <v>114</v>
      </c>
      <c r="X187" t="s">
        <v>114</v>
      </c>
      <c r="Z187" t="s">
        <v>2033</v>
      </c>
      <c r="AA187" t="s">
        <v>2033</v>
      </c>
      <c r="AB187" s="1" t="s">
        <v>2034</v>
      </c>
      <c r="AC187" t="s">
        <v>2035</v>
      </c>
      <c r="AD187" t="s">
        <v>2036</v>
      </c>
      <c r="AH187" t="s">
        <v>123</v>
      </c>
      <c r="AI187" t="s">
        <v>124</v>
      </c>
      <c r="AJ187" t="s">
        <v>2037</v>
      </c>
      <c r="AK187" t="s">
        <v>126</v>
      </c>
      <c r="AL187" t="s">
        <v>127</v>
      </c>
      <c r="AN187" t="s">
        <v>2038</v>
      </c>
      <c r="AO187" t="s">
        <v>2039</v>
      </c>
      <c r="AP187" t="s">
        <v>2040</v>
      </c>
      <c r="AQ187" t="s">
        <v>131</v>
      </c>
      <c r="AR187" t="s">
        <v>132</v>
      </c>
      <c r="AS187" t="s">
        <v>297</v>
      </c>
      <c r="AT187" t="s">
        <v>2041</v>
      </c>
      <c r="AV187" t="s">
        <v>918</v>
      </c>
      <c r="AW187" t="s">
        <v>585</v>
      </c>
      <c r="AY187" t="s">
        <v>177</v>
      </c>
      <c r="AZ187" t="s">
        <v>138</v>
      </c>
      <c r="BA187" t="s">
        <v>2042</v>
      </c>
      <c r="BC187" t="s">
        <v>140</v>
      </c>
      <c r="BT187" s="7">
        <f t="shared" si="13"/>
        <v>0</v>
      </c>
      <c r="BU187" s="6">
        <f t="shared" si="14"/>
        <v>0</v>
      </c>
      <c r="BV187" s="6">
        <f t="shared" si="15"/>
        <v>0</v>
      </c>
      <c r="BW187" s="6">
        <f t="shared" si="16"/>
        <v>0</v>
      </c>
      <c r="BX187" s="6">
        <f t="shared" si="17"/>
        <v>0</v>
      </c>
    </row>
    <row r="188" spans="1:76" x14ac:dyDescent="0.35">
      <c r="A188" t="s">
        <v>2032</v>
      </c>
      <c r="B188" t="s">
        <v>107</v>
      </c>
      <c r="C188" t="s">
        <v>107</v>
      </c>
      <c r="F188" t="s">
        <v>533</v>
      </c>
      <c r="G188" t="s">
        <v>534</v>
      </c>
      <c r="H188" t="s">
        <v>535</v>
      </c>
      <c r="I188" t="s">
        <v>536</v>
      </c>
      <c r="J188" t="s">
        <v>113</v>
      </c>
      <c r="K188" s="8" t="s">
        <v>114</v>
      </c>
      <c r="L188" t="s">
        <v>114</v>
      </c>
      <c r="M188" s="6">
        <v>0</v>
      </c>
      <c r="N188" t="s">
        <v>114</v>
      </c>
      <c r="O188" s="6">
        <v>0</v>
      </c>
      <c r="P188" t="s">
        <v>114</v>
      </c>
      <c r="Q188" s="6">
        <v>0</v>
      </c>
      <c r="R188" s="7">
        <f t="shared" si="12"/>
        <v>0</v>
      </c>
      <c r="S188" t="s">
        <v>114</v>
      </c>
      <c r="T188" t="s">
        <v>114</v>
      </c>
      <c r="U188" t="s">
        <v>114</v>
      </c>
      <c r="W188" t="s">
        <v>114</v>
      </c>
      <c r="X188" t="s">
        <v>114</v>
      </c>
      <c r="Z188" t="s">
        <v>2033</v>
      </c>
      <c r="AA188" t="s">
        <v>2033</v>
      </c>
      <c r="AB188" s="1" t="s">
        <v>2034</v>
      </c>
      <c r="AC188" t="s">
        <v>2035</v>
      </c>
      <c r="AD188" t="s">
        <v>2036</v>
      </c>
      <c r="AH188" t="s">
        <v>123</v>
      </c>
      <c r="AI188" t="s">
        <v>124</v>
      </c>
      <c r="AJ188" t="s">
        <v>2037</v>
      </c>
      <c r="AK188" t="s">
        <v>126</v>
      </c>
      <c r="AL188" t="s">
        <v>127</v>
      </c>
      <c r="AN188" t="s">
        <v>2038</v>
      </c>
      <c r="AO188" t="s">
        <v>2039</v>
      </c>
      <c r="AP188" t="s">
        <v>2040</v>
      </c>
      <c r="AQ188" t="s">
        <v>131</v>
      </c>
      <c r="AR188" t="s">
        <v>132</v>
      </c>
      <c r="AS188" t="s">
        <v>297</v>
      </c>
      <c r="AT188" t="s">
        <v>2041</v>
      </c>
      <c r="AV188" t="s">
        <v>918</v>
      </c>
      <c r="AW188" t="s">
        <v>585</v>
      </c>
      <c r="AY188" t="s">
        <v>547</v>
      </c>
      <c r="AZ188" t="s">
        <v>364</v>
      </c>
      <c r="BA188" t="s">
        <v>2042</v>
      </c>
      <c r="BC188" t="s">
        <v>140</v>
      </c>
      <c r="BT188" s="7">
        <f t="shared" si="13"/>
        <v>0</v>
      </c>
      <c r="BU188" s="6">
        <f t="shared" si="14"/>
        <v>0</v>
      </c>
      <c r="BV188" s="6">
        <f t="shared" si="15"/>
        <v>0</v>
      </c>
      <c r="BW188" s="6">
        <f t="shared" si="16"/>
        <v>0</v>
      </c>
      <c r="BX188" s="6">
        <f t="shared" si="17"/>
        <v>0</v>
      </c>
    </row>
    <row r="189" spans="1:76" x14ac:dyDescent="0.35">
      <c r="A189" t="s">
        <v>2043</v>
      </c>
      <c r="B189" t="s">
        <v>107</v>
      </c>
      <c r="C189" t="s">
        <v>107</v>
      </c>
      <c r="F189" t="s">
        <v>613</v>
      </c>
      <c r="G189" t="s">
        <v>614</v>
      </c>
      <c r="H189" t="s">
        <v>615</v>
      </c>
      <c r="I189" t="s">
        <v>271</v>
      </c>
      <c r="J189" t="s">
        <v>113</v>
      </c>
      <c r="K189" s="8" t="s">
        <v>114</v>
      </c>
      <c r="L189" t="s">
        <v>114</v>
      </c>
      <c r="M189" s="6">
        <v>0</v>
      </c>
      <c r="N189" t="s">
        <v>114</v>
      </c>
      <c r="O189" s="6">
        <v>0</v>
      </c>
      <c r="P189" t="s">
        <v>114</v>
      </c>
      <c r="Q189" s="6">
        <v>0</v>
      </c>
      <c r="R189" s="7">
        <f t="shared" si="12"/>
        <v>0</v>
      </c>
      <c r="S189" t="s">
        <v>114</v>
      </c>
      <c r="T189" t="s">
        <v>114</v>
      </c>
      <c r="U189" t="s">
        <v>114</v>
      </c>
      <c r="W189" t="s">
        <v>114</v>
      </c>
      <c r="X189" t="s">
        <v>114</v>
      </c>
      <c r="Z189" t="s">
        <v>2044</v>
      </c>
      <c r="AA189" t="s">
        <v>2044</v>
      </c>
      <c r="AB189" s="1" t="s">
        <v>2045</v>
      </c>
      <c r="AC189" t="s">
        <v>2046</v>
      </c>
      <c r="AD189" t="s">
        <v>2047</v>
      </c>
      <c r="AH189" t="s">
        <v>123</v>
      </c>
      <c r="AI189" t="s">
        <v>124</v>
      </c>
      <c r="AJ189" t="s">
        <v>2048</v>
      </c>
      <c r="AK189" t="s">
        <v>126</v>
      </c>
      <c r="AL189" t="s">
        <v>127</v>
      </c>
      <c r="AN189" t="s">
        <v>2049</v>
      </c>
      <c r="AO189" t="s">
        <v>2050</v>
      </c>
      <c r="AP189" t="s">
        <v>2051</v>
      </c>
      <c r="AQ189" t="s">
        <v>131</v>
      </c>
      <c r="AR189" t="s">
        <v>233</v>
      </c>
      <c r="AS189" t="s">
        <v>2052</v>
      </c>
      <c r="AT189" t="s">
        <v>2053</v>
      </c>
      <c r="AV189" t="s">
        <v>406</v>
      </c>
      <c r="AW189" t="s">
        <v>299</v>
      </c>
      <c r="AY189" t="s">
        <v>177</v>
      </c>
      <c r="AZ189" t="s">
        <v>627</v>
      </c>
      <c r="BA189" t="s">
        <v>2054</v>
      </c>
      <c r="BC189" t="s">
        <v>140</v>
      </c>
      <c r="BT189" s="7">
        <f t="shared" si="13"/>
        <v>0</v>
      </c>
      <c r="BU189" s="6">
        <f t="shared" si="14"/>
        <v>0</v>
      </c>
      <c r="BV189" s="6">
        <f t="shared" si="15"/>
        <v>0</v>
      </c>
      <c r="BW189" s="6">
        <f t="shared" si="16"/>
        <v>0</v>
      </c>
      <c r="BX189" s="6">
        <f t="shared" si="17"/>
        <v>0</v>
      </c>
    </row>
    <row r="190" spans="1:76" x14ac:dyDescent="0.35">
      <c r="A190" t="s">
        <v>2055</v>
      </c>
      <c r="B190" t="s">
        <v>107</v>
      </c>
      <c r="C190" t="s">
        <v>107</v>
      </c>
      <c r="F190" t="s">
        <v>158</v>
      </c>
      <c r="G190" t="s">
        <v>159</v>
      </c>
      <c r="H190" t="s">
        <v>111</v>
      </c>
      <c r="I190" t="s">
        <v>341</v>
      </c>
      <c r="J190" t="s">
        <v>113</v>
      </c>
      <c r="K190" s="8" t="s">
        <v>114</v>
      </c>
      <c r="L190" t="s">
        <v>114</v>
      </c>
      <c r="M190" s="6">
        <v>0</v>
      </c>
      <c r="N190" t="s">
        <v>114</v>
      </c>
      <c r="O190" s="6">
        <v>0</v>
      </c>
      <c r="P190" t="s">
        <v>114</v>
      </c>
      <c r="Q190" s="6">
        <v>0</v>
      </c>
      <c r="R190" s="7">
        <f t="shared" si="12"/>
        <v>0</v>
      </c>
      <c r="S190" t="s">
        <v>114</v>
      </c>
      <c r="T190" t="s">
        <v>114</v>
      </c>
      <c r="U190" t="s">
        <v>114</v>
      </c>
      <c r="W190" t="s">
        <v>114</v>
      </c>
      <c r="X190" t="s">
        <v>114</v>
      </c>
      <c r="Z190" t="s">
        <v>2056</v>
      </c>
      <c r="AA190" t="s">
        <v>2057</v>
      </c>
      <c r="AB190" s="1" t="s">
        <v>2058</v>
      </c>
      <c r="AC190" t="s">
        <v>2059</v>
      </c>
      <c r="AD190" t="s">
        <v>2060</v>
      </c>
      <c r="AH190" t="s">
        <v>123</v>
      </c>
      <c r="AI190" t="s">
        <v>124</v>
      </c>
      <c r="AJ190" t="s">
        <v>2061</v>
      </c>
      <c r="AK190" t="s">
        <v>126</v>
      </c>
      <c r="AL190" t="s">
        <v>127</v>
      </c>
      <c r="AN190" t="s">
        <v>2062</v>
      </c>
      <c r="AO190" t="s">
        <v>2063</v>
      </c>
      <c r="AP190" t="s">
        <v>2064</v>
      </c>
      <c r="AQ190" t="s">
        <v>131</v>
      </c>
      <c r="AR190" t="s">
        <v>132</v>
      </c>
      <c r="AS190" t="s">
        <v>2065</v>
      </c>
      <c r="AT190" t="s">
        <v>2066</v>
      </c>
      <c r="AV190" t="s">
        <v>1665</v>
      </c>
      <c r="AW190" t="s">
        <v>918</v>
      </c>
      <c r="AY190" t="s">
        <v>177</v>
      </c>
      <c r="AZ190" t="s">
        <v>138</v>
      </c>
      <c r="BA190" t="s">
        <v>2067</v>
      </c>
      <c r="BC190" t="s">
        <v>140</v>
      </c>
      <c r="BT190" s="7">
        <f t="shared" si="13"/>
        <v>0</v>
      </c>
      <c r="BU190" s="6">
        <f t="shared" si="14"/>
        <v>0</v>
      </c>
      <c r="BV190" s="6">
        <f t="shared" si="15"/>
        <v>0</v>
      </c>
      <c r="BW190" s="6">
        <f t="shared" si="16"/>
        <v>0</v>
      </c>
      <c r="BX190" s="6">
        <f t="shared" si="17"/>
        <v>0</v>
      </c>
    </row>
    <row r="191" spans="1:76" x14ac:dyDescent="0.35">
      <c r="A191" t="s">
        <v>2068</v>
      </c>
      <c r="B191" t="s">
        <v>107</v>
      </c>
      <c r="C191" t="s">
        <v>107</v>
      </c>
      <c r="F191" t="s">
        <v>158</v>
      </c>
      <c r="G191" t="s">
        <v>159</v>
      </c>
      <c r="H191" t="s">
        <v>111</v>
      </c>
      <c r="I191" t="s">
        <v>341</v>
      </c>
      <c r="J191" t="s">
        <v>113</v>
      </c>
      <c r="K191" s="8" t="s">
        <v>114</v>
      </c>
      <c r="L191" t="s">
        <v>114</v>
      </c>
      <c r="M191" s="6">
        <v>0</v>
      </c>
      <c r="N191" t="s">
        <v>114</v>
      </c>
      <c r="O191" s="6">
        <v>0</v>
      </c>
      <c r="P191" t="s">
        <v>114</v>
      </c>
      <c r="Q191" s="6">
        <v>0</v>
      </c>
      <c r="R191" s="7">
        <f t="shared" si="12"/>
        <v>0</v>
      </c>
      <c r="S191" t="s">
        <v>114</v>
      </c>
      <c r="T191" t="s">
        <v>114</v>
      </c>
      <c r="U191" t="s">
        <v>114</v>
      </c>
      <c r="W191" t="s">
        <v>114</v>
      </c>
      <c r="X191" t="s">
        <v>114</v>
      </c>
      <c r="Z191" t="s">
        <v>2069</v>
      </c>
      <c r="AA191" t="s">
        <v>2069</v>
      </c>
      <c r="AB191" s="1" t="s">
        <v>2070</v>
      </c>
      <c r="AC191" t="s">
        <v>2071</v>
      </c>
      <c r="AD191" t="s">
        <v>2072</v>
      </c>
      <c r="AH191" t="s">
        <v>123</v>
      </c>
      <c r="AI191" t="s">
        <v>124</v>
      </c>
      <c r="AJ191" t="s">
        <v>2073</v>
      </c>
      <c r="AK191" t="s">
        <v>126</v>
      </c>
      <c r="AL191" t="s">
        <v>127</v>
      </c>
      <c r="AN191" t="s">
        <v>2074</v>
      </c>
      <c r="AO191" t="s">
        <v>1520</v>
      </c>
      <c r="AP191" t="s">
        <v>2075</v>
      </c>
      <c r="AQ191" t="s">
        <v>131</v>
      </c>
      <c r="AR191" t="s">
        <v>132</v>
      </c>
      <c r="AS191" t="s">
        <v>2076</v>
      </c>
      <c r="AT191" t="s">
        <v>2077</v>
      </c>
      <c r="AV191" t="s">
        <v>516</v>
      </c>
      <c r="AW191" t="s">
        <v>1045</v>
      </c>
      <c r="AY191" t="s">
        <v>177</v>
      </c>
      <c r="AZ191" t="s">
        <v>138</v>
      </c>
      <c r="BA191" t="s">
        <v>2078</v>
      </c>
      <c r="BC191" t="s">
        <v>140</v>
      </c>
      <c r="BT191" s="7">
        <f t="shared" si="13"/>
        <v>0</v>
      </c>
      <c r="BU191" s="6">
        <f t="shared" si="14"/>
        <v>0</v>
      </c>
      <c r="BV191" s="6">
        <f t="shared" si="15"/>
        <v>0</v>
      </c>
      <c r="BW191" s="6">
        <f t="shared" si="16"/>
        <v>0</v>
      </c>
      <c r="BX191" s="6">
        <f t="shared" si="17"/>
        <v>0</v>
      </c>
    </row>
    <row r="192" spans="1:76" x14ac:dyDescent="0.35">
      <c r="A192" t="s">
        <v>2079</v>
      </c>
      <c r="B192" t="s">
        <v>107</v>
      </c>
      <c r="C192" t="s">
        <v>107</v>
      </c>
      <c r="E192" t="s">
        <v>108</v>
      </c>
      <c r="F192" t="s">
        <v>158</v>
      </c>
      <c r="G192" t="s">
        <v>159</v>
      </c>
      <c r="H192" t="s">
        <v>111</v>
      </c>
      <c r="I192" t="s">
        <v>341</v>
      </c>
      <c r="J192" t="s">
        <v>113</v>
      </c>
      <c r="K192" s="8" t="s">
        <v>114</v>
      </c>
      <c r="L192" t="s">
        <v>161</v>
      </c>
      <c r="M192" s="6">
        <v>459</v>
      </c>
      <c r="N192" t="s">
        <v>436</v>
      </c>
      <c r="O192" s="6">
        <v>220</v>
      </c>
      <c r="P192" t="s">
        <v>1876</v>
      </c>
      <c r="Q192" s="6">
        <v>1</v>
      </c>
      <c r="R192" s="7">
        <f t="shared" si="12"/>
        <v>240</v>
      </c>
      <c r="S192" t="s">
        <v>142</v>
      </c>
      <c r="T192" t="s">
        <v>114</v>
      </c>
      <c r="U192" t="s">
        <v>1644</v>
      </c>
      <c r="W192" t="s">
        <v>114</v>
      </c>
      <c r="X192" t="s">
        <v>2080</v>
      </c>
      <c r="Z192" t="s">
        <v>2081</v>
      </c>
      <c r="AA192" t="s">
        <v>2082</v>
      </c>
      <c r="AB192" s="1" t="s">
        <v>2083</v>
      </c>
      <c r="AC192" t="s">
        <v>2084</v>
      </c>
      <c r="AD192" t="s">
        <v>2082</v>
      </c>
      <c r="AH192" t="s">
        <v>123</v>
      </c>
      <c r="AI192" t="s">
        <v>124</v>
      </c>
      <c r="AJ192" t="s">
        <v>2085</v>
      </c>
      <c r="AK192" t="s">
        <v>126</v>
      </c>
      <c r="AL192" t="s">
        <v>127</v>
      </c>
      <c r="AN192" t="s">
        <v>2086</v>
      </c>
      <c r="AO192" t="s">
        <v>2017</v>
      </c>
      <c r="AP192" t="s">
        <v>2087</v>
      </c>
      <c r="AQ192" t="s">
        <v>131</v>
      </c>
      <c r="AR192" t="s">
        <v>132</v>
      </c>
      <c r="AS192" t="s">
        <v>152</v>
      </c>
      <c r="AT192" t="s">
        <v>637</v>
      </c>
      <c r="AV192" t="s">
        <v>759</v>
      </c>
      <c r="AX192" t="s">
        <v>136</v>
      </c>
      <c r="AY192" t="s">
        <v>177</v>
      </c>
      <c r="AZ192" t="s">
        <v>138</v>
      </c>
      <c r="BA192" t="s">
        <v>2088</v>
      </c>
      <c r="BC192" t="s">
        <v>140</v>
      </c>
      <c r="BT192" s="7">
        <f t="shared" si="13"/>
        <v>240</v>
      </c>
      <c r="BU192" s="6">
        <f t="shared" si="14"/>
        <v>224.29906542056074</v>
      </c>
      <c r="BV192" s="6">
        <f t="shared" si="15"/>
        <v>15.700934579439252</v>
      </c>
      <c r="BW192" s="6">
        <f t="shared" si="16"/>
        <v>240</v>
      </c>
      <c r="BX192" s="6">
        <f t="shared" si="17"/>
        <v>0</v>
      </c>
    </row>
    <row r="193" spans="1:76" x14ac:dyDescent="0.35">
      <c r="A193" t="s">
        <v>2089</v>
      </c>
      <c r="B193" t="s">
        <v>107</v>
      </c>
      <c r="C193" t="s">
        <v>107</v>
      </c>
      <c r="E193" t="s">
        <v>108</v>
      </c>
      <c r="F193" t="s">
        <v>158</v>
      </c>
      <c r="G193" t="s">
        <v>159</v>
      </c>
      <c r="H193" t="s">
        <v>111</v>
      </c>
      <c r="I193" t="s">
        <v>341</v>
      </c>
      <c r="J193" t="s">
        <v>113</v>
      </c>
      <c r="K193" s="8" t="s">
        <v>114</v>
      </c>
      <c r="L193" t="s">
        <v>161</v>
      </c>
      <c r="M193" s="6">
        <v>459</v>
      </c>
      <c r="N193" t="s">
        <v>994</v>
      </c>
      <c r="O193" s="6">
        <v>220</v>
      </c>
      <c r="P193" t="s">
        <v>1151</v>
      </c>
      <c r="Q193" s="6">
        <v>0</v>
      </c>
      <c r="R193" s="7">
        <f t="shared" si="12"/>
        <v>239</v>
      </c>
      <c r="S193" t="s">
        <v>142</v>
      </c>
      <c r="T193" t="s">
        <v>114</v>
      </c>
      <c r="U193" t="s">
        <v>142</v>
      </c>
      <c r="W193" t="s">
        <v>114</v>
      </c>
      <c r="X193" t="s">
        <v>1151</v>
      </c>
      <c r="Z193" t="s">
        <v>2090</v>
      </c>
      <c r="AA193" t="s">
        <v>2091</v>
      </c>
      <c r="AB193" s="1" t="s">
        <v>2092</v>
      </c>
      <c r="AC193" t="s">
        <v>2093</v>
      </c>
      <c r="AD193" t="s">
        <v>2091</v>
      </c>
      <c r="AH193" t="s">
        <v>123</v>
      </c>
      <c r="AI193" t="s">
        <v>124</v>
      </c>
      <c r="AJ193" t="s">
        <v>2094</v>
      </c>
      <c r="AK193" t="s">
        <v>126</v>
      </c>
      <c r="AL193" t="s">
        <v>127</v>
      </c>
      <c r="AN193" t="s">
        <v>2095</v>
      </c>
      <c r="AO193" t="s">
        <v>1305</v>
      </c>
      <c r="AP193" t="s">
        <v>2096</v>
      </c>
      <c r="AQ193" t="s">
        <v>131</v>
      </c>
      <c r="AR193" t="s">
        <v>132</v>
      </c>
      <c r="AS193" t="s">
        <v>387</v>
      </c>
      <c r="AT193" t="s">
        <v>2019</v>
      </c>
      <c r="AV193" t="s">
        <v>1107</v>
      </c>
      <c r="AW193" t="s">
        <v>798</v>
      </c>
      <c r="AX193" t="s">
        <v>136</v>
      </c>
      <c r="AY193" t="s">
        <v>177</v>
      </c>
      <c r="AZ193" t="s">
        <v>138</v>
      </c>
      <c r="BA193" t="s">
        <v>2097</v>
      </c>
      <c r="BC193" t="s">
        <v>140</v>
      </c>
      <c r="BT193" s="7">
        <f t="shared" si="13"/>
        <v>239</v>
      </c>
      <c r="BU193" s="6">
        <f t="shared" si="14"/>
        <v>223.36448598130841</v>
      </c>
      <c r="BV193" s="6">
        <f t="shared" si="15"/>
        <v>15.635514018691588</v>
      </c>
      <c r="BW193" s="6">
        <f t="shared" si="16"/>
        <v>239</v>
      </c>
      <c r="BX193" s="6">
        <f t="shared" si="17"/>
        <v>0</v>
      </c>
    </row>
    <row r="194" spans="1:76" x14ac:dyDescent="0.35">
      <c r="A194" t="s">
        <v>2098</v>
      </c>
      <c r="B194" t="s">
        <v>107</v>
      </c>
      <c r="C194" t="s">
        <v>107</v>
      </c>
      <c r="E194" t="s">
        <v>108</v>
      </c>
      <c r="F194" t="s">
        <v>158</v>
      </c>
      <c r="G194" t="s">
        <v>159</v>
      </c>
      <c r="H194" t="s">
        <v>111</v>
      </c>
      <c r="I194" t="s">
        <v>341</v>
      </c>
      <c r="J194" t="s">
        <v>113</v>
      </c>
      <c r="K194" s="8" t="s">
        <v>114</v>
      </c>
      <c r="L194" t="s">
        <v>161</v>
      </c>
      <c r="M194" s="6">
        <v>459</v>
      </c>
      <c r="N194" t="s">
        <v>994</v>
      </c>
      <c r="O194" s="6">
        <v>220</v>
      </c>
      <c r="P194" t="s">
        <v>1151</v>
      </c>
      <c r="Q194" s="6">
        <v>0</v>
      </c>
      <c r="R194" s="7">
        <f t="shared" si="12"/>
        <v>239</v>
      </c>
      <c r="S194" t="s">
        <v>180</v>
      </c>
      <c r="T194" t="s">
        <v>114</v>
      </c>
      <c r="U194" t="s">
        <v>180</v>
      </c>
      <c r="W194" t="s">
        <v>114</v>
      </c>
      <c r="X194" t="s">
        <v>1151</v>
      </c>
      <c r="Z194" t="s">
        <v>2099</v>
      </c>
      <c r="AA194" t="s">
        <v>2100</v>
      </c>
      <c r="AB194" s="1" t="s">
        <v>2101</v>
      </c>
      <c r="AC194" t="s">
        <v>2102</v>
      </c>
      <c r="AD194" t="s">
        <v>2100</v>
      </c>
      <c r="AH194" t="s">
        <v>123</v>
      </c>
      <c r="AI194" t="s">
        <v>124</v>
      </c>
      <c r="AJ194" t="s">
        <v>2103</v>
      </c>
      <c r="AK194" t="s">
        <v>126</v>
      </c>
      <c r="AL194" t="s">
        <v>127</v>
      </c>
      <c r="AN194" t="s">
        <v>2104</v>
      </c>
      <c r="AO194" t="s">
        <v>2105</v>
      </c>
      <c r="AP194" t="s">
        <v>2106</v>
      </c>
      <c r="AQ194" t="s">
        <v>131</v>
      </c>
      <c r="AR194" t="s">
        <v>132</v>
      </c>
      <c r="AS194" t="s">
        <v>2107</v>
      </c>
      <c r="AT194" t="s">
        <v>2108</v>
      </c>
      <c r="AV194" t="s">
        <v>219</v>
      </c>
      <c r="AX194" t="s">
        <v>136</v>
      </c>
      <c r="AY194" t="s">
        <v>177</v>
      </c>
      <c r="AZ194" t="s">
        <v>138</v>
      </c>
      <c r="BA194" t="s">
        <v>2109</v>
      </c>
      <c r="BC194" t="s">
        <v>140</v>
      </c>
      <c r="BT194" s="7">
        <f t="shared" si="13"/>
        <v>239</v>
      </c>
      <c r="BU194" s="6">
        <f t="shared" si="14"/>
        <v>223.36448598130841</v>
      </c>
      <c r="BV194" s="6">
        <f t="shared" si="15"/>
        <v>15.635514018691588</v>
      </c>
      <c r="BW194" s="6">
        <f t="shared" si="16"/>
        <v>239</v>
      </c>
      <c r="BX194" s="6">
        <f t="shared" si="17"/>
        <v>0</v>
      </c>
    </row>
    <row r="195" spans="1:76" x14ac:dyDescent="0.35">
      <c r="A195" t="s">
        <v>2110</v>
      </c>
      <c r="B195" t="s">
        <v>107</v>
      </c>
      <c r="C195" t="s">
        <v>107</v>
      </c>
      <c r="E195" t="s">
        <v>108</v>
      </c>
      <c r="F195" t="s">
        <v>158</v>
      </c>
      <c r="G195" t="s">
        <v>159</v>
      </c>
      <c r="H195" t="s">
        <v>111</v>
      </c>
      <c r="I195" t="s">
        <v>341</v>
      </c>
      <c r="J195" t="s">
        <v>113</v>
      </c>
      <c r="K195" s="8" t="s">
        <v>114</v>
      </c>
      <c r="L195" t="s">
        <v>161</v>
      </c>
      <c r="M195" s="6">
        <v>459</v>
      </c>
      <c r="N195" t="s">
        <v>762</v>
      </c>
      <c r="O195" s="6">
        <v>220</v>
      </c>
      <c r="P195" t="s">
        <v>1575</v>
      </c>
      <c r="Q195" s="6">
        <v>0</v>
      </c>
      <c r="R195" s="7">
        <f t="shared" si="12"/>
        <v>239</v>
      </c>
      <c r="S195" t="s">
        <v>142</v>
      </c>
      <c r="T195" t="s">
        <v>114</v>
      </c>
      <c r="U195" t="s">
        <v>142</v>
      </c>
      <c r="W195" t="s">
        <v>114</v>
      </c>
      <c r="X195" t="s">
        <v>1575</v>
      </c>
      <c r="Z195" t="s">
        <v>2111</v>
      </c>
      <c r="AA195" t="s">
        <v>2112</v>
      </c>
      <c r="AB195" s="1" t="s">
        <v>2113</v>
      </c>
      <c r="AC195" t="s">
        <v>2114</v>
      </c>
      <c r="AD195" t="s">
        <v>2115</v>
      </c>
      <c r="AH195" t="s">
        <v>123</v>
      </c>
      <c r="AI195" t="s">
        <v>124</v>
      </c>
      <c r="AJ195" t="s">
        <v>2116</v>
      </c>
      <c r="AK195" t="s">
        <v>126</v>
      </c>
      <c r="AL195" t="s">
        <v>127</v>
      </c>
      <c r="AN195" t="s">
        <v>2117</v>
      </c>
      <c r="AO195" t="s">
        <v>2118</v>
      </c>
      <c r="AP195" t="s">
        <v>2119</v>
      </c>
      <c r="AQ195" t="s">
        <v>131</v>
      </c>
      <c r="AR195" t="s">
        <v>132</v>
      </c>
      <c r="AS195" t="s">
        <v>152</v>
      </c>
      <c r="AT195" t="s">
        <v>2120</v>
      </c>
      <c r="AV195" t="s">
        <v>406</v>
      </c>
      <c r="AX195" t="s">
        <v>176</v>
      </c>
      <c r="AY195" t="s">
        <v>177</v>
      </c>
      <c r="AZ195" t="s">
        <v>138</v>
      </c>
      <c r="BA195" t="s">
        <v>2121</v>
      </c>
      <c r="BC195" t="s">
        <v>140</v>
      </c>
      <c r="BT195" s="7">
        <f t="shared" si="13"/>
        <v>239</v>
      </c>
      <c r="BU195" s="6">
        <f t="shared" si="14"/>
        <v>223.36448598130841</v>
      </c>
      <c r="BV195" s="6">
        <f t="shared" si="15"/>
        <v>15.635514018691588</v>
      </c>
      <c r="BW195" s="6">
        <f t="shared" si="16"/>
        <v>239</v>
      </c>
      <c r="BX195" s="6">
        <f t="shared" si="17"/>
        <v>0</v>
      </c>
    </row>
    <row r="196" spans="1:76" x14ac:dyDescent="0.35">
      <c r="A196" t="s">
        <v>2122</v>
      </c>
      <c r="B196" t="s">
        <v>107</v>
      </c>
      <c r="C196" t="s">
        <v>107</v>
      </c>
      <c r="E196" t="s">
        <v>108</v>
      </c>
      <c r="F196" t="s">
        <v>499</v>
      </c>
      <c r="G196" t="s">
        <v>500</v>
      </c>
      <c r="H196" t="s">
        <v>501</v>
      </c>
      <c r="I196" t="s">
        <v>341</v>
      </c>
      <c r="J196" t="s">
        <v>1548</v>
      </c>
      <c r="K196" s="8" t="s">
        <v>114</v>
      </c>
      <c r="L196" t="s">
        <v>502</v>
      </c>
      <c r="M196" s="6">
        <v>696</v>
      </c>
      <c r="N196" t="s">
        <v>1548</v>
      </c>
      <c r="O196" s="6">
        <v>418</v>
      </c>
      <c r="P196" t="s">
        <v>2125</v>
      </c>
      <c r="Q196" s="6">
        <v>0</v>
      </c>
      <c r="R196" s="7">
        <f t="shared" si="12"/>
        <v>278</v>
      </c>
      <c r="S196" t="s">
        <v>118</v>
      </c>
      <c r="T196" t="s">
        <v>114</v>
      </c>
      <c r="U196" t="s">
        <v>118</v>
      </c>
      <c r="W196" t="s">
        <v>114</v>
      </c>
      <c r="X196" t="s">
        <v>2125</v>
      </c>
      <c r="Z196" t="s">
        <v>2126</v>
      </c>
      <c r="AA196" t="s">
        <v>2127</v>
      </c>
      <c r="AB196" s="1" t="s">
        <v>2128</v>
      </c>
      <c r="AC196" t="s">
        <v>2129</v>
      </c>
      <c r="AD196" t="s">
        <v>2127</v>
      </c>
      <c r="AH196" t="s">
        <v>123</v>
      </c>
      <c r="AI196" t="s">
        <v>124</v>
      </c>
      <c r="AJ196" t="s">
        <v>2130</v>
      </c>
      <c r="AK196" t="s">
        <v>126</v>
      </c>
      <c r="AL196" t="s">
        <v>127</v>
      </c>
      <c r="AN196" t="s">
        <v>2131</v>
      </c>
      <c r="AO196" t="s">
        <v>2132</v>
      </c>
      <c r="AP196" t="s">
        <v>2133</v>
      </c>
      <c r="AQ196" t="s">
        <v>131</v>
      </c>
      <c r="AR196" t="s">
        <v>403</v>
      </c>
      <c r="AS196" t="s">
        <v>2134</v>
      </c>
      <c r="AT196" t="s">
        <v>2135</v>
      </c>
      <c r="AV196" t="s">
        <v>1135</v>
      </c>
      <c r="AX196" t="s">
        <v>136</v>
      </c>
      <c r="AY196" t="s">
        <v>1562</v>
      </c>
      <c r="AZ196" t="s">
        <v>517</v>
      </c>
      <c r="BA196" t="s">
        <v>2136</v>
      </c>
      <c r="BC196" t="s">
        <v>140</v>
      </c>
      <c r="BT196" s="7">
        <f t="shared" si="13"/>
        <v>278</v>
      </c>
      <c r="BU196" s="6">
        <f t="shared" si="14"/>
        <v>259.81308411214951</v>
      </c>
      <c r="BV196" s="6">
        <f t="shared" si="15"/>
        <v>18.186915887850468</v>
      </c>
      <c r="BW196" s="6">
        <f t="shared" si="16"/>
        <v>278</v>
      </c>
      <c r="BX196" s="6">
        <f t="shared" si="17"/>
        <v>0</v>
      </c>
    </row>
    <row r="197" spans="1:76" x14ac:dyDescent="0.35">
      <c r="A197" t="s">
        <v>2137</v>
      </c>
      <c r="B197" t="s">
        <v>107</v>
      </c>
      <c r="C197" t="s">
        <v>107</v>
      </c>
      <c r="E197" t="s">
        <v>108</v>
      </c>
      <c r="F197" t="s">
        <v>158</v>
      </c>
      <c r="G197" t="s">
        <v>159</v>
      </c>
      <c r="H197" t="s">
        <v>111</v>
      </c>
      <c r="I197" t="s">
        <v>341</v>
      </c>
      <c r="J197" t="s">
        <v>113</v>
      </c>
      <c r="K197" s="8" t="s">
        <v>114</v>
      </c>
      <c r="L197" t="s">
        <v>161</v>
      </c>
      <c r="M197" s="6">
        <v>459</v>
      </c>
      <c r="N197" t="s">
        <v>1219</v>
      </c>
      <c r="O197" s="6">
        <v>220</v>
      </c>
      <c r="P197" t="s">
        <v>1220</v>
      </c>
      <c r="Q197" s="6">
        <v>0</v>
      </c>
      <c r="R197" s="7">
        <f t="shared" ref="R197:R260" si="18">M197-O197+Q197</f>
        <v>239</v>
      </c>
      <c r="S197" t="s">
        <v>180</v>
      </c>
      <c r="T197" t="s">
        <v>114</v>
      </c>
      <c r="U197" t="s">
        <v>180</v>
      </c>
      <c r="W197" t="s">
        <v>114</v>
      </c>
      <c r="X197" t="s">
        <v>1220</v>
      </c>
      <c r="Z197" t="s">
        <v>2138</v>
      </c>
      <c r="AA197" t="s">
        <v>2139</v>
      </c>
      <c r="AB197" s="1" t="s">
        <v>2140</v>
      </c>
      <c r="AC197" t="s">
        <v>2141</v>
      </c>
      <c r="AD197" t="s">
        <v>2139</v>
      </c>
      <c r="AH197" t="s">
        <v>123</v>
      </c>
      <c r="AI197" t="s">
        <v>124</v>
      </c>
      <c r="AJ197" t="s">
        <v>2142</v>
      </c>
      <c r="AK197" t="s">
        <v>126</v>
      </c>
      <c r="AL197" t="s">
        <v>127</v>
      </c>
      <c r="AN197" t="s">
        <v>2143</v>
      </c>
      <c r="AO197" t="s">
        <v>2144</v>
      </c>
      <c r="AP197" t="s">
        <v>2145</v>
      </c>
      <c r="AQ197" t="s">
        <v>131</v>
      </c>
      <c r="AR197" t="s">
        <v>132</v>
      </c>
      <c r="AS197" t="s">
        <v>2146</v>
      </c>
      <c r="AT197" t="s">
        <v>2147</v>
      </c>
      <c r="AV197" t="s">
        <v>316</v>
      </c>
      <c r="AX197" t="s">
        <v>136</v>
      </c>
      <c r="AY197" t="s">
        <v>177</v>
      </c>
      <c r="AZ197" t="s">
        <v>138</v>
      </c>
      <c r="BA197" t="s">
        <v>2148</v>
      </c>
      <c r="BC197" t="s">
        <v>140</v>
      </c>
      <c r="BT197" s="7">
        <f t="shared" ref="BT197:BT260" si="19">+R197</f>
        <v>239</v>
      </c>
      <c r="BU197" s="6">
        <f t="shared" ref="BU197:BU260" si="20">+BT197/1.07</f>
        <v>223.36448598130841</v>
      </c>
      <c r="BV197" s="6">
        <f t="shared" ref="BV197:BV260" si="21">+BU197*7/100</f>
        <v>15.635514018691588</v>
      </c>
      <c r="BW197" s="6">
        <f t="shared" ref="BW197:BW260" si="22">+BU197+BV197</f>
        <v>239</v>
      </c>
      <c r="BX197" s="6">
        <f t="shared" ref="BX197:BX260" si="23">+BW197-BT197</f>
        <v>0</v>
      </c>
    </row>
    <row r="198" spans="1:76" x14ac:dyDescent="0.35">
      <c r="A198" t="s">
        <v>2149</v>
      </c>
      <c r="B198" t="s">
        <v>107</v>
      </c>
      <c r="C198" t="s">
        <v>107</v>
      </c>
      <c r="E198" t="s">
        <v>108</v>
      </c>
      <c r="F198" t="s">
        <v>499</v>
      </c>
      <c r="G198" t="s">
        <v>500</v>
      </c>
      <c r="H198" t="s">
        <v>501</v>
      </c>
      <c r="I198" t="s">
        <v>341</v>
      </c>
      <c r="J198" t="s">
        <v>113</v>
      </c>
      <c r="K198" s="8" t="s">
        <v>114</v>
      </c>
      <c r="L198" t="s">
        <v>502</v>
      </c>
      <c r="M198" s="6">
        <v>348</v>
      </c>
      <c r="N198" t="s">
        <v>2150</v>
      </c>
      <c r="O198" s="6">
        <v>209</v>
      </c>
      <c r="P198" t="s">
        <v>2151</v>
      </c>
      <c r="Q198" s="6">
        <v>0</v>
      </c>
      <c r="R198" s="7">
        <f t="shared" si="18"/>
        <v>139</v>
      </c>
      <c r="S198" t="s">
        <v>142</v>
      </c>
      <c r="T198" t="s">
        <v>114</v>
      </c>
      <c r="U198" t="s">
        <v>142</v>
      </c>
      <c r="W198" t="s">
        <v>114</v>
      </c>
      <c r="X198" t="s">
        <v>2151</v>
      </c>
      <c r="Z198" t="s">
        <v>2152</v>
      </c>
      <c r="AA198" t="s">
        <v>2153</v>
      </c>
      <c r="AB198" s="1" t="s">
        <v>2154</v>
      </c>
      <c r="AC198" t="s">
        <v>2155</v>
      </c>
      <c r="AD198" t="s">
        <v>2156</v>
      </c>
      <c r="AH198" t="s">
        <v>123</v>
      </c>
      <c r="AI198" t="s">
        <v>124</v>
      </c>
      <c r="AJ198" t="s">
        <v>2157</v>
      </c>
      <c r="AK198" t="s">
        <v>126</v>
      </c>
      <c r="AL198" t="s">
        <v>127</v>
      </c>
      <c r="AN198" t="s">
        <v>2158</v>
      </c>
      <c r="AO198" t="s">
        <v>2159</v>
      </c>
      <c r="AP198" t="s">
        <v>2160</v>
      </c>
      <c r="AQ198" t="s">
        <v>131</v>
      </c>
      <c r="AR198" t="s">
        <v>132</v>
      </c>
      <c r="AS198" t="s">
        <v>152</v>
      </c>
      <c r="AT198" t="s">
        <v>1730</v>
      </c>
      <c r="AV198" t="s">
        <v>434</v>
      </c>
      <c r="AX198" t="s">
        <v>155</v>
      </c>
      <c r="AY198" t="s">
        <v>177</v>
      </c>
      <c r="AZ198" t="s">
        <v>517</v>
      </c>
      <c r="BA198" t="s">
        <v>2161</v>
      </c>
      <c r="BC198" t="s">
        <v>140</v>
      </c>
      <c r="BT198" s="7">
        <f t="shared" si="19"/>
        <v>139</v>
      </c>
      <c r="BU198" s="6">
        <f t="shared" si="20"/>
        <v>129.90654205607476</v>
      </c>
      <c r="BV198" s="6">
        <f t="shared" si="21"/>
        <v>9.0934579439252339</v>
      </c>
      <c r="BW198" s="6">
        <f t="shared" si="22"/>
        <v>139</v>
      </c>
      <c r="BX198" s="6">
        <f t="shared" si="23"/>
        <v>0</v>
      </c>
    </row>
    <row r="199" spans="1:76" x14ac:dyDescent="0.35">
      <c r="A199" t="s">
        <v>2162</v>
      </c>
      <c r="B199" t="s">
        <v>107</v>
      </c>
      <c r="C199" t="s">
        <v>107</v>
      </c>
      <c r="F199" t="s">
        <v>158</v>
      </c>
      <c r="G199" t="s">
        <v>159</v>
      </c>
      <c r="H199" t="s">
        <v>111</v>
      </c>
      <c r="I199" t="s">
        <v>341</v>
      </c>
      <c r="J199" t="s">
        <v>113</v>
      </c>
      <c r="K199" s="8" t="s">
        <v>114</v>
      </c>
      <c r="L199" t="s">
        <v>114</v>
      </c>
      <c r="M199" s="6">
        <v>0</v>
      </c>
      <c r="N199" t="s">
        <v>114</v>
      </c>
      <c r="O199" s="6">
        <v>0</v>
      </c>
      <c r="P199" t="s">
        <v>114</v>
      </c>
      <c r="Q199" s="6">
        <v>0</v>
      </c>
      <c r="R199" s="7">
        <f t="shared" si="18"/>
        <v>0</v>
      </c>
      <c r="S199" t="s">
        <v>114</v>
      </c>
      <c r="T199" t="s">
        <v>114</v>
      </c>
      <c r="U199" t="s">
        <v>114</v>
      </c>
      <c r="W199" t="s">
        <v>114</v>
      </c>
      <c r="X199" t="s">
        <v>114</v>
      </c>
      <c r="Z199" t="s">
        <v>2163</v>
      </c>
      <c r="AA199" t="s">
        <v>2163</v>
      </c>
      <c r="AB199" s="1" t="s">
        <v>2164</v>
      </c>
      <c r="AC199" t="s">
        <v>2165</v>
      </c>
      <c r="AD199" t="s">
        <v>2166</v>
      </c>
      <c r="AH199" t="s">
        <v>123</v>
      </c>
      <c r="AI199" t="s">
        <v>124</v>
      </c>
      <c r="AJ199" t="s">
        <v>2167</v>
      </c>
      <c r="AK199" t="s">
        <v>126</v>
      </c>
      <c r="AL199" t="s">
        <v>127</v>
      </c>
      <c r="AN199" t="s">
        <v>2168</v>
      </c>
      <c r="AO199" t="s">
        <v>2169</v>
      </c>
      <c r="AP199" t="s">
        <v>2170</v>
      </c>
      <c r="AQ199" t="s">
        <v>131</v>
      </c>
      <c r="AR199" t="s">
        <v>132</v>
      </c>
      <c r="AS199" t="s">
        <v>867</v>
      </c>
      <c r="AT199" t="s">
        <v>868</v>
      </c>
      <c r="AV199" t="s">
        <v>1183</v>
      </c>
      <c r="AY199" t="s">
        <v>177</v>
      </c>
      <c r="AZ199" t="s">
        <v>138</v>
      </c>
      <c r="BA199" t="s">
        <v>2171</v>
      </c>
      <c r="BC199" t="s">
        <v>140</v>
      </c>
      <c r="BT199" s="7">
        <f t="shared" si="19"/>
        <v>0</v>
      </c>
      <c r="BU199" s="6">
        <f t="shared" si="20"/>
        <v>0</v>
      </c>
      <c r="BV199" s="6">
        <f t="shared" si="21"/>
        <v>0</v>
      </c>
      <c r="BW199" s="6">
        <f t="shared" si="22"/>
        <v>0</v>
      </c>
      <c r="BX199" s="6">
        <f t="shared" si="23"/>
        <v>0</v>
      </c>
    </row>
    <row r="200" spans="1:76" x14ac:dyDescent="0.35">
      <c r="A200" t="s">
        <v>2172</v>
      </c>
      <c r="B200" t="s">
        <v>107</v>
      </c>
      <c r="C200" t="s">
        <v>107</v>
      </c>
      <c r="E200" t="s">
        <v>108</v>
      </c>
      <c r="F200" t="s">
        <v>158</v>
      </c>
      <c r="G200" t="s">
        <v>159</v>
      </c>
      <c r="H200" t="s">
        <v>111</v>
      </c>
      <c r="I200" t="s">
        <v>341</v>
      </c>
      <c r="J200" t="s">
        <v>113</v>
      </c>
      <c r="K200" s="8" t="s">
        <v>114</v>
      </c>
      <c r="L200" t="s">
        <v>161</v>
      </c>
      <c r="M200" s="6">
        <v>459</v>
      </c>
      <c r="N200" t="s">
        <v>162</v>
      </c>
      <c r="O200" s="6">
        <v>220</v>
      </c>
      <c r="P200" t="s">
        <v>1206</v>
      </c>
      <c r="Q200" s="6">
        <v>0</v>
      </c>
      <c r="R200" s="7">
        <f t="shared" si="18"/>
        <v>239</v>
      </c>
      <c r="S200" t="s">
        <v>142</v>
      </c>
      <c r="T200" t="s">
        <v>114</v>
      </c>
      <c r="U200" t="s">
        <v>142</v>
      </c>
      <c r="W200" t="s">
        <v>114</v>
      </c>
      <c r="X200" t="s">
        <v>1206</v>
      </c>
      <c r="Z200" t="s">
        <v>2173</v>
      </c>
      <c r="AA200" t="s">
        <v>2174</v>
      </c>
      <c r="AB200" s="1" t="s">
        <v>2175</v>
      </c>
      <c r="AC200" t="s">
        <v>2176</v>
      </c>
      <c r="AD200" t="s">
        <v>2177</v>
      </c>
      <c r="AH200" t="s">
        <v>123</v>
      </c>
      <c r="AI200" t="s">
        <v>124</v>
      </c>
      <c r="AJ200" t="s">
        <v>2178</v>
      </c>
      <c r="AK200" t="s">
        <v>126</v>
      </c>
      <c r="AL200" t="s">
        <v>127</v>
      </c>
      <c r="AN200" t="s">
        <v>2179</v>
      </c>
      <c r="AO200" t="s">
        <v>2180</v>
      </c>
      <c r="AP200" t="s">
        <v>2181</v>
      </c>
      <c r="AQ200" t="s">
        <v>131</v>
      </c>
      <c r="AR200" t="s">
        <v>2182</v>
      </c>
      <c r="AS200" t="s">
        <v>234</v>
      </c>
      <c r="AT200" t="s">
        <v>2183</v>
      </c>
      <c r="AV200" t="s">
        <v>516</v>
      </c>
      <c r="AW200" t="s">
        <v>286</v>
      </c>
      <c r="AX200" t="s">
        <v>176</v>
      </c>
      <c r="AY200" t="s">
        <v>177</v>
      </c>
      <c r="AZ200" t="s">
        <v>138</v>
      </c>
      <c r="BA200" t="s">
        <v>2184</v>
      </c>
      <c r="BC200" t="s">
        <v>140</v>
      </c>
      <c r="BT200" s="7">
        <f t="shared" si="19"/>
        <v>239</v>
      </c>
      <c r="BU200" s="6">
        <f t="shared" si="20"/>
        <v>223.36448598130841</v>
      </c>
      <c r="BV200" s="6">
        <f t="shared" si="21"/>
        <v>15.635514018691588</v>
      </c>
      <c r="BW200" s="6">
        <f t="shared" si="22"/>
        <v>239</v>
      </c>
      <c r="BX200" s="6">
        <f t="shared" si="23"/>
        <v>0</v>
      </c>
    </row>
    <row r="201" spans="1:76" x14ac:dyDescent="0.35">
      <c r="A201" t="s">
        <v>2185</v>
      </c>
      <c r="B201" t="s">
        <v>107</v>
      </c>
      <c r="C201" t="s">
        <v>107</v>
      </c>
      <c r="F201" t="s">
        <v>158</v>
      </c>
      <c r="G201" t="s">
        <v>159</v>
      </c>
      <c r="H201" t="s">
        <v>111</v>
      </c>
      <c r="I201" t="s">
        <v>341</v>
      </c>
      <c r="J201" t="s">
        <v>113</v>
      </c>
      <c r="K201" s="8" t="s">
        <v>114</v>
      </c>
      <c r="L201" t="s">
        <v>114</v>
      </c>
      <c r="M201" s="6">
        <v>0</v>
      </c>
      <c r="N201" t="s">
        <v>114</v>
      </c>
      <c r="O201" s="6">
        <v>0</v>
      </c>
      <c r="P201" t="s">
        <v>114</v>
      </c>
      <c r="Q201" s="6">
        <v>0</v>
      </c>
      <c r="R201" s="7">
        <f t="shared" si="18"/>
        <v>0</v>
      </c>
      <c r="S201" t="s">
        <v>114</v>
      </c>
      <c r="T201" t="s">
        <v>114</v>
      </c>
      <c r="U201" t="s">
        <v>114</v>
      </c>
      <c r="W201" t="s">
        <v>114</v>
      </c>
      <c r="X201" t="s">
        <v>114</v>
      </c>
      <c r="Z201" t="s">
        <v>2186</v>
      </c>
      <c r="AA201" t="s">
        <v>2186</v>
      </c>
      <c r="AB201" s="1" t="s">
        <v>2187</v>
      </c>
      <c r="AC201" t="s">
        <v>2188</v>
      </c>
      <c r="AD201" t="s">
        <v>2189</v>
      </c>
      <c r="AH201" t="s">
        <v>123</v>
      </c>
      <c r="AI201" t="s">
        <v>124</v>
      </c>
      <c r="AJ201" t="s">
        <v>2190</v>
      </c>
      <c r="AK201" t="s">
        <v>126</v>
      </c>
      <c r="AL201" t="s">
        <v>127</v>
      </c>
      <c r="AN201" t="s">
        <v>2191</v>
      </c>
      <c r="AO201" t="s">
        <v>2192</v>
      </c>
      <c r="AP201" t="s">
        <v>2193</v>
      </c>
      <c r="AQ201" t="s">
        <v>131</v>
      </c>
      <c r="AR201" t="s">
        <v>132</v>
      </c>
      <c r="AS201" t="s">
        <v>297</v>
      </c>
      <c r="AT201" t="s">
        <v>2194</v>
      </c>
      <c r="AV201" t="s">
        <v>639</v>
      </c>
      <c r="AW201" t="s">
        <v>2195</v>
      </c>
      <c r="AY201" t="s">
        <v>177</v>
      </c>
      <c r="AZ201" t="s">
        <v>138</v>
      </c>
      <c r="BA201" t="s">
        <v>2196</v>
      </c>
      <c r="BC201" t="s">
        <v>140</v>
      </c>
      <c r="BT201" s="7">
        <f t="shared" si="19"/>
        <v>0</v>
      </c>
      <c r="BU201" s="6">
        <f t="shared" si="20"/>
        <v>0</v>
      </c>
      <c r="BV201" s="6">
        <f t="shared" si="21"/>
        <v>0</v>
      </c>
      <c r="BW201" s="6">
        <f t="shared" si="22"/>
        <v>0</v>
      </c>
      <c r="BX201" s="6">
        <f t="shared" si="23"/>
        <v>0</v>
      </c>
    </row>
    <row r="202" spans="1:76" x14ac:dyDescent="0.35">
      <c r="A202" t="s">
        <v>2197</v>
      </c>
      <c r="B202" t="s">
        <v>336</v>
      </c>
      <c r="C202" t="s">
        <v>336</v>
      </c>
      <c r="D202" t="s">
        <v>337</v>
      </c>
      <c r="E202" t="s">
        <v>108</v>
      </c>
      <c r="F202" t="s">
        <v>158</v>
      </c>
      <c r="G202" t="s">
        <v>159</v>
      </c>
      <c r="H202" t="s">
        <v>111</v>
      </c>
      <c r="I202" t="s">
        <v>341</v>
      </c>
      <c r="J202" t="s">
        <v>113</v>
      </c>
      <c r="K202" s="8" t="s">
        <v>113</v>
      </c>
      <c r="L202" t="s">
        <v>161</v>
      </c>
      <c r="M202" s="6">
        <v>459</v>
      </c>
      <c r="N202" t="s">
        <v>994</v>
      </c>
      <c r="O202" s="6">
        <v>220</v>
      </c>
      <c r="P202" t="s">
        <v>1151</v>
      </c>
      <c r="Q202" s="6">
        <v>0</v>
      </c>
      <c r="R202" s="7">
        <f t="shared" si="18"/>
        <v>239</v>
      </c>
      <c r="S202" t="s">
        <v>180</v>
      </c>
      <c r="T202" t="s">
        <v>114</v>
      </c>
      <c r="U202" t="s">
        <v>180</v>
      </c>
      <c r="W202" t="s">
        <v>114</v>
      </c>
      <c r="X202" t="s">
        <v>1151</v>
      </c>
      <c r="Y202" t="s">
        <v>1151</v>
      </c>
      <c r="Z202" t="s">
        <v>2198</v>
      </c>
      <c r="AE202" t="s">
        <v>2199</v>
      </c>
      <c r="AF202" t="s">
        <v>346</v>
      </c>
      <c r="AG202" t="s">
        <v>347</v>
      </c>
      <c r="AH202" t="s">
        <v>123</v>
      </c>
      <c r="AI202" t="s">
        <v>124</v>
      </c>
      <c r="AK202" t="s">
        <v>126</v>
      </c>
      <c r="AN202" t="s">
        <v>2200</v>
      </c>
      <c r="AO202" t="s">
        <v>2201</v>
      </c>
      <c r="AP202" t="s">
        <v>2202</v>
      </c>
      <c r="AQ202" t="s">
        <v>131</v>
      </c>
      <c r="AR202" t="s">
        <v>132</v>
      </c>
      <c r="AS202" t="s">
        <v>2076</v>
      </c>
      <c r="AT202" t="s">
        <v>2203</v>
      </c>
      <c r="AV202" t="s">
        <v>773</v>
      </c>
      <c r="AX202" t="s">
        <v>136</v>
      </c>
      <c r="AY202" t="s">
        <v>177</v>
      </c>
      <c r="AZ202" t="s">
        <v>138</v>
      </c>
      <c r="BA202" t="s">
        <v>2204</v>
      </c>
      <c r="BC202" t="s">
        <v>140</v>
      </c>
      <c r="BT202" s="7">
        <f t="shared" si="19"/>
        <v>239</v>
      </c>
      <c r="BU202" s="6">
        <f t="shared" si="20"/>
        <v>223.36448598130841</v>
      </c>
      <c r="BV202" s="6">
        <f t="shared" si="21"/>
        <v>15.635514018691588</v>
      </c>
      <c r="BW202" s="6">
        <f t="shared" si="22"/>
        <v>239</v>
      </c>
      <c r="BX202" s="6">
        <f t="shared" si="23"/>
        <v>0</v>
      </c>
    </row>
    <row r="203" spans="1:76" x14ac:dyDescent="0.35">
      <c r="A203" t="s">
        <v>2205</v>
      </c>
      <c r="B203" t="s">
        <v>107</v>
      </c>
      <c r="C203" t="s">
        <v>107</v>
      </c>
      <c r="F203" t="s">
        <v>158</v>
      </c>
      <c r="G203" t="s">
        <v>159</v>
      </c>
      <c r="H203" t="s">
        <v>111</v>
      </c>
      <c r="I203" t="s">
        <v>341</v>
      </c>
      <c r="J203" t="s">
        <v>113</v>
      </c>
      <c r="K203" s="8" t="s">
        <v>114</v>
      </c>
      <c r="L203" t="s">
        <v>114</v>
      </c>
      <c r="M203" s="6">
        <v>0</v>
      </c>
      <c r="N203" t="s">
        <v>114</v>
      </c>
      <c r="O203" s="6">
        <v>0</v>
      </c>
      <c r="P203" t="s">
        <v>114</v>
      </c>
      <c r="Q203" s="6">
        <v>0</v>
      </c>
      <c r="R203" s="7">
        <f t="shared" si="18"/>
        <v>0</v>
      </c>
      <c r="S203" t="s">
        <v>114</v>
      </c>
      <c r="T203" t="s">
        <v>114</v>
      </c>
      <c r="U203" t="s">
        <v>114</v>
      </c>
      <c r="W203" t="s">
        <v>114</v>
      </c>
      <c r="X203" t="s">
        <v>114</v>
      </c>
      <c r="Z203" t="s">
        <v>2206</v>
      </c>
      <c r="AA203" t="s">
        <v>2206</v>
      </c>
      <c r="AB203" s="1" t="s">
        <v>2207</v>
      </c>
      <c r="AC203" t="s">
        <v>2208</v>
      </c>
      <c r="AD203" t="s">
        <v>2209</v>
      </c>
      <c r="AH203" t="s">
        <v>123</v>
      </c>
      <c r="AI203" t="s">
        <v>124</v>
      </c>
      <c r="AJ203" t="s">
        <v>2210</v>
      </c>
      <c r="AK203" t="s">
        <v>126</v>
      </c>
      <c r="AL203" t="s">
        <v>127</v>
      </c>
      <c r="AN203" t="s">
        <v>2211</v>
      </c>
      <c r="AO203" t="s">
        <v>2212</v>
      </c>
      <c r="AP203" t="s">
        <v>2213</v>
      </c>
      <c r="AQ203" t="s">
        <v>131</v>
      </c>
      <c r="AR203" t="s">
        <v>132</v>
      </c>
      <c r="AS203" t="s">
        <v>152</v>
      </c>
      <c r="AT203" t="s">
        <v>1949</v>
      </c>
      <c r="AV203" t="s">
        <v>450</v>
      </c>
      <c r="AW203" t="s">
        <v>265</v>
      </c>
      <c r="AY203" t="s">
        <v>177</v>
      </c>
      <c r="AZ203" t="s">
        <v>138</v>
      </c>
      <c r="BA203" t="s">
        <v>2214</v>
      </c>
      <c r="BC203" t="s">
        <v>140</v>
      </c>
      <c r="BT203" s="7">
        <f t="shared" si="19"/>
        <v>0</v>
      </c>
      <c r="BU203" s="6">
        <f t="shared" si="20"/>
        <v>0</v>
      </c>
      <c r="BV203" s="6">
        <f t="shared" si="21"/>
        <v>0</v>
      </c>
      <c r="BW203" s="6">
        <f t="shared" si="22"/>
        <v>0</v>
      </c>
      <c r="BX203" s="6">
        <f t="shared" si="23"/>
        <v>0</v>
      </c>
    </row>
    <row r="204" spans="1:76" x14ac:dyDescent="0.35">
      <c r="A204" t="s">
        <v>2215</v>
      </c>
      <c r="B204" t="s">
        <v>107</v>
      </c>
      <c r="C204" t="s">
        <v>107</v>
      </c>
      <c r="F204" t="s">
        <v>613</v>
      </c>
      <c r="G204" t="s">
        <v>614</v>
      </c>
      <c r="H204" t="s">
        <v>615</v>
      </c>
      <c r="I204" t="s">
        <v>271</v>
      </c>
      <c r="J204" t="s">
        <v>113</v>
      </c>
      <c r="K204" s="8" t="s">
        <v>114</v>
      </c>
      <c r="L204" t="s">
        <v>114</v>
      </c>
      <c r="M204" s="6">
        <v>0</v>
      </c>
      <c r="N204" t="s">
        <v>114</v>
      </c>
      <c r="O204" s="6">
        <v>0</v>
      </c>
      <c r="P204" t="s">
        <v>114</v>
      </c>
      <c r="Q204" s="6">
        <v>0</v>
      </c>
      <c r="R204" s="7">
        <f t="shared" si="18"/>
        <v>0</v>
      </c>
      <c r="S204" t="s">
        <v>114</v>
      </c>
      <c r="T204" t="s">
        <v>114</v>
      </c>
      <c r="U204" t="s">
        <v>114</v>
      </c>
      <c r="W204" t="s">
        <v>114</v>
      </c>
      <c r="X204" t="s">
        <v>114</v>
      </c>
      <c r="Z204" t="s">
        <v>2216</v>
      </c>
      <c r="AA204" t="s">
        <v>2216</v>
      </c>
      <c r="AB204" s="1" t="s">
        <v>2217</v>
      </c>
      <c r="AC204" t="s">
        <v>2218</v>
      </c>
      <c r="AD204" t="s">
        <v>2219</v>
      </c>
      <c r="AH204" t="s">
        <v>123</v>
      </c>
      <c r="AI204" t="s">
        <v>124</v>
      </c>
      <c r="AJ204" t="s">
        <v>2220</v>
      </c>
      <c r="AK204" t="s">
        <v>126</v>
      </c>
      <c r="AL204" t="s">
        <v>127</v>
      </c>
      <c r="AN204" t="s">
        <v>2221</v>
      </c>
      <c r="AO204" t="s">
        <v>2222</v>
      </c>
      <c r="AP204" t="s">
        <v>2223</v>
      </c>
      <c r="AQ204" t="s">
        <v>131</v>
      </c>
      <c r="AR204" t="s">
        <v>132</v>
      </c>
      <c r="AS204" t="s">
        <v>796</v>
      </c>
      <c r="AT204" t="s">
        <v>2224</v>
      </c>
      <c r="AV204" t="s">
        <v>610</v>
      </c>
      <c r="AW204" t="s">
        <v>610</v>
      </c>
      <c r="AY204" t="s">
        <v>177</v>
      </c>
      <c r="AZ204" t="s">
        <v>627</v>
      </c>
      <c r="BA204" t="s">
        <v>2225</v>
      </c>
      <c r="BC204" t="s">
        <v>140</v>
      </c>
      <c r="BT204" s="7">
        <f t="shared" si="19"/>
        <v>0</v>
      </c>
      <c r="BU204" s="6">
        <f t="shared" si="20"/>
        <v>0</v>
      </c>
      <c r="BV204" s="6">
        <f t="shared" si="21"/>
        <v>0</v>
      </c>
      <c r="BW204" s="6">
        <f t="shared" si="22"/>
        <v>0</v>
      </c>
      <c r="BX204" s="6">
        <f t="shared" si="23"/>
        <v>0</v>
      </c>
    </row>
    <row r="205" spans="1:76" x14ac:dyDescent="0.35">
      <c r="A205" t="s">
        <v>2226</v>
      </c>
      <c r="B205" t="s">
        <v>107</v>
      </c>
      <c r="C205" t="s">
        <v>107</v>
      </c>
      <c r="E205" t="s">
        <v>108</v>
      </c>
      <c r="F205" t="s">
        <v>158</v>
      </c>
      <c r="G205" t="s">
        <v>159</v>
      </c>
      <c r="H205" t="s">
        <v>111</v>
      </c>
      <c r="I205" t="s">
        <v>341</v>
      </c>
      <c r="J205" t="s">
        <v>1548</v>
      </c>
      <c r="K205" s="8" t="s">
        <v>114</v>
      </c>
      <c r="L205" t="s">
        <v>161</v>
      </c>
      <c r="M205" s="6">
        <v>918</v>
      </c>
      <c r="N205" t="s">
        <v>994</v>
      </c>
      <c r="O205" s="6">
        <v>440</v>
      </c>
      <c r="P205" t="s">
        <v>1551</v>
      </c>
      <c r="Q205" s="6">
        <v>0</v>
      </c>
      <c r="R205" s="7">
        <f t="shared" si="18"/>
        <v>478</v>
      </c>
      <c r="S205" t="s">
        <v>180</v>
      </c>
      <c r="T205" t="s">
        <v>114</v>
      </c>
      <c r="U205" t="s">
        <v>180</v>
      </c>
      <c r="W205" t="s">
        <v>114</v>
      </c>
      <c r="X205" t="s">
        <v>1551</v>
      </c>
      <c r="Z205" t="s">
        <v>2227</v>
      </c>
      <c r="AA205" t="s">
        <v>2228</v>
      </c>
      <c r="AB205" s="1" t="s">
        <v>2229</v>
      </c>
      <c r="AC205" t="s">
        <v>2230</v>
      </c>
      <c r="AD205" t="s">
        <v>2228</v>
      </c>
      <c r="AH205" t="s">
        <v>123</v>
      </c>
      <c r="AI205" t="s">
        <v>124</v>
      </c>
      <c r="AJ205" t="s">
        <v>2231</v>
      </c>
      <c r="AK205" t="s">
        <v>126</v>
      </c>
      <c r="AL205" t="s">
        <v>127</v>
      </c>
      <c r="AN205" t="s">
        <v>2232</v>
      </c>
      <c r="AO205" t="s">
        <v>2233</v>
      </c>
      <c r="AP205" t="s">
        <v>2234</v>
      </c>
      <c r="AQ205" t="s">
        <v>131</v>
      </c>
      <c r="AR205" t="s">
        <v>132</v>
      </c>
      <c r="AS205" t="s">
        <v>352</v>
      </c>
      <c r="AT205" t="s">
        <v>374</v>
      </c>
      <c r="AV205" t="s">
        <v>316</v>
      </c>
      <c r="AX205" t="s">
        <v>136</v>
      </c>
      <c r="AY205" t="s">
        <v>1562</v>
      </c>
      <c r="AZ205" t="s">
        <v>138</v>
      </c>
      <c r="BA205" t="s">
        <v>2235</v>
      </c>
      <c r="BC205" t="s">
        <v>140</v>
      </c>
      <c r="BT205" s="7">
        <f t="shared" si="19"/>
        <v>478</v>
      </c>
      <c r="BU205" s="6">
        <f t="shared" si="20"/>
        <v>446.72897196261681</v>
      </c>
      <c r="BV205" s="6">
        <f t="shared" si="21"/>
        <v>31.271028037383175</v>
      </c>
      <c r="BW205" s="6">
        <f t="shared" si="22"/>
        <v>478</v>
      </c>
      <c r="BX205" s="6">
        <f t="shared" si="23"/>
        <v>0</v>
      </c>
    </row>
    <row r="206" spans="1:76" x14ac:dyDescent="0.35">
      <c r="A206" t="s">
        <v>2236</v>
      </c>
      <c r="B206" t="s">
        <v>107</v>
      </c>
      <c r="C206" t="s">
        <v>107</v>
      </c>
      <c r="E206" t="s">
        <v>108</v>
      </c>
      <c r="F206" t="s">
        <v>158</v>
      </c>
      <c r="G206" t="s">
        <v>159</v>
      </c>
      <c r="H206" t="s">
        <v>111</v>
      </c>
      <c r="I206" t="s">
        <v>341</v>
      </c>
      <c r="J206" t="s">
        <v>113</v>
      </c>
      <c r="K206" s="8" t="s">
        <v>114</v>
      </c>
      <c r="L206" t="s">
        <v>161</v>
      </c>
      <c r="M206" s="6">
        <v>459</v>
      </c>
      <c r="N206" t="s">
        <v>162</v>
      </c>
      <c r="O206" s="6">
        <v>220</v>
      </c>
      <c r="P206" t="s">
        <v>1206</v>
      </c>
      <c r="Q206" s="6">
        <v>0</v>
      </c>
      <c r="R206" s="7">
        <f t="shared" si="18"/>
        <v>239</v>
      </c>
      <c r="S206" t="s">
        <v>142</v>
      </c>
      <c r="T206" t="s">
        <v>114</v>
      </c>
      <c r="U206" t="s">
        <v>142</v>
      </c>
      <c r="W206" t="s">
        <v>114</v>
      </c>
      <c r="X206" t="s">
        <v>1206</v>
      </c>
      <c r="Z206" t="s">
        <v>2237</v>
      </c>
      <c r="AA206" t="s">
        <v>2238</v>
      </c>
      <c r="AB206" s="1" t="s">
        <v>2239</v>
      </c>
      <c r="AC206" t="s">
        <v>2240</v>
      </c>
      <c r="AD206" t="s">
        <v>2238</v>
      </c>
      <c r="AH206" t="s">
        <v>123</v>
      </c>
      <c r="AI206" t="s">
        <v>124</v>
      </c>
      <c r="AJ206" t="s">
        <v>2241</v>
      </c>
      <c r="AK206" t="s">
        <v>126</v>
      </c>
      <c r="AL206" t="s">
        <v>127</v>
      </c>
      <c r="AN206" t="s">
        <v>2242</v>
      </c>
      <c r="AO206" t="s">
        <v>2243</v>
      </c>
      <c r="AP206" t="s">
        <v>2244</v>
      </c>
      <c r="AQ206" t="s">
        <v>131</v>
      </c>
      <c r="AR206" t="s">
        <v>132</v>
      </c>
      <c r="AS206" t="s">
        <v>152</v>
      </c>
      <c r="AT206" t="s">
        <v>153</v>
      </c>
      <c r="AV206" t="s">
        <v>1148</v>
      </c>
      <c r="AX206" t="s">
        <v>136</v>
      </c>
      <c r="AY206" t="s">
        <v>177</v>
      </c>
      <c r="AZ206" t="s">
        <v>138</v>
      </c>
      <c r="BA206" t="s">
        <v>2245</v>
      </c>
      <c r="BC206" t="s">
        <v>140</v>
      </c>
      <c r="BT206" s="7">
        <f t="shared" si="19"/>
        <v>239</v>
      </c>
      <c r="BU206" s="6">
        <f t="shared" si="20"/>
        <v>223.36448598130841</v>
      </c>
      <c r="BV206" s="6">
        <f t="shared" si="21"/>
        <v>15.635514018691588</v>
      </c>
      <c r="BW206" s="6">
        <f t="shared" si="22"/>
        <v>239</v>
      </c>
      <c r="BX206" s="6">
        <f t="shared" si="23"/>
        <v>0</v>
      </c>
    </row>
    <row r="207" spans="1:76" x14ac:dyDescent="0.35">
      <c r="A207" t="s">
        <v>2246</v>
      </c>
      <c r="B207" t="s">
        <v>107</v>
      </c>
      <c r="C207" t="s">
        <v>107</v>
      </c>
      <c r="E207" t="s">
        <v>108</v>
      </c>
      <c r="F207" t="s">
        <v>338</v>
      </c>
      <c r="G207" t="s">
        <v>339</v>
      </c>
      <c r="H207" t="s">
        <v>340</v>
      </c>
      <c r="I207" t="s">
        <v>341</v>
      </c>
      <c r="J207" t="s">
        <v>113</v>
      </c>
      <c r="K207" s="8" t="s">
        <v>114</v>
      </c>
      <c r="L207" t="s">
        <v>114</v>
      </c>
      <c r="M207" s="6">
        <v>0</v>
      </c>
      <c r="N207" t="s">
        <v>114</v>
      </c>
      <c r="O207" s="6">
        <v>0</v>
      </c>
      <c r="P207" t="s">
        <v>114</v>
      </c>
      <c r="Q207" s="6">
        <v>0</v>
      </c>
      <c r="R207" s="7">
        <f t="shared" si="18"/>
        <v>0</v>
      </c>
      <c r="S207" t="s">
        <v>142</v>
      </c>
      <c r="T207" t="s">
        <v>114</v>
      </c>
      <c r="U207" t="s">
        <v>142</v>
      </c>
      <c r="W207" t="s">
        <v>114</v>
      </c>
      <c r="X207" t="s">
        <v>562</v>
      </c>
      <c r="Z207" t="s">
        <v>2247</v>
      </c>
      <c r="AA207" t="s">
        <v>2248</v>
      </c>
      <c r="AB207" s="1" t="s">
        <v>2249</v>
      </c>
      <c r="AC207" t="s">
        <v>2250</v>
      </c>
      <c r="AD207" t="s">
        <v>2251</v>
      </c>
      <c r="AH207" t="s">
        <v>123</v>
      </c>
      <c r="AI207" t="s">
        <v>124</v>
      </c>
      <c r="AJ207" t="s">
        <v>2252</v>
      </c>
      <c r="AK207" t="s">
        <v>126</v>
      </c>
      <c r="AL207" t="s">
        <v>127</v>
      </c>
      <c r="AN207" t="s">
        <v>2253</v>
      </c>
      <c r="AO207" t="s">
        <v>2254</v>
      </c>
      <c r="AP207" t="s">
        <v>2255</v>
      </c>
      <c r="AQ207" t="s">
        <v>131</v>
      </c>
      <c r="AR207" t="s">
        <v>233</v>
      </c>
      <c r="AS207" t="s">
        <v>234</v>
      </c>
      <c r="AT207" t="s">
        <v>2256</v>
      </c>
      <c r="AV207" t="s">
        <v>516</v>
      </c>
      <c r="AX207" t="s">
        <v>176</v>
      </c>
      <c r="AY207" t="s">
        <v>177</v>
      </c>
      <c r="AZ207" t="s">
        <v>356</v>
      </c>
      <c r="BA207" t="s">
        <v>2257</v>
      </c>
      <c r="BC207" t="s">
        <v>140</v>
      </c>
      <c r="BT207" s="7">
        <f t="shared" si="19"/>
        <v>0</v>
      </c>
      <c r="BU207" s="6">
        <f t="shared" si="20"/>
        <v>0</v>
      </c>
      <c r="BV207" s="6">
        <f t="shared" si="21"/>
        <v>0</v>
      </c>
      <c r="BW207" s="6">
        <f t="shared" si="22"/>
        <v>0</v>
      </c>
      <c r="BX207" s="6">
        <f t="shared" si="23"/>
        <v>0</v>
      </c>
    </row>
    <row r="208" spans="1:76" x14ac:dyDescent="0.35">
      <c r="A208" t="s">
        <v>2246</v>
      </c>
      <c r="B208" t="s">
        <v>107</v>
      </c>
      <c r="C208" t="s">
        <v>107</v>
      </c>
      <c r="E208" t="s">
        <v>108</v>
      </c>
      <c r="F208" t="s">
        <v>358</v>
      </c>
      <c r="G208" t="s">
        <v>359</v>
      </c>
      <c r="H208" t="s">
        <v>360</v>
      </c>
      <c r="I208" t="s">
        <v>341</v>
      </c>
      <c r="J208" t="s">
        <v>113</v>
      </c>
      <c r="K208" s="8" t="s">
        <v>114</v>
      </c>
      <c r="L208" t="s">
        <v>361</v>
      </c>
      <c r="M208" s="6">
        <v>233</v>
      </c>
      <c r="N208" t="s">
        <v>113</v>
      </c>
      <c r="O208" s="6">
        <v>127</v>
      </c>
      <c r="P208" t="s">
        <v>562</v>
      </c>
      <c r="Q208" s="6">
        <v>0</v>
      </c>
      <c r="R208" s="7">
        <f t="shared" si="18"/>
        <v>106</v>
      </c>
      <c r="S208" t="s">
        <v>142</v>
      </c>
      <c r="T208" t="s">
        <v>114</v>
      </c>
      <c r="U208" t="s">
        <v>142</v>
      </c>
      <c r="W208" t="s">
        <v>114</v>
      </c>
      <c r="X208" t="s">
        <v>562</v>
      </c>
      <c r="Z208" t="s">
        <v>2247</v>
      </c>
      <c r="AA208" t="s">
        <v>2248</v>
      </c>
      <c r="AB208" s="1" t="s">
        <v>2249</v>
      </c>
      <c r="AC208" t="s">
        <v>2250</v>
      </c>
      <c r="AD208" t="s">
        <v>2251</v>
      </c>
      <c r="AH208" t="s">
        <v>123</v>
      </c>
      <c r="AI208" t="s">
        <v>124</v>
      </c>
      <c r="AJ208" t="s">
        <v>2252</v>
      </c>
      <c r="AK208" t="s">
        <v>126</v>
      </c>
      <c r="AL208" t="s">
        <v>127</v>
      </c>
      <c r="AN208" t="s">
        <v>2253</v>
      </c>
      <c r="AO208" t="s">
        <v>2254</v>
      </c>
      <c r="AP208" t="s">
        <v>2255</v>
      </c>
      <c r="AQ208" t="s">
        <v>131</v>
      </c>
      <c r="AR208" t="s">
        <v>233</v>
      </c>
      <c r="AS208" t="s">
        <v>234</v>
      </c>
      <c r="AT208" t="s">
        <v>2256</v>
      </c>
      <c r="AV208" t="s">
        <v>516</v>
      </c>
      <c r="AX208" t="s">
        <v>176</v>
      </c>
      <c r="AY208" t="s">
        <v>177</v>
      </c>
      <c r="AZ208" t="s">
        <v>364</v>
      </c>
      <c r="BA208" t="s">
        <v>2257</v>
      </c>
      <c r="BC208" t="s">
        <v>140</v>
      </c>
      <c r="BT208" s="7">
        <f t="shared" si="19"/>
        <v>106</v>
      </c>
      <c r="BU208" s="6">
        <f t="shared" si="20"/>
        <v>99.065420560747654</v>
      </c>
      <c r="BV208" s="6">
        <f t="shared" si="21"/>
        <v>6.9345794392523361</v>
      </c>
      <c r="BW208" s="6">
        <f t="shared" si="22"/>
        <v>105.99999999999999</v>
      </c>
      <c r="BX208" s="6">
        <f t="shared" si="23"/>
        <v>0</v>
      </c>
    </row>
    <row r="209" spans="1:76" x14ac:dyDescent="0.35">
      <c r="A209" t="s">
        <v>2258</v>
      </c>
      <c r="B209" t="s">
        <v>107</v>
      </c>
      <c r="C209" t="s">
        <v>107</v>
      </c>
      <c r="E209" t="s">
        <v>108</v>
      </c>
      <c r="F209" t="s">
        <v>158</v>
      </c>
      <c r="G209" t="s">
        <v>159</v>
      </c>
      <c r="H209" t="s">
        <v>111</v>
      </c>
      <c r="I209" t="s">
        <v>341</v>
      </c>
      <c r="J209" t="s">
        <v>113</v>
      </c>
      <c r="K209" s="8" t="s">
        <v>114</v>
      </c>
      <c r="L209" t="s">
        <v>161</v>
      </c>
      <c r="M209" s="6">
        <v>459</v>
      </c>
      <c r="N209" t="s">
        <v>436</v>
      </c>
      <c r="O209" s="6">
        <v>220</v>
      </c>
      <c r="P209" t="s">
        <v>1876</v>
      </c>
      <c r="Q209" s="6">
        <v>0</v>
      </c>
      <c r="R209" s="7">
        <f t="shared" si="18"/>
        <v>239</v>
      </c>
      <c r="S209" t="s">
        <v>180</v>
      </c>
      <c r="T209" t="s">
        <v>114</v>
      </c>
      <c r="U209" t="s">
        <v>180</v>
      </c>
      <c r="W209" t="s">
        <v>114</v>
      </c>
      <c r="X209" t="s">
        <v>1876</v>
      </c>
      <c r="Z209" t="s">
        <v>2259</v>
      </c>
      <c r="AA209" t="s">
        <v>2260</v>
      </c>
      <c r="AB209" s="1" t="s">
        <v>2261</v>
      </c>
      <c r="AC209" t="s">
        <v>2262</v>
      </c>
      <c r="AD209" t="s">
        <v>2260</v>
      </c>
      <c r="AH209" t="s">
        <v>123</v>
      </c>
      <c r="AI209" t="s">
        <v>124</v>
      </c>
      <c r="AJ209" t="s">
        <v>2263</v>
      </c>
      <c r="AK209" t="s">
        <v>126</v>
      </c>
      <c r="AL209" t="s">
        <v>127</v>
      </c>
      <c r="AN209" t="s">
        <v>2264</v>
      </c>
      <c r="AO209" t="s">
        <v>2265</v>
      </c>
      <c r="AP209" t="s">
        <v>2266</v>
      </c>
      <c r="AQ209" t="s">
        <v>131</v>
      </c>
      <c r="AR209" t="s">
        <v>132</v>
      </c>
      <c r="AS209" t="s">
        <v>1464</v>
      </c>
      <c r="AT209" t="s">
        <v>1465</v>
      </c>
      <c r="AV209" t="s">
        <v>1195</v>
      </c>
      <c r="AX209" t="s">
        <v>136</v>
      </c>
      <c r="AY209" t="s">
        <v>177</v>
      </c>
      <c r="AZ209" t="s">
        <v>138</v>
      </c>
      <c r="BA209" t="s">
        <v>2267</v>
      </c>
      <c r="BC209" t="s">
        <v>140</v>
      </c>
      <c r="BT209" s="7">
        <f t="shared" si="19"/>
        <v>239</v>
      </c>
      <c r="BU209" s="6">
        <f t="shared" si="20"/>
        <v>223.36448598130841</v>
      </c>
      <c r="BV209" s="6">
        <f t="shared" si="21"/>
        <v>15.635514018691588</v>
      </c>
      <c r="BW209" s="6">
        <f t="shared" si="22"/>
        <v>239</v>
      </c>
      <c r="BX209" s="6">
        <f t="shared" si="23"/>
        <v>0</v>
      </c>
    </row>
    <row r="210" spans="1:76" x14ac:dyDescent="0.35">
      <c r="A210" t="s">
        <v>2258</v>
      </c>
      <c r="B210" t="s">
        <v>107</v>
      </c>
      <c r="C210" t="s">
        <v>107</v>
      </c>
      <c r="E210" t="s">
        <v>108</v>
      </c>
      <c r="F210" t="s">
        <v>268</v>
      </c>
      <c r="G210" t="s">
        <v>269</v>
      </c>
      <c r="H210" t="s">
        <v>2268</v>
      </c>
      <c r="I210" t="s">
        <v>271</v>
      </c>
      <c r="J210" t="s">
        <v>113</v>
      </c>
      <c r="K210" s="8" t="s">
        <v>114</v>
      </c>
      <c r="L210" t="s">
        <v>114</v>
      </c>
      <c r="M210" s="6">
        <v>0</v>
      </c>
      <c r="N210" t="s">
        <v>114</v>
      </c>
      <c r="O210" s="6">
        <v>0</v>
      </c>
      <c r="P210" t="s">
        <v>114</v>
      </c>
      <c r="Q210" s="6">
        <v>0</v>
      </c>
      <c r="R210" s="7">
        <f t="shared" si="18"/>
        <v>0</v>
      </c>
      <c r="S210" t="s">
        <v>180</v>
      </c>
      <c r="T210" t="s">
        <v>114</v>
      </c>
      <c r="U210" t="s">
        <v>180</v>
      </c>
      <c r="W210" t="s">
        <v>114</v>
      </c>
      <c r="X210" t="s">
        <v>1876</v>
      </c>
      <c r="Z210" t="s">
        <v>2259</v>
      </c>
      <c r="AA210" t="s">
        <v>2260</v>
      </c>
      <c r="AB210" s="1" t="s">
        <v>2261</v>
      </c>
      <c r="AC210" t="s">
        <v>2262</v>
      </c>
      <c r="AD210" t="s">
        <v>2260</v>
      </c>
      <c r="AH210" t="s">
        <v>123</v>
      </c>
      <c r="AI210" t="s">
        <v>124</v>
      </c>
      <c r="AJ210" t="s">
        <v>2263</v>
      </c>
      <c r="AK210" t="s">
        <v>126</v>
      </c>
      <c r="AL210" t="s">
        <v>127</v>
      </c>
      <c r="AN210" t="s">
        <v>2264</v>
      </c>
      <c r="AO210" t="s">
        <v>2265</v>
      </c>
      <c r="AP210" t="s">
        <v>2266</v>
      </c>
      <c r="AQ210" t="s">
        <v>131</v>
      </c>
      <c r="AR210" t="s">
        <v>132</v>
      </c>
      <c r="AS210" t="s">
        <v>1464</v>
      </c>
      <c r="AT210" t="s">
        <v>1465</v>
      </c>
      <c r="AV210" t="s">
        <v>1195</v>
      </c>
      <c r="AX210" t="s">
        <v>136</v>
      </c>
      <c r="AY210" t="s">
        <v>272</v>
      </c>
      <c r="AZ210" t="s">
        <v>273</v>
      </c>
      <c r="BA210" t="s">
        <v>2267</v>
      </c>
      <c r="BC210" t="s">
        <v>140</v>
      </c>
      <c r="BT210" s="7">
        <f t="shared" si="19"/>
        <v>0</v>
      </c>
      <c r="BU210" s="6">
        <f t="shared" si="20"/>
        <v>0</v>
      </c>
      <c r="BV210" s="6">
        <f t="shared" si="21"/>
        <v>0</v>
      </c>
      <c r="BW210" s="6">
        <f t="shared" si="22"/>
        <v>0</v>
      </c>
      <c r="BX210" s="6">
        <f t="shared" si="23"/>
        <v>0</v>
      </c>
    </row>
    <row r="211" spans="1:76" x14ac:dyDescent="0.35">
      <c r="A211" t="s">
        <v>2269</v>
      </c>
      <c r="B211" t="s">
        <v>107</v>
      </c>
      <c r="C211" t="s">
        <v>107</v>
      </c>
      <c r="E211" t="s">
        <v>108</v>
      </c>
      <c r="F211" t="s">
        <v>268</v>
      </c>
      <c r="G211" t="s">
        <v>269</v>
      </c>
      <c r="H211" t="s">
        <v>2268</v>
      </c>
      <c r="I211" t="s">
        <v>271</v>
      </c>
      <c r="J211" t="s">
        <v>113</v>
      </c>
      <c r="K211" s="8" t="s">
        <v>114</v>
      </c>
      <c r="L211" t="s">
        <v>114</v>
      </c>
      <c r="M211" s="6">
        <v>0</v>
      </c>
      <c r="N211" t="s">
        <v>114</v>
      </c>
      <c r="O211" s="6">
        <v>0</v>
      </c>
      <c r="P211" t="s">
        <v>114</v>
      </c>
      <c r="Q211" s="6">
        <v>0</v>
      </c>
      <c r="R211" s="7">
        <f t="shared" si="18"/>
        <v>0</v>
      </c>
      <c r="S211" t="s">
        <v>142</v>
      </c>
      <c r="T211" t="s">
        <v>114</v>
      </c>
      <c r="U211" t="s">
        <v>142</v>
      </c>
      <c r="W211" t="s">
        <v>114</v>
      </c>
      <c r="X211" t="s">
        <v>1151</v>
      </c>
      <c r="Z211" t="s">
        <v>2270</v>
      </c>
      <c r="AA211" t="s">
        <v>2271</v>
      </c>
      <c r="AB211" s="1" t="s">
        <v>2272</v>
      </c>
      <c r="AC211" t="s">
        <v>2273</v>
      </c>
      <c r="AD211" t="s">
        <v>2271</v>
      </c>
      <c r="AH211" t="s">
        <v>123</v>
      </c>
      <c r="AI211" t="s">
        <v>124</v>
      </c>
      <c r="AJ211" t="s">
        <v>2274</v>
      </c>
      <c r="AK211" t="s">
        <v>126</v>
      </c>
      <c r="AL211" t="s">
        <v>127</v>
      </c>
      <c r="AN211" t="s">
        <v>2275</v>
      </c>
      <c r="AO211" t="s">
        <v>2276</v>
      </c>
      <c r="AP211" t="s">
        <v>2277</v>
      </c>
      <c r="AQ211" t="s">
        <v>131</v>
      </c>
      <c r="AR211" t="s">
        <v>132</v>
      </c>
      <c r="AS211" t="s">
        <v>152</v>
      </c>
      <c r="AT211" t="s">
        <v>2278</v>
      </c>
      <c r="AV211" t="s">
        <v>1183</v>
      </c>
      <c r="AW211" t="s">
        <v>546</v>
      </c>
      <c r="AX211" t="s">
        <v>136</v>
      </c>
      <c r="AY211" t="s">
        <v>272</v>
      </c>
      <c r="AZ211" t="s">
        <v>273</v>
      </c>
      <c r="BA211" t="s">
        <v>2279</v>
      </c>
      <c r="BC211" t="s">
        <v>140</v>
      </c>
      <c r="BT211" s="7">
        <f t="shared" si="19"/>
        <v>0</v>
      </c>
      <c r="BU211" s="6">
        <f t="shared" si="20"/>
        <v>0</v>
      </c>
      <c r="BV211" s="6">
        <f t="shared" si="21"/>
        <v>0</v>
      </c>
      <c r="BW211" s="6">
        <f t="shared" si="22"/>
        <v>0</v>
      </c>
      <c r="BX211" s="6">
        <f t="shared" si="23"/>
        <v>0</v>
      </c>
    </row>
    <row r="212" spans="1:76" x14ac:dyDescent="0.35">
      <c r="A212" t="s">
        <v>2269</v>
      </c>
      <c r="B212" t="s">
        <v>107</v>
      </c>
      <c r="C212" t="s">
        <v>107</v>
      </c>
      <c r="E212" t="s">
        <v>108</v>
      </c>
      <c r="F212" t="s">
        <v>158</v>
      </c>
      <c r="G212" t="s">
        <v>159</v>
      </c>
      <c r="H212" t="s">
        <v>111</v>
      </c>
      <c r="I212" t="s">
        <v>341</v>
      </c>
      <c r="J212" t="s">
        <v>113</v>
      </c>
      <c r="K212" s="8" t="s">
        <v>114</v>
      </c>
      <c r="L212" t="s">
        <v>161</v>
      </c>
      <c r="M212" s="6">
        <v>459</v>
      </c>
      <c r="N212" t="s">
        <v>994</v>
      </c>
      <c r="O212" s="6">
        <v>220</v>
      </c>
      <c r="P212" t="s">
        <v>1151</v>
      </c>
      <c r="Q212" s="6">
        <v>0</v>
      </c>
      <c r="R212" s="7">
        <f t="shared" si="18"/>
        <v>239</v>
      </c>
      <c r="S212" t="s">
        <v>142</v>
      </c>
      <c r="T212" t="s">
        <v>114</v>
      </c>
      <c r="U212" t="s">
        <v>142</v>
      </c>
      <c r="W212" t="s">
        <v>114</v>
      </c>
      <c r="X212" t="s">
        <v>1151</v>
      </c>
      <c r="Z212" t="s">
        <v>2270</v>
      </c>
      <c r="AA212" t="s">
        <v>2271</v>
      </c>
      <c r="AB212" s="1" t="s">
        <v>2272</v>
      </c>
      <c r="AC212" t="s">
        <v>2273</v>
      </c>
      <c r="AD212" t="s">
        <v>2271</v>
      </c>
      <c r="AH212" t="s">
        <v>123</v>
      </c>
      <c r="AI212" t="s">
        <v>124</v>
      </c>
      <c r="AJ212" t="s">
        <v>2274</v>
      </c>
      <c r="AK212" t="s">
        <v>126</v>
      </c>
      <c r="AL212" t="s">
        <v>127</v>
      </c>
      <c r="AN212" t="s">
        <v>2275</v>
      </c>
      <c r="AO212" t="s">
        <v>2276</v>
      </c>
      <c r="AP212" t="s">
        <v>2277</v>
      </c>
      <c r="AQ212" t="s">
        <v>131</v>
      </c>
      <c r="AR212" t="s">
        <v>132</v>
      </c>
      <c r="AS212" t="s">
        <v>152</v>
      </c>
      <c r="AT212" t="s">
        <v>2278</v>
      </c>
      <c r="AV212" t="s">
        <v>1183</v>
      </c>
      <c r="AW212" t="s">
        <v>546</v>
      </c>
      <c r="AX212" t="s">
        <v>136</v>
      </c>
      <c r="AY212" t="s">
        <v>177</v>
      </c>
      <c r="AZ212" t="s">
        <v>138</v>
      </c>
      <c r="BA212" t="s">
        <v>2279</v>
      </c>
      <c r="BC212" t="s">
        <v>140</v>
      </c>
      <c r="BT212" s="7">
        <f t="shared" si="19"/>
        <v>239</v>
      </c>
      <c r="BU212" s="6">
        <f t="shared" si="20"/>
        <v>223.36448598130841</v>
      </c>
      <c r="BV212" s="6">
        <f t="shared" si="21"/>
        <v>15.635514018691588</v>
      </c>
      <c r="BW212" s="6">
        <f t="shared" si="22"/>
        <v>239</v>
      </c>
      <c r="BX212" s="6">
        <f t="shared" si="23"/>
        <v>0</v>
      </c>
    </row>
    <row r="213" spans="1:76" x14ac:dyDescent="0.35">
      <c r="A213" t="s">
        <v>2280</v>
      </c>
      <c r="B213" t="s">
        <v>107</v>
      </c>
      <c r="C213" t="s">
        <v>107</v>
      </c>
      <c r="F213" t="s">
        <v>158</v>
      </c>
      <c r="G213" t="s">
        <v>159</v>
      </c>
      <c r="H213" t="s">
        <v>111</v>
      </c>
      <c r="I213" t="s">
        <v>341</v>
      </c>
      <c r="J213" t="s">
        <v>113</v>
      </c>
      <c r="K213" s="8" t="s">
        <v>114</v>
      </c>
      <c r="L213" t="s">
        <v>114</v>
      </c>
      <c r="M213" s="6">
        <v>0</v>
      </c>
      <c r="N213" t="s">
        <v>114</v>
      </c>
      <c r="O213" s="6">
        <v>0</v>
      </c>
      <c r="P213" t="s">
        <v>114</v>
      </c>
      <c r="Q213" s="6">
        <v>0</v>
      </c>
      <c r="R213" s="7">
        <f t="shared" si="18"/>
        <v>0</v>
      </c>
      <c r="S213" t="s">
        <v>114</v>
      </c>
      <c r="T213" t="s">
        <v>114</v>
      </c>
      <c r="U213" t="s">
        <v>114</v>
      </c>
      <c r="W213" t="s">
        <v>114</v>
      </c>
      <c r="X213" t="s">
        <v>114</v>
      </c>
      <c r="Z213" t="s">
        <v>2281</v>
      </c>
      <c r="AA213" t="s">
        <v>2281</v>
      </c>
      <c r="AB213" s="1" t="s">
        <v>2282</v>
      </c>
      <c r="AC213" t="s">
        <v>2283</v>
      </c>
      <c r="AD213" t="s">
        <v>2284</v>
      </c>
      <c r="AH213" t="s">
        <v>123</v>
      </c>
      <c r="AI213" t="s">
        <v>124</v>
      </c>
      <c r="AJ213" t="s">
        <v>2285</v>
      </c>
      <c r="AK213" t="s">
        <v>126</v>
      </c>
      <c r="AL213" t="s">
        <v>127</v>
      </c>
      <c r="AN213" t="s">
        <v>2286</v>
      </c>
      <c r="AO213" t="s">
        <v>2287</v>
      </c>
      <c r="AP213" t="s">
        <v>2288</v>
      </c>
      <c r="AQ213" t="s">
        <v>131</v>
      </c>
      <c r="AR213" t="s">
        <v>132</v>
      </c>
      <c r="AS213" t="s">
        <v>1777</v>
      </c>
      <c r="AT213" t="s">
        <v>2289</v>
      </c>
      <c r="AV213" t="s">
        <v>1045</v>
      </c>
      <c r="AY213" t="s">
        <v>177</v>
      </c>
      <c r="AZ213" t="s">
        <v>138</v>
      </c>
      <c r="BA213" t="s">
        <v>2290</v>
      </c>
      <c r="BC213" t="s">
        <v>140</v>
      </c>
      <c r="BT213" s="7">
        <f t="shared" si="19"/>
        <v>0</v>
      </c>
      <c r="BU213" s="6">
        <f t="shared" si="20"/>
        <v>0</v>
      </c>
      <c r="BV213" s="6">
        <f t="shared" si="21"/>
        <v>0</v>
      </c>
      <c r="BW213" s="6">
        <f t="shared" si="22"/>
        <v>0</v>
      </c>
      <c r="BX213" s="6">
        <f t="shared" si="23"/>
        <v>0</v>
      </c>
    </row>
    <row r="214" spans="1:76" x14ac:dyDescent="0.35">
      <c r="A214" t="s">
        <v>2291</v>
      </c>
      <c r="B214" t="s">
        <v>107</v>
      </c>
      <c r="C214" t="s">
        <v>107</v>
      </c>
      <c r="F214" t="s">
        <v>613</v>
      </c>
      <c r="G214" t="s">
        <v>614</v>
      </c>
      <c r="H214" t="s">
        <v>615</v>
      </c>
      <c r="I214" t="s">
        <v>271</v>
      </c>
      <c r="J214" t="s">
        <v>113</v>
      </c>
      <c r="K214" s="8" t="s">
        <v>114</v>
      </c>
      <c r="L214" t="s">
        <v>114</v>
      </c>
      <c r="M214" s="6">
        <v>0</v>
      </c>
      <c r="N214" t="s">
        <v>114</v>
      </c>
      <c r="O214" s="6">
        <v>0</v>
      </c>
      <c r="P214" t="s">
        <v>114</v>
      </c>
      <c r="Q214" s="6">
        <v>0</v>
      </c>
      <c r="R214" s="7">
        <f t="shared" si="18"/>
        <v>0</v>
      </c>
      <c r="S214" t="s">
        <v>114</v>
      </c>
      <c r="T214" t="s">
        <v>114</v>
      </c>
      <c r="U214" t="s">
        <v>114</v>
      </c>
      <c r="W214" t="s">
        <v>114</v>
      </c>
      <c r="X214" t="s">
        <v>114</v>
      </c>
      <c r="Z214" t="s">
        <v>2292</v>
      </c>
      <c r="AA214" t="s">
        <v>2292</v>
      </c>
      <c r="AB214" s="1" t="s">
        <v>2293</v>
      </c>
      <c r="AC214" t="s">
        <v>2294</v>
      </c>
      <c r="AD214" t="s">
        <v>2295</v>
      </c>
      <c r="AH214" t="s">
        <v>123</v>
      </c>
      <c r="AI214" t="s">
        <v>124</v>
      </c>
      <c r="AJ214" t="s">
        <v>2296</v>
      </c>
      <c r="AK214" t="s">
        <v>126</v>
      </c>
      <c r="AL214" t="s">
        <v>127</v>
      </c>
      <c r="AN214" t="s">
        <v>2297</v>
      </c>
      <c r="AO214" t="s">
        <v>2298</v>
      </c>
      <c r="AP214" t="s">
        <v>2299</v>
      </c>
      <c r="AQ214" t="s">
        <v>131</v>
      </c>
      <c r="AR214" t="s">
        <v>132</v>
      </c>
      <c r="AS214" t="s">
        <v>2300</v>
      </c>
      <c r="AT214" t="s">
        <v>2301</v>
      </c>
      <c r="AV214" t="s">
        <v>204</v>
      </c>
      <c r="AW214" t="s">
        <v>1665</v>
      </c>
      <c r="AY214" t="s">
        <v>177</v>
      </c>
      <c r="AZ214" t="s">
        <v>627</v>
      </c>
      <c r="BA214" t="s">
        <v>2302</v>
      </c>
      <c r="BC214" t="s">
        <v>140</v>
      </c>
      <c r="BT214" s="7">
        <f t="shared" si="19"/>
        <v>0</v>
      </c>
      <c r="BU214" s="6">
        <f t="shared" si="20"/>
        <v>0</v>
      </c>
      <c r="BV214" s="6">
        <f t="shared" si="21"/>
        <v>0</v>
      </c>
      <c r="BW214" s="6">
        <f t="shared" si="22"/>
        <v>0</v>
      </c>
      <c r="BX214" s="6">
        <f t="shared" si="23"/>
        <v>0</v>
      </c>
    </row>
    <row r="215" spans="1:76" x14ac:dyDescent="0.35">
      <c r="A215" t="s">
        <v>2303</v>
      </c>
      <c r="B215" t="s">
        <v>107</v>
      </c>
      <c r="C215" t="s">
        <v>107</v>
      </c>
      <c r="F215" t="s">
        <v>158</v>
      </c>
      <c r="G215" t="s">
        <v>159</v>
      </c>
      <c r="H215" t="s">
        <v>111</v>
      </c>
      <c r="I215" t="s">
        <v>341</v>
      </c>
      <c r="J215" t="s">
        <v>113</v>
      </c>
      <c r="K215" s="8" t="s">
        <v>114</v>
      </c>
      <c r="L215" t="s">
        <v>114</v>
      </c>
      <c r="M215" s="6">
        <v>0</v>
      </c>
      <c r="N215" t="s">
        <v>114</v>
      </c>
      <c r="O215" s="6">
        <v>0</v>
      </c>
      <c r="P215" t="s">
        <v>114</v>
      </c>
      <c r="Q215" s="6">
        <v>0</v>
      </c>
      <c r="R215" s="7">
        <f t="shared" si="18"/>
        <v>0</v>
      </c>
      <c r="S215" t="s">
        <v>114</v>
      </c>
      <c r="T215" t="s">
        <v>114</v>
      </c>
      <c r="U215" t="s">
        <v>114</v>
      </c>
      <c r="W215" t="s">
        <v>114</v>
      </c>
      <c r="X215" t="s">
        <v>114</v>
      </c>
      <c r="Z215" t="s">
        <v>2304</v>
      </c>
      <c r="AA215" t="s">
        <v>2304</v>
      </c>
      <c r="AB215" s="1" t="s">
        <v>2305</v>
      </c>
      <c r="AC215" t="s">
        <v>2306</v>
      </c>
      <c r="AD215" t="s">
        <v>2307</v>
      </c>
      <c r="AH215" t="s">
        <v>123</v>
      </c>
      <c r="AI215" t="s">
        <v>124</v>
      </c>
      <c r="AJ215" t="s">
        <v>2308</v>
      </c>
      <c r="AK215" t="s">
        <v>126</v>
      </c>
      <c r="AL215" t="s">
        <v>127</v>
      </c>
      <c r="AN215" t="s">
        <v>2309</v>
      </c>
      <c r="AO215" t="s">
        <v>2310</v>
      </c>
      <c r="AP215" t="s">
        <v>2311</v>
      </c>
      <c r="AQ215" t="s">
        <v>131</v>
      </c>
      <c r="AR215" t="s">
        <v>132</v>
      </c>
      <c r="AS215" t="s">
        <v>2312</v>
      </c>
      <c r="AT215" t="s">
        <v>2313</v>
      </c>
      <c r="AV215" t="s">
        <v>375</v>
      </c>
      <c r="AW215" t="s">
        <v>354</v>
      </c>
      <c r="AY215" t="s">
        <v>177</v>
      </c>
      <c r="AZ215" t="s">
        <v>138</v>
      </c>
      <c r="BA215" t="s">
        <v>2314</v>
      </c>
      <c r="BC215" t="s">
        <v>140</v>
      </c>
      <c r="BT215" s="7">
        <f t="shared" si="19"/>
        <v>0</v>
      </c>
      <c r="BU215" s="6">
        <f t="shared" si="20"/>
        <v>0</v>
      </c>
      <c r="BV215" s="6">
        <f t="shared" si="21"/>
        <v>0</v>
      </c>
      <c r="BW215" s="6">
        <f t="shared" si="22"/>
        <v>0</v>
      </c>
      <c r="BX215" s="6">
        <f t="shared" si="23"/>
        <v>0</v>
      </c>
    </row>
    <row r="216" spans="1:76" x14ac:dyDescent="0.35">
      <c r="A216" t="s">
        <v>2315</v>
      </c>
      <c r="B216" t="s">
        <v>107</v>
      </c>
      <c r="C216" t="s">
        <v>107</v>
      </c>
      <c r="F216" t="s">
        <v>358</v>
      </c>
      <c r="G216" t="s">
        <v>359</v>
      </c>
      <c r="H216" t="s">
        <v>360</v>
      </c>
      <c r="I216" t="s">
        <v>341</v>
      </c>
      <c r="J216" t="s">
        <v>113</v>
      </c>
      <c r="K216" s="8" t="s">
        <v>114</v>
      </c>
      <c r="L216" t="s">
        <v>114</v>
      </c>
      <c r="M216" s="6">
        <v>0</v>
      </c>
      <c r="N216" t="s">
        <v>114</v>
      </c>
      <c r="O216" s="6">
        <v>0</v>
      </c>
      <c r="P216" t="s">
        <v>114</v>
      </c>
      <c r="Q216" s="6">
        <v>0</v>
      </c>
      <c r="R216" s="7">
        <f t="shared" si="18"/>
        <v>0</v>
      </c>
      <c r="S216" t="s">
        <v>114</v>
      </c>
      <c r="T216" t="s">
        <v>114</v>
      </c>
      <c r="U216" t="s">
        <v>114</v>
      </c>
      <c r="W216" t="s">
        <v>114</v>
      </c>
      <c r="X216" t="s">
        <v>114</v>
      </c>
      <c r="Z216" t="s">
        <v>2316</v>
      </c>
      <c r="AA216" t="s">
        <v>2316</v>
      </c>
      <c r="AB216" s="1" t="s">
        <v>2317</v>
      </c>
      <c r="AC216" t="s">
        <v>2318</v>
      </c>
      <c r="AD216" t="s">
        <v>2319</v>
      </c>
      <c r="AH216" t="s">
        <v>123</v>
      </c>
      <c r="AI216" t="s">
        <v>124</v>
      </c>
      <c r="AJ216" t="s">
        <v>2320</v>
      </c>
      <c r="AK216" t="s">
        <v>126</v>
      </c>
      <c r="AL216" t="s">
        <v>127</v>
      </c>
      <c r="AN216" t="s">
        <v>2321</v>
      </c>
      <c r="AO216" t="s">
        <v>2322</v>
      </c>
      <c r="AP216" t="s">
        <v>2323</v>
      </c>
      <c r="AQ216" t="s">
        <v>131</v>
      </c>
      <c r="AR216" t="s">
        <v>132</v>
      </c>
      <c r="AS216" t="s">
        <v>867</v>
      </c>
      <c r="AT216" t="s">
        <v>868</v>
      </c>
      <c r="AV216" t="s">
        <v>952</v>
      </c>
      <c r="AY216" t="s">
        <v>177</v>
      </c>
      <c r="AZ216" t="s">
        <v>364</v>
      </c>
      <c r="BA216" t="s">
        <v>2324</v>
      </c>
      <c r="BC216" t="s">
        <v>140</v>
      </c>
      <c r="BT216" s="7">
        <f t="shared" si="19"/>
        <v>0</v>
      </c>
      <c r="BU216" s="6">
        <f t="shared" si="20"/>
        <v>0</v>
      </c>
      <c r="BV216" s="6">
        <f t="shared" si="21"/>
        <v>0</v>
      </c>
      <c r="BW216" s="6">
        <f t="shared" si="22"/>
        <v>0</v>
      </c>
      <c r="BX216" s="6">
        <f t="shared" si="23"/>
        <v>0</v>
      </c>
    </row>
    <row r="217" spans="1:76" x14ac:dyDescent="0.35">
      <c r="A217" t="s">
        <v>2325</v>
      </c>
      <c r="B217" t="s">
        <v>107</v>
      </c>
      <c r="C217" t="s">
        <v>107</v>
      </c>
      <c r="F217" t="s">
        <v>358</v>
      </c>
      <c r="G217" t="s">
        <v>359</v>
      </c>
      <c r="H217" t="s">
        <v>360</v>
      </c>
      <c r="I217" t="s">
        <v>341</v>
      </c>
      <c r="J217" t="s">
        <v>113</v>
      </c>
      <c r="K217" s="8" t="s">
        <v>114</v>
      </c>
      <c r="L217" t="s">
        <v>114</v>
      </c>
      <c r="M217" s="6">
        <v>0</v>
      </c>
      <c r="N217" t="s">
        <v>114</v>
      </c>
      <c r="O217" s="6">
        <v>0</v>
      </c>
      <c r="P217" t="s">
        <v>114</v>
      </c>
      <c r="Q217" s="6">
        <v>0</v>
      </c>
      <c r="R217" s="7">
        <f t="shared" si="18"/>
        <v>0</v>
      </c>
      <c r="S217" t="s">
        <v>114</v>
      </c>
      <c r="T217" t="s">
        <v>114</v>
      </c>
      <c r="U217" t="s">
        <v>114</v>
      </c>
      <c r="W217" t="s">
        <v>114</v>
      </c>
      <c r="X217" t="s">
        <v>114</v>
      </c>
      <c r="Z217" t="s">
        <v>2326</v>
      </c>
      <c r="AA217" t="s">
        <v>2326</v>
      </c>
      <c r="AB217" s="1" t="s">
        <v>2327</v>
      </c>
      <c r="AC217" t="s">
        <v>2328</v>
      </c>
      <c r="AD217" t="s">
        <v>2329</v>
      </c>
      <c r="AH217" t="s">
        <v>123</v>
      </c>
      <c r="AI217" t="s">
        <v>124</v>
      </c>
      <c r="AJ217" t="s">
        <v>2330</v>
      </c>
      <c r="AK217" t="s">
        <v>126</v>
      </c>
      <c r="AL217" t="s">
        <v>127</v>
      </c>
      <c r="AN217" t="s">
        <v>2331</v>
      </c>
      <c r="AO217" t="s">
        <v>2332</v>
      </c>
      <c r="AP217" t="s">
        <v>2333</v>
      </c>
      <c r="AQ217" t="s">
        <v>131</v>
      </c>
      <c r="AR217" t="s">
        <v>132</v>
      </c>
      <c r="AS217" t="s">
        <v>262</v>
      </c>
      <c r="AT217" t="s">
        <v>263</v>
      </c>
      <c r="AV217" t="s">
        <v>585</v>
      </c>
      <c r="AW217" t="s">
        <v>204</v>
      </c>
      <c r="AY217" t="s">
        <v>177</v>
      </c>
      <c r="AZ217" t="s">
        <v>364</v>
      </c>
      <c r="BA217" t="s">
        <v>2334</v>
      </c>
      <c r="BC217" t="s">
        <v>140</v>
      </c>
      <c r="BT217" s="7">
        <f t="shared" si="19"/>
        <v>0</v>
      </c>
      <c r="BU217" s="6">
        <f t="shared" si="20"/>
        <v>0</v>
      </c>
      <c r="BV217" s="6">
        <f t="shared" si="21"/>
        <v>0</v>
      </c>
      <c r="BW217" s="6">
        <f t="shared" si="22"/>
        <v>0</v>
      </c>
      <c r="BX217" s="6">
        <f t="shared" si="23"/>
        <v>0</v>
      </c>
    </row>
    <row r="218" spans="1:76" x14ac:dyDescent="0.35">
      <c r="A218" t="s">
        <v>2335</v>
      </c>
      <c r="B218" t="s">
        <v>107</v>
      </c>
      <c r="C218" t="s">
        <v>107</v>
      </c>
      <c r="E218" t="s">
        <v>108</v>
      </c>
      <c r="F218" t="s">
        <v>338</v>
      </c>
      <c r="G218" t="s">
        <v>339</v>
      </c>
      <c r="H218" t="s">
        <v>340</v>
      </c>
      <c r="I218" t="s">
        <v>341</v>
      </c>
      <c r="J218" t="s">
        <v>113</v>
      </c>
      <c r="K218" s="8" t="s">
        <v>114</v>
      </c>
      <c r="L218" t="s">
        <v>114</v>
      </c>
      <c r="M218" s="6">
        <v>0</v>
      </c>
      <c r="N218" t="s">
        <v>114</v>
      </c>
      <c r="O218" s="6">
        <v>0</v>
      </c>
      <c r="P218" t="s">
        <v>114</v>
      </c>
      <c r="Q218" s="6">
        <v>0</v>
      </c>
      <c r="R218" s="7">
        <f t="shared" si="18"/>
        <v>0</v>
      </c>
      <c r="S218" t="s">
        <v>142</v>
      </c>
      <c r="T218" t="s">
        <v>114</v>
      </c>
      <c r="U218" t="s">
        <v>142</v>
      </c>
      <c r="W218" t="s">
        <v>114</v>
      </c>
      <c r="X218" t="s">
        <v>562</v>
      </c>
      <c r="Z218" t="s">
        <v>2336</v>
      </c>
      <c r="AA218" t="s">
        <v>2337</v>
      </c>
      <c r="AB218" s="1" t="s">
        <v>2338</v>
      </c>
      <c r="AC218" t="s">
        <v>2339</v>
      </c>
      <c r="AD218" t="s">
        <v>2340</v>
      </c>
      <c r="AH218" t="s">
        <v>123</v>
      </c>
      <c r="AI218" t="s">
        <v>124</v>
      </c>
      <c r="AJ218" t="s">
        <v>2341</v>
      </c>
      <c r="AK218" t="s">
        <v>126</v>
      </c>
      <c r="AL218" t="s">
        <v>127</v>
      </c>
      <c r="AN218" t="s">
        <v>2342</v>
      </c>
      <c r="AO218" t="s">
        <v>2343</v>
      </c>
      <c r="AP218" t="s">
        <v>2344</v>
      </c>
      <c r="AQ218" t="s">
        <v>131</v>
      </c>
      <c r="AR218" t="s">
        <v>132</v>
      </c>
      <c r="AS218" t="s">
        <v>720</v>
      </c>
      <c r="AT218" t="s">
        <v>2345</v>
      </c>
      <c r="AV218" t="s">
        <v>701</v>
      </c>
      <c r="AW218" t="s">
        <v>918</v>
      </c>
      <c r="AX218" t="s">
        <v>155</v>
      </c>
      <c r="AY218" t="s">
        <v>177</v>
      </c>
      <c r="AZ218" t="s">
        <v>356</v>
      </c>
      <c r="BA218" t="s">
        <v>2346</v>
      </c>
      <c r="BC218" t="s">
        <v>140</v>
      </c>
      <c r="BT218" s="7">
        <f t="shared" si="19"/>
        <v>0</v>
      </c>
      <c r="BU218" s="6">
        <f t="shared" si="20"/>
        <v>0</v>
      </c>
      <c r="BV218" s="6">
        <f t="shared" si="21"/>
        <v>0</v>
      </c>
      <c r="BW218" s="6">
        <f t="shared" si="22"/>
        <v>0</v>
      </c>
      <c r="BX218" s="6">
        <f t="shared" si="23"/>
        <v>0</v>
      </c>
    </row>
    <row r="219" spans="1:76" x14ac:dyDescent="0.35">
      <c r="A219" t="s">
        <v>2335</v>
      </c>
      <c r="B219" t="s">
        <v>107</v>
      </c>
      <c r="C219" t="s">
        <v>107</v>
      </c>
      <c r="E219" t="s">
        <v>108</v>
      </c>
      <c r="F219" t="s">
        <v>358</v>
      </c>
      <c r="G219" t="s">
        <v>359</v>
      </c>
      <c r="H219" t="s">
        <v>360</v>
      </c>
      <c r="I219" t="s">
        <v>341</v>
      </c>
      <c r="J219" t="s">
        <v>113</v>
      </c>
      <c r="K219" s="8" t="s">
        <v>114</v>
      </c>
      <c r="L219" t="s">
        <v>361</v>
      </c>
      <c r="M219" s="6">
        <v>233</v>
      </c>
      <c r="N219" t="s">
        <v>113</v>
      </c>
      <c r="O219" s="6">
        <v>127</v>
      </c>
      <c r="P219" t="s">
        <v>562</v>
      </c>
      <c r="Q219" s="6">
        <v>0</v>
      </c>
      <c r="R219" s="7">
        <f t="shared" si="18"/>
        <v>106</v>
      </c>
      <c r="S219" t="s">
        <v>142</v>
      </c>
      <c r="T219" t="s">
        <v>114</v>
      </c>
      <c r="U219" t="s">
        <v>142</v>
      </c>
      <c r="W219" t="s">
        <v>114</v>
      </c>
      <c r="X219" t="s">
        <v>562</v>
      </c>
      <c r="Z219" t="s">
        <v>2336</v>
      </c>
      <c r="AA219" t="s">
        <v>2337</v>
      </c>
      <c r="AB219" s="1" t="s">
        <v>2338</v>
      </c>
      <c r="AC219" t="s">
        <v>2339</v>
      </c>
      <c r="AD219" t="s">
        <v>2340</v>
      </c>
      <c r="AH219" t="s">
        <v>123</v>
      </c>
      <c r="AI219" t="s">
        <v>124</v>
      </c>
      <c r="AJ219" t="s">
        <v>2341</v>
      </c>
      <c r="AK219" t="s">
        <v>126</v>
      </c>
      <c r="AL219" t="s">
        <v>127</v>
      </c>
      <c r="AN219" t="s">
        <v>2342</v>
      </c>
      <c r="AO219" t="s">
        <v>2343</v>
      </c>
      <c r="AP219" t="s">
        <v>2344</v>
      </c>
      <c r="AQ219" t="s">
        <v>131</v>
      </c>
      <c r="AR219" t="s">
        <v>132</v>
      </c>
      <c r="AS219" t="s">
        <v>720</v>
      </c>
      <c r="AT219" t="s">
        <v>2345</v>
      </c>
      <c r="AV219" t="s">
        <v>701</v>
      </c>
      <c r="AW219" t="s">
        <v>918</v>
      </c>
      <c r="AX219" t="s">
        <v>155</v>
      </c>
      <c r="AY219" t="s">
        <v>177</v>
      </c>
      <c r="AZ219" t="s">
        <v>364</v>
      </c>
      <c r="BA219" t="s">
        <v>2346</v>
      </c>
      <c r="BC219" t="s">
        <v>140</v>
      </c>
      <c r="BT219" s="7">
        <f t="shared" si="19"/>
        <v>106</v>
      </c>
      <c r="BU219" s="6">
        <f t="shared" si="20"/>
        <v>99.065420560747654</v>
      </c>
      <c r="BV219" s="6">
        <f t="shared" si="21"/>
        <v>6.9345794392523361</v>
      </c>
      <c r="BW219" s="6">
        <f t="shared" si="22"/>
        <v>105.99999999999999</v>
      </c>
      <c r="BX219" s="6">
        <f t="shared" si="23"/>
        <v>0</v>
      </c>
    </row>
    <row r="220" spans="1:76" x14ac:dyDescent="0.35">
      <c r="A220" t="s">
        <v>2347</v>
      </c>
      <c r="B220" t="s">
        <v>107</v>
      </c>
      <c r="C220" t="s">
        <v>107</v>
      </c>
      <c r="E220" t="s">
        <v>108</v>
      </c>
      <c r="F220" t="s">
        <v>268</v>
      </c>
      <c r="G220" t="s">
        <v>269</v>
      </c>
      <c r="H220" t="s">
        <v>2268</v>
      </c>
      <c r="I220" t="s">
        <v>271</v>
      </c>
      <c r="J220" t="s">
        <v>113</v>
      </c>
      <c r="K220" s="8" t="s">
        <v>114</v>
      </c>
      <c r="L220" t="s">
        <v>114</v>
      </c>
      <c r="M220" s="6">
        <v>0</v>
      </c>
      <c r="N220" t="s">
        <v>114</v>
      </c>
      <c r="O220" s="6">
        <v>0</v>
      </c>
      <c r="P220" t="s">
        <v>114</v>
      </c>
      <c r="Q220" s="6">
        <v>0</v>
      </c>
      <c r="R220" s="7">
        <f t="shared" si="18"/>
        <v>0</v>
      </c>
      <c r="S220" t="s">
        <v>142</v>
      </c>
      <c r="T220" t="s">
        <v>114</v>
      </c>
      <c r="U220" t="s">
        <v>142</v>
      </c>
      <c r="W220" t="s">
        <v>114</v>
      </c>
      <c r="X220" t="s">
        <v>2348</v>
      </c>
      <c r="Z220" t="s">
        <v>2349</v>
      </c>
      <c r="AA220" t="s">
        <v>2350</v>
      </c>
      <c r="AB220" s="1" t="s">
        <v>2351</v>
      </c>
      <c r="AC220" t="s">
        <v>2352</v>
      </c>
      <c r="AD220" t="s">
        <v>2350</v>
      </c>
      <c r="AH220" t="s">
        <v>123</v>
      </c>
      <c r="AI220" t="s">
        <v>124</v>
      </c>
      <c r="AJ220" t="s">
        <v>2353</v>
      </c>
      <c r="AK220" t="s">
        <v>126</v>
      </c>
      <c r="AL220" t="s">
        <v>127</v>
      </c>
      <c r="AN220" t="s">
        <v>2354</v>
      </c>
      <c r="AO220" t="s">
        <v>2355</v>
      </c>
      <c r="AP220" t="s">
        <v>2356</v>
      </c>
      <c r="AQ220" t="s">
        <v>131</v>
      </c>
      <c r="AR220" t="s">
        <v>132</v>
      </c>
      <c r="AS220" t="s">
        <v>152</v>
      </c>
      <c r="AT220" t="s">
        <v>1347</v>
      </c>
      <c r="AV220" t="s">
        <v>952</v>
      </c>
      <c r="AX220" t="s">
        <v>136</v>
      </c>
      <c r="AY220" t="s">
        <v>272</v>
      </c>
      <c r="AZ220" t="s">
        <v>273</v>
      </c>
      <c r="BA220" t="s">
        <v>2357</v>
      </c>
      <c r="BC220" t="s">
        <v>140</v>
      </c>
      <c r="BT220" s="7">
        <f t="shared" si="19"/>
        <v>0</v>
      </c>
      <c r="BU220" s="6">
        <f t="shared" si="20"/>
        <v>0</v>
      </c>
      <c r="BV220" s="6">
        <f t="shared" si="21"/>
        <v>0</v>
      </c>
      <c r="BW220" s="6">
        <f t="shared" si="22"/>
        <v>0</v>
      </c>
      <c r="BX220" s="6">
        <f t="shared" si="23"/>
        <v>0</v>
      </c>
    </row>
    <row r="221" spans="1:76" x14ac:dyDescent="0.35">
      <c r="A221" t="s">
        <v>2347</v>
      </c>
      <c r="B221" t="s">
        <v>107</v>
      </c>
      <c r="C221" t="s">
        <v>107</v>
      </c>
      <c r="E221" t="s">
        <v>108</v>
      </c>
      <c r="F221" t="s">
        <v>158</v>
      </c>
      <c r="G221" t="s">
        <v>159</v>
      </c>
      <c r="H221" t="s">
        <v>111</v>
      </c>
      <c r="I221" t="s">
        <v>341</v>
      </c>
      <c r="J221" t="s">
        <v>113</v>
      </c>
      <c r="K221" s="8" t="s">
        <v>114</v>
      </c>
      <c r="L221" t="s">
        <v>161</v>
      </c>
      <c r="M221" s="6">
        <v>459</v>
      </c>
      <c r="N221" t="s">
        <v>2358</v>
      </c>
      <c r="O221" s="6">
        <v>220</v>
      </c>
      <c r="P221" t="s">
        <v>2348</v>
      </c>
      <c r="Q221" s="6">
        <v>0</v>
      </c>
      <c r="R221" s="7">
        <f t="shared" si="18"/>
        <v>239</v>
      </c>
      <c r="S221" t="s">
        <v>142</v>
      </c>
      <c r="T221" t="s">
        <v>114</v>
      </c>
      <c r="U221" t="s">
        <v>142</v>
      </c>
      <c r="W221" t="s">
        <v>114</v>
      </c>
      <c r="X221" t="s">
        <v>2348</v>
      </c>
      <c r="Z221" t="s">
        <v>2349</v>
      </c>
      <c r="AA221" t="s">
        <v>2350</v>
      </c>
      <c r="AB221" s="1" t="s">
        <v>2351</v>
      </c>
      <c r="AC221" t="s">
        <v>2352</v>
      </c>
      <c r="AD221" t="s">
        <v>2350</v>
      </c>
      <c r="AH221" t="s">
        <v>123</v>
      </c>
      <c r="AI221" t="s">
        <v>124</v>
      </c>
      <c r="AJ221" t="s">
        <v>2353</v>
      </c>
      <c r="AK221" t="s">
        <v>126</v>
      </c>
      <c r="AL221" t="s">
        <v>127</v>
      </c>
      <c r="AN221" t="s">
        <v>2354</v>
      </c>
      <c r="AO221" t="s">
        <v>2355</v>
      </c>
      <c r="AP221" t="s">
        <v>2356</v>
      </c>
      <c r="AQ221" t="s">
        <v>131</v>
      </c>
      <c r="AR221" t="s">
        <v>132</v>
      </c>
      <c r="AS221" t="s">
        <v>152</v>
      </c>
      <c r="AT221" t="s">
        <v>1347</v>
      </c>
      <c r="AV221" t="s">
        <v>952</v>
      </c>
      <c r="AX221" t="s">
        <v>136</v>
      </c>
      <c r="AY221" t="s">
        <v>177</v>
      </c>
      <c r="AZ221" t="s">
        <v>138</v>
      </c>
      <c r="BA221" t="s">
        <v>2357</v>
      </c>
      <c r="BC221" t="s">
        <v>140</v>
      </c>
      <c r="BT221" s="7">
        <f t="shared" si="19"/>
        <v>239</v>
      </c>
      <c r="BU221" s="6">
        <f t="shared" si="20"/>
        <v>223.36448598130841</v>
      </c>
      <c r="BV221" s="6">
        <f t="shared" si="21"/>
        <v>15.635514018691588</v>
      </c>
      <c r="BW221" s="6">
        <f t="shared" si="22"/>
        <v>239</v>
      </c>
      <c r="BX221" s="6">
        <f t="shared" si="23"/>
        <v>0</v>
      </c>
    </row>
    <row r="222" spans="1:76" x14ac:dyDescent="0.35">
      <c r="A222" t="s">
        <v>2359</v>
      </c>
      <c r="B222" t="s">
        <v>107</v>
      </c>
      <c r="C222" t="s">
        <v>107</v>
      </c>
      <c r="F222" t="s">
        <v>533</v>
      </c>
      <c r="G222" t="s">
        <v>534</v>
      </c>
      <c r="H222" t="s">
        <v>2360</v>
      </c>
      <c r="I222" t="s">
        <v>536</v>
      </c>
      <c r="J222" t="s">
        <v>113</v>
      </c>
      <c r="K222" s="8" t="s">
        <v>114</v>
      </c>
      <c r="L222" t="s">
        <v>114</v>
      </c>
      <c r="M222" s="6">
        <v>0</v>
      </c>
      <c r="N222" t="s">
        <v>114</v>
      </c>
      <c r="O222" s="6">
        <v>0</v>
      </c>
      <c r="P222" t="s">
        <v>114</v>
      </c>
      <c r="Q222" s="6">
        <v>0</v>
      </c>
      <c r="R222" s="7">
        <f t="shared" si="18"/>
        <v>0</v>
      </c>
      <c r="S222" t="s">
        <v>114</v>
      </c>
      <c r="T222" t="s">
        <v>114</v>
      </c>
      <c r="U222" t="s">
        <v>114</v>
      </c>
      <c r="W222" t="s">
        <v>114</v>
      </c>
      <c r="X222" t="s">
        <v>114</v>
      </c>
      <c r="Z222" t="s">
        <v>2361</v>
      </c>
      <c r="AA222" t="s">
        <v>2361</v>
      </c>
      <c r="AB222" s="1" t="s">
        <v>2362</v>
      </c>
      <c r="AC222" t="s">
        <v>2363</v>
      </c>
      <c r="AD222" t="s">
        <v>2364</v>
      </c>
      <c r="AH222" t="s">
        <v>123</v>
      </c>
      <c r="AI222" t="s">
        <v>124</v>
      </c>
      <c r="AJ222" t="s">
        <v>2365</v>
      </c>
      <c r="AK222" t="s">
        <v>126</v>
      </c>
      <c r="AL222" t="s">
        <v>127</v>
      </c>
      <c r="AN222" t="s">
        <v>2366</v>
      </c>
      <c r="AO222" t="s">
        <v>2367</v>
      </c>
      <c r="AP222" t="s">
        <v>2368</v>
      </c>
      <c r="AQ222" t="s">
        <v>131</v>
      </c>
      <c r="AR222" t="s">
        <v>132</v>
      </c>
      <c r="AS222" t="s">
        <v>2146</v>
      </c>
      <c r="AT222" t="s">
        <v>2369</v>
      </c>
      <c r="AV222" t="s">
        <v>1766</v>
      </c>
      <c r="AY222" t="s">
        <v>547</v>
      </c>
      <c r="AZ222" t="s">
        <v>364</v>
      </c>
      <c r="BA222" t="s">
        <v>2370</v>
      </c>
      <c r="BC222" t="s">
        <v>140</v>
      </c>
      <c r="BT222" s="7">
        <f t="shared" si="19"/>
        <v>0</v>
      </c>
      <c r="BU222" s="6">
        <f t="shared" si="20"/>
        <v>0</v>
      </c>
      <c r="BV222" s="6">
        <f t="shared" si="21"/>
        <v>0</v>
      </c>
      <c r="BW222" s="6">
        <f t="shared" si="22"/>
        <v>0</v>
      </c>
      <c r="BX222" s="6">
        <f t="shared" si="23"/>
        <v>0</v>
      </c>
    </row>
    <row r="223" spans="1:76" x14ac:dyDescent="0.35">
      <c r="A223" t="s">
        <v>2371</v>
      </c>
      <c r="B223" t="s">
        <v>107</v>
      </c>
      <c r="C223" t="s">
        <v>107</v>
      </c>
      <c r="F223" t="s">
        <v>613</v>
      </c>
      <c r="G223" t="s">
        <v>614</v>
      </c>
      <c r="H223" t="s">
        <v>615</v>
      </c>
      <c r="I223" t="s">
        <v>271</v>
      </c>
      <c r="J223" t="s">
        <v>113</v>
      </c>
      <c r="K223" s="8" t="s">
        <v>114</v>
      </c>
      <c r="L223" t="s">
        <v>114</v>
      </c>
      <c r="M223" s="6">
        <v>0</v>
      </c>
      <c r="N223" t="s">
        <v>114</v>
      </c>
      <c r="O223" s="6">
        <v>0</v>
      </c>
      <c r="P223" t="s">
        <v>114</v>
      </c>
      <c r="Q223" s="6">
        <v>0</v>
      </c>
      <c r="R223" s="7">
        <f t="shared" si="18"/>
        <v>0</v>
      </c>
      <c r="S223" t="s">
        <v>114</v>
      </c>
      <c r="T223" t="s">
        <v>114</v>
      </c>
      <c r="U223" t="s">
        <v>114</v>
      </c>
      <c r="W223" t="s">
        <v>114</v>
      </c>
      <c r="X223" t="s">
        <v>114</v>
      </c>
      <c r="Z223" t="s">
        <v>2372</v>
      </c>
      <c r="AA223" t="s">
        <v>2372</v>
      </c>
      <c r="AB223" s="1" t="s">
        <v>2373</v>
      </c>
      <c r="AC223" t="s">
        <v>2374</v>
      </c>
      <c r="AD223" t="s">
        <v>2375</v>
      </c>
      <c r="AH223" t="s">
        <v>123</v>
      </c>
      <c r="AI223" t="s">
        <v>124</v>
      </c>
      <c r="AJ223" t="s">
        <v>2376</v>
      </c>
      <c r="AK223" t="s">
        <v>126</v>
      </c>
      <c r="AL223" t="s">
        <v>127</v>
      </c>
      <c r="AN223" t="s">
        <v>2377</v>
      </c>
      <c r="AO223" t="s">
        <v>2378</v>
      </c>
      <c r="AP223" t="s">
        <v>2379</v>
      </c>
      <c r="AQ223" t="s">
        <v>131</v>
      </c>
      <c r="AR223" t="s">
        <v>132</v>
      </c>
      <c r="AS223" t="s">
        <v>2380</v>
      </c>
      <c r="AT223" t="s">
        <v>2381</v>
      </c>
      <c r="AV223" t="s">
        <v>965</v>
      </c>
      <c r="AY223" t="s">
        <v>177</v>
      </c>
      <c r="AZ223" t="s">
        <v>627</v>
      </c>
      <c r="BA223" t="s">
        <v>2382</v>
      </c>
      <c r="BC223" t="s">
        <v>140</v>
      </c>
      <c r="BT223" s="7">
        <f t="shared" si="19"/>
        <v>0</v>
      </c>
      <c r="BU223" s="6">
        <f t="shared" si="20"/>
        <v>0</v>
      </c>
      <c r="BV223" s="6">
        <f t="shared" si="21"/>
        <v>0</v>
      </c>
      <c r="BW223" s="6">
        <f t="shared" si="22"/>
        <v>0</v>
      </c>
      <c r="BX223" s="6">
        <f t="shared" si="23"/>
        <v>0</v>
      </c>
    </row>
    <row r="224" spans="1:76" x14ac:dyDescent="0.35">
      <c r="A224" t="s">
        <v>2383</v>
      </c>
      <c r="B224" t="s">
        <v>107</v>
      </c>
      <c r="C224" t="s">
        <v>107</v>
      </c>
      <c r="F224" t="s">
        <v>533</v>
      </c>
      <c r="G224" t="s">
        <v>534</v>
      </c>
      <c r="H224" t="s">
        <v>2360</v>
      </c>
      <c r="I224" t="s">
        <v>536</v>
      </c>
      <c r="J224" t="s">
        <v>113</v>
      </c>
      <c r="K224" s="8" t="s">
        <v>114</v>
      </c>
      <c r="L224" t="s">
        <v>114</v>
      </c>
      <c r="M224" s="6">
        <v>0</v>
      </c>
      <c r="N224" t="s">
        <v>114</v>
      </c>
      <c r="O224" s="6">
        <v>0</v>
      </c>
      <c r="P224" t="s">
        <v>114</v>
      </c>
      <c r="Q224" s="6">
        <v>0</v>
      </c>
      <c r="R224" s="7">
        <f t="shared" si="18"/>
        <v>0</v>
      </c>
      <c r="S224" t="s">
        <v>114</v>
      </c>
      <c r="T224" t="s">
        <v>114</v>
      </c>
      <c r="U224" t="s">
        <v>114</v>
      </c>
      <c r="W224" t="s">
        <v>114</v>
      </c>
      <c r="X224" t="s">
        <v>114</v>
      </c>
      <c r="Z224" t="s">
        <v>2384</v>
      </c>
      <c r="AA224" t="s">
        <v>2384</v>
      </c>
      <c r="AB224" s="1" t="s">
        <v>2385</v>
      </c>
      <c r="AC224" t="s">
        <v>2386</v>
      </c>
      <c r="AD224" t="s">
        <v>2387</v>
      </c>
      <c r="AH224" t="s">
        <v>123</v>
      </c>
      <c r="AI224" t="s">
        <v>124</v>
      </c>
      <c r="AJ224" t="s">
        <v>2388</v>
      </c>
      <c r="AK224" t="s">
        <v>126</v>
      </c>
      <c r="AL224" t="s">
        <v>127</v>
      </c>
      <c r="AN224" t="s">
        <v>2389</v>
      </c>
      <c r="AO224" t="s">
        <v>2390</v>
      </c>
      <c r="AP224" t="s">
        <v>2391</v>
      </c>
      <c r="AQ224" t="s">
        <v>131</v>
      </c>
      <c r="AR224" t="s">
        <v>132</v>
      </c>
      <c r="AS224" t="s">
        <v>2134</v>
      </c>
      <c r="AT224" t="s">
        <v>2392</v>
      </c>
      <c r="AV224" t="s">
        <v>236</v>
      </c>
      <c r="AY224" t="s">
        <v>547</v>
      </c>
      <c r="AZ224" t="s">
        <v>364</v>
      </c>
      <c r="BA224" t="s">
        <v>2393</v>
      </c>
      <c r="BC224" t="s">
        <v>140</v>
      </c>
      <c r="BT224" s="7">
        <f t="shared" si="19"/>
        <v>0</v>
      </c>
      <c r="BU224" s="6">
        <f t="shared" si="20"/>
        <v>0</v>
      </c>
      <c r="BV224" s="6">
        <f t="shared" si="21"/>
        <v>0</v>
      </c>
      <c r="BW224" s="6">
        <f t="shared" si="22"/>
        <v>0</v>
      </c>
      <c r="BX224" s="6">
        <f t="shared" si="23"/>
        <v>0</v>
      </c>
    </row>
    <row r="225" spans="1:76" x14ac:dyDescent="0.35">
      <c r="A225" t="s">
        <v>2394</v>
      </c>
      <c r="B225" t="s">
        <v>107</v>
      </c>
      <c r="C225" t="s">
        <v>107</v>
      </c>
      <c r="F225" t="s">
        <v>358</v>
      </c>
      <c r="G225" t="s">
        <v>359</v>
      </c>
      <c r="H225" t="s">
        <v>360</v>
      </c>
      <c r="I225" t="s">
        <v>341</v>
      </c>
      <c r="J225" t="s">
        <v>113</v>
      </c>
      <c r="K225" s="8" t="s">
        <v>114</v>
      </c>
      <c r="L225" t="s">
        <v>114</v>
      </c>
      <c r="M225" s="6">
        <v>0</v>
      </c>
      <c r="N225" t="s">
        <v>114</v>
      </c>
      <c r="O225" s="6">
        <v>0</v>
      </c>
      <c r="P225" t="s">
        <v>114</v>
      </c>
      <c r="Q225" s="6">
        <v>0</v>
      </c>
      <c r="R225" s="7">
        <f t="shared" si="18"/>
        <v>0</v>
      </c>
      <c r="S225" t="s">
        <v>114</v>
      </c>
      <c r="T225" t="s">
        <v>114</v>
      </c>
      <c r="U225" t="s">
        <v>114</v>
      </c>
      <c r="W225" t="s">
        <v>114</v>
      </c>
      <c r="X225" t="s">
        <v>114</v>
      </c>
      <c r="Z225" t="s">
        <v>2395</v>
      </c>
      <c r="AA225" t="s">
        <v>2395</v>
      </c>
      <c r="AB225" s="1" t="s">
        <v>2396</v>
      </c>
      <c r="AC225" t="s">
        <v>2397</v>
      </c>
      <c r="AD225" t="s">
        <v>2398</v>
      </c>
      <c r="AH225" t="s">
        <v>123</v>
      </c>
      <c r="AI225" t="s">
        <v>124</v>
      </c>
      <c r="AJ225" t="s">
        <v>2399</v>
      </c>
      <c r="AK225" t="s">
        <v>126</v>
      </c>
      <c r="AL225" t="s">
        <v>127</v>
      </c>
      <c r="AN225" t="s">
        <v>2400</v>
      </c>
      <c r="AO225" t="s">
        <v>464</v>
      </c>
      <c r="AP225" t="s">
        <v>2401</v>
      </c>
      <c r="AQ225" t="s">
        <v>131</v>
      </c>
      <c r="AR225" t="s">
        <v>132</v>
      </c>
      <c r="AS225" t="s">
        <v>2402</v>
      </c>
      <c r="AT225" t="s">
        <v>2403</v>
      </c>
      <c r="AV225" t="s">
        <v>1490</v>
      </c>
      <c r="AY225" t="s">
        <v>177</v>
      </c>
      <c r="AZ225" t="s">
        <v>364</v>
      </c>
      <c r="BA225" t="s">
        <v>2404</v>
      </c>
      <c r="BC225" t="s">
        <v>140</v>
      </c>
      <c r="BT225" s="7">
        <f t="shared" si="19"/>
        <v>0</v>
      </c>
      <c r="BU225" s="6">
        <f t="shared" si="20"/>
        <v>0</v>
      </c>
      <c r="BV225" s="6">
        <f t="shared" si="21"/>
        <v>0</v>
      </c>
      <c r="BW225" s="6">
        <f t="shared" si="22"/>
        <v>0</v>
      </c>
      <c r="BX225" s="6">
        <f t="shared" si="23"/>
        <v>0</v>
      </c>
    </row>
    <row r="226" spans="1:76" x14ac:dyDescent="0.35">
      <c r="A226" t="s">
        <v>2405</v>
      </c>
      <c r="B226" t="s">
        <v>107</v>
      </c>
      <c r="C226" t="s">
        <v>107</v>
      </c>
      <c r="F226" t="s">
        <v>158</v>
      </c>
      <c r="G226" t="s">
        <v>159</v>
      </c>
      <c r="H226" t="s">
        <v>111</v>
      </c>
      <c r="I226" t="s">
        <v>341</v>
      </c>
      <c r="J226" t="s">
        <v>113</v>
      </c>
      <c r="K226" s="8" t="s">
        <v>114</v>
      </c>
      <c r="L226" t="s">
        <v>114</v>
      </c>
      <c r="M226" s="6">
        <v>0</v>
      </c>
      <c r="N226" t="s">
        <v>114</v>
      </c>
      <c r="O226" s="6">
        <v>0</v>
      </c>
      <c r="P226" t="s">
        <v>114</v>
      </c>
      <c r="Q226" s="6">
        <v>0</v>
      </c>
      <c r="R226" s="7">
        <f t="shared" si="18"/>
        <v>0</v>
      </c>
      <c r="S226" t="s">
        <v>114</v>
      </c>
      <c r="T226" t="s">
        <v>114</v>
      </c>
      <c r="U226" t="s">
        <v>114</v>
      </c>
      <c r="W226" t="s">
        <v>114</v>
      </c>
      <c r="X226" t="s">
        <v>114</v>
      </c>
      <c r="Z226" t="s">
        <v>2406</v>
      </c>
      <c r="AA226" t="s">
        <v>2406</v>
      </c>
      <c r="AB226" s="1" t="s">
        <v>2407</v>
      </c>
      <c r="AC226" t="s">
        <v>2408</v>
      </c>
      <c r="AD226" t="s">
        <v>2409</v>
      </c>
      <c r="AH226" t="s">
        <v>123</v>
      </c>
      <c r="AI226" t="s">
        <v>124</v>
      </c>
      <c r="AJ226" t="s">
        <v>2410</v>
      </c>
      <c r="AK226" t="s">
        <v>126</v>
      </c>
      <c r="AL226" t="s">
        <v>127</v>
      </c>
      <c r="AN226" t="s">
        <v>2411</v>
      </c>
      <c r="AO226" t="s">
        <v>2412</v>
      </c>
      <c r="AP226" t="s">
        <v>2413</v>
      </c>
      <c r="AQ226" t="s">
        <v>131</v>
      </c>
      <c r="AR226" t="s">
        <v>132</v>
      </c>
      <c r="AS226" t="s">
        <v>1267</v>
      </c>
      <c r="AT226" t="s">
        <v>2414</v>
      </c>
      <c r="AV226" t="s">
        <v>1466</v>
      </c>
      <c r="AW226" t="s">
        <v>798</v>
      </c>
      <c r="AY226" t="s">
        <v>177</v>
      </c>
      <c r="AZ226" t="s">
        <v>138</v>
      </c>
      <c r="BA226" t="s">
        <v>2415</v>
      </c>
      <c r="BC226" t="s">
        <v>140</v>
      </c>
      <c r="BT226" s="7">
        <f t="shared" si="19"/>
        <v>0</v>
      </c>
      <c r="BU226" s="6">
        <f t="shared" si="20"/>
        <v>0</v>
      </c>
      <c r="BV226" s="6">
        <f t="shared" si="21"/>
        <v>0</v>
      </c>
      <c r="BW226" s="6">
        <f t="shared" si="22"/>
        <v>0</v>
      </c>
      <c r="BX226" s="6">
        <f t="shared" si="23"/>
        <v>0</v>
      </c>
    </row>
    <row r="227" spans="1:76" x14ac:dyDescent="0.35">
      <c r="A227" t="s">
        <v>2416</v>
      </c>
      <c r="B227" t="s">
        <v>107</v>
      </c>
      <c r="C227" t="s">
        <v>107</v>
      </c>
      <c r="F227" t="s">
        <v>358</v>
      </c>
      <c r="G227" t="s">
        <v>359</v>
      </c>
      <c r="H227" t="s">
        <v>360</v>
      </c>
      <c r="I227" t="s">
        <v>341</v>
      </c>
      <c r="J227" t="s">
        <v>113</v>
      </c>
      <c r="K227" s="8" t="s">
        <v>114</v>
      </c>
      <c r="L227" t="s">
        <v>114</v>
      </c>
      <c r="M227" s="6">
        <v>0</v>
      </c>
      <c r="N227" t="s">
        <v>114</v>
      </c>
      <c r="O227" s="6">
        <v>0</v>
      </c>
      <c r="P227" t="s">
        <v>114</v>
      </c>
      <c r="Q227" s="6">
        <v>0</v>
      </c>
      <c r="R227" s="7">
        <f t="shared" si="18"/>
        <v>0</v>
      </c>
      <c r="S227" t="s">
        <v>114</v>
      </c>
      <c r="T227" t="s">
        <v>114</v>
      </c>
      <c r="U227" t="s">
        <v>114</v>
      </c>
      <c r="W227" t="s">
        <v>114</v>
      </c>
      <c r="X227" t="s">
        <v>114</v>
      </c>
      <c r="Z227" t="s">
        <v>2417</v>
      </c>
      <c r="AA227" t="s">
        <v>2417</v>
      </c>
      <c r="AB227" s="1" t="s">
        <v>2418</v>
      </c>
      <c r="AC227" t="s">
        <v>2419</v>
      </c>
      <c r="AD227" t="s">
        <v>2420</v>
      </c>
      <c r="AH227" t="s">
        <v>123</v>
      </c>
      <c r="AI227" t="s">
        <v>124</v>
      </c>
      <c r="AJ227" t="s">
        <v>2421</v>
      </c>
      <c r="AK227" t="s">
        <v>126</v>
      </c>
      <c r="AL227" t="s">
        <v>127</v>
      </c>
      <c r="AN227" t="s">
        <v>2422</v>
      </c>
      <c r="AO227" t="s">
        <v>2423</v>
      </c>
      <c r="AP227" t="s">
        <v>2424</v>
      </c>
      <c r="AQ227" t="s">
        <v>131</v>
      </c>
      <c r="AR227" t="s">
        <v>132</v>
      </c>
      <c r="AS227" t="s">
        <v>387</v>
      </c>
      <c r="AT227" t="s">
        <v>2019</v>
      </c>
      <c r="AV227" t="s">
        <v>2425</v>
      </c>
      <c r="AY227" t="s">
        <v>177</v>
      </c>
      <c r="AZ227" t="s">
        <v>364</v>
      </c>
      <c r="BA227" t="s">
        <v>2426</v>
      </c>
      <c r="BC227" t="s">
        <v>140</v>
      </c>
      <c r="BT227" s="7">
        <f t="shared" si="19"/>
        <v>0</v>
      </c>
      <c r="BU227" s="6">
        <f t="shared" si="20"/>
        <v>0</v>
      </c>
      <c r="BV227" s="6">
        <f t="shared" si="21"/>
        <v>0</v>
      </c>
      <c r="BW227" s="6">
        <f t="shared" si="22"/>
        <v>0</v>
      </c>
      <c r="BX227" s="6">
        <f t="shared" si="23"/>
        <v>0</v>
      </c>
    </row>
    <row r="228" spans="1:76" x14ac:dyDescent="0.35">
      <c r="A228" t="s">
        <v>2427</v>
      </c>
      <c r="B228" t="s">
        <v>107</v>
      </c>
      <c r="C228" t="s">
        <v>107</v>
      </c>
      <c r="F228" t="s">
        <v>358</v>
      </c>
      <c r="G228" t="s">
        <v>359</v>
      </c>
      <c r="H228" t="s">
        <v>360</v>
      </c>
      <c r="I228" t="s">
        <v>341</v>
      </c>
      <c r="J228" t="s">
        <v>113</v>
      </c>
      <c r="K228" s="8" t="s">
        <v>114</v>
      </c>
      <c r="L228" t="s">
        <v>114</v>
      </c>
      <c r="M228" s="6">
        <v>0</v>
      </c>
      <c r="N228" t="s">
        <v>114</v>
      </c>
      <c r="O228" s="6">
        <v>0</v>
      </c>
      <c r="P228" t="s">
        <v>114</v>
      </c>
      <c r="Q228" s="6">
        <v>0</v>
      </c>
      <c r="R228" s="7">
        <f t="shared" si="18"/>
        <v>0</v>
      </c>
      <c r="S228" t="s">
        <v>114</v>
      </c>
      <c r="T228" t="s">
        <v>114</v>
      </c>
      <c r="U228" t="s">
        <v>114</v>
      </c>
      <c r="W228" t="s">
        <v>114</v>
      </c>
      <c r="X228" t="s">
        <v>114</v>
      </c>
      <c r="Z228" t="s">
        <v>2428</v>
      </c>
      <c r="AA228" t="s">
        <v>2428</v>
      </c>
      <c r="AB228" s="1" t="s">
        <v>2429</v>
      </c>
      <c r="AC228" t="s">
        <v>2430</v>
      </c>
      <c r="AD228" t="s">
        <v>2431</v>
      </c>
      <c r="AH228" t="s">
        <v>123</v>
      </c>
      <c r="AI228" t="s">
        <v>124</v>
      </c>
      <c r="AJ228" t="s">
        <v>2432</v>
      </c>
      <c r="AK228" t="s">
        <v>126</v>
      </c>
      <c r="AL228" t="s">
        <v>127</v>
      </c>
      <c r="AN228" t="s">
        <v>2433</v>
      </c>
      <c r="AO228" t="s">
        <v>2434</v>
      </c>
      <c r="AP228" t="s">
        <v>2435</v>
      </c>
      <c r="AQ228" t="s">
        <v>131</v>
      </c>
      <c r="AR228" t="s">
        <v>132</v>
      </c>
      <c r="AS228" t="s">
        <v>202</v>
      </c>
      <c r="AT228" t="s">
        <v>1489</v>
      </c>
      <c r="AV228" t="s">
        <v>175</v>
      </c>
      <c r="AW228" t="s">
        <v>892</v>
      </c>
      <c r="AY228" t="s">
        <v>177</v>
      </c>
      <c r="AZ228" t="s">
        <v>364</v>
      </c>
      <c r="BA228" t="s">
        <v>2436</v>
      </c>
      <c r="BC228" t="s">
        <v>140</v>
      </c>
      <c r="BT228" s="7">
        <f t="shared" si="19"/>
        <v>0</v>
      </c>
      <c r="BU228" s="6">
        <f t="shared" si="20"/>
        <v>0</v>
      </c>
      <c r="BV228" s="6">
        <f t="shared" si="21"/>
        <v>0</v>
      </c>
      <c r="BW228" s="6">
        <f t="shared" si="22"/>
        <v>0</v>
      </c>
      <c r="BX228" s="6">
        <f t="shared" si="23"/>
        <v>0</v>
      </c>
    </row>
    <row r="229" spans="1:76" x14ac:dyDescent="0.35">
      <c r="A229" t="s">
        <v>2437</v>
      </c>
      <c r="B229" t="s">
        <v>107</v>
      </c>
      <c r="C229" t="s">
        <v>107</v>
      </c>
      <c r="F229" t="s">
        <v>358</v>
      </c>
      <c r="G229" t="s">
        <v>359</v>
      </c>
      <c r="H229" t="s">
        <v>360</v>
      </c>
      <c r="I229" t="s">
        <v>341</v>
      </c>
      <c r="J229" t="s">
        <v>113</v>
      </c>
      <c r="K229" s="8" t="s">
        <v>114</v>
      </c>
      <c r="L229" t="s">
        <v>114</v>
      </c>
      <c r="M229" s="6">
        <v>0</v>
      </c>
      <c r="N229" t="s">
        <v>114</v>
      </c>
      <c r="O229" s="6">
        <v>0</v>
      </c>
      <c r="P229" t="s">
        <v>114</v>
      </c>
      <c r="Q229" s="6">
        <v>0</v>
      </c>
      <c r="R229" s="7">
        <f t="shared" si="18"/>
        <v>0</v>
      </c>
      <c r="S229" t="s">
        <v>114</v>
      </c>
      <c r="T229" t="s">
        <v>114</v>
      </c>
      <c r="U229" t="s">
        <v>114</v>
      </c>
      <c r="W229" t="s">
        <v>114</v>
      </c>
      <c r="X229" t="s">
        <v>114</v>
      </c>
      <c r="Z229" t="s">
        <v>2438</v>
      </c>
      <c r="AA229" t="s">
        <v>2438</v>
      </c>
      <c r="AB229" s="1" t="s">
        <v>2439</v>
      </c>
      <c r="AC229" t="s">
        <v>2440</v>
      </c>
      <c r="AD229" t="s">
        <v>2441</v>
      </c>
      <c r="AH229" t="s">
        <v>123</v>
      </c>
      <c r="AI229" t="s">
        <v>124</v>
      </c>
      <c r="AJ229" t="s">
        <v>2442</v>
      </c>
      <c r="AK229" t="s">
        <v>126</v>
      </c>
      <c r="AL229" t="s">
        <v>127</v>
      </c>
      <c r="AN229" t="s">
        <v>2443</v>
      </c>
      <c r="AO229" t="s">
        <v>2444</v>
      </c>
      <c r="AP229" t="s">
        <v>2445</v>
      </c>
      <c r="AQ229" t="s">
        <v>131</v>
      </c>
      <c r="AR229" t="s">
        <v>132</v>
      </c>
      <c r="AS229" t="s">
        <v>1452</v>
      </c>
      <c r="AT229" t="s">
        <v>2446</v>
      </c>
      <c r="AV229" t="s">
        <v>1195</v>
      </c>
      <c r="AW229" t="s">
        <v>237</v>
      </c>
      <c r="AY229" t="s">
        <v>177</v>
      </c>
      <c r="AZ229" t="s">
        <v>364</v>
      </c>
      <c r="BA229" t="s">
        <v>2447</v>
      </c>
      <c r="BC229" t="s">
        <v>140</v>
      </c>
      <c r="BT229" s="7">
        <f t="shared" si="19"/>
        <v>0</v>
      </c>
      <c r="BU229" s="6">
        <f t="shared" si="20"/>
        <v>0</v>
      </c>
      <c r="BV229" s="6">
        <f t="shared" si="21"/>
        <v>0</v>
      </c>
      <c r="BW229" s="6">
        <f t="shared" si="22"/>
        <v>0</v>
      </c>
      <c r="BX229" s="6">
        <f t="shared" si="23"/>
        <v>0</v>
      </c>
    </row>
    <row r="230" spans="1:76" x14ac:dyDescent="0.35">
      <c r="A230" t="s">
        <v>2448</v>
      </c>
      <c r="B230" t="s">
        <v>107</v>
      </c>
      <c r="C230" t="s">
        <v>107</v>
      </c>
      <c r="F230" t="s">
        <v>533</v>
      </c>
      <c r="G230" t="s">
        <v>534</v>
      </c>
      <c r="H230" t="s">
        <v>2360</v>
      </c>
      <c r="I230" t="s">
        <v>536</v>
      </c>
      <c r="J230" t="s">
        <v>113</v>
      </c>
      <c r="K230" s="8" t="s">
        <v>114</v>
      </c>
      <c r="L230" t="s">
        <v>114</v>
      </c>
      <c r="M230" s="6">
        <v>0</v>
      </c>
      <c r="N230" t="s">
        <v>114</v>
      </c>
      <c r="O230" s="6">
        <v>0</v>
      </c>
      <c r="P230" t="s">
        <v>114</v>
      </c>
      <c r="Q230" s="6">
        <v>0</v>
      </c>
      <c r="R230" s="7">
        <f t="shared" si="18"/>
        <v>0</v>
      </c>
      <c r="S230" t="s">
        <v>114</v>
      </c>
      <c r="T230" t="s">
        <v>114</v>
      </c>
      <c r="U230" t="s">
        <v>114</v>
      </c>
      <c r="W230" t="s">
        <v>114</v>
      </c>
      <c r="X230" t="s">
        <v>114</v>
      </c>
      <c r="Z230" t="s">
        <v>2449</v>
      </c>
      <c r="AA230" t="s">
        <v>2449</v>
      </c>
      <c r="AB230" s="1" t="s">
        <v>2450</v>
      </c>
      <c r="AC230" t="s">
        <v>2451</v>
      </c>
      <c r="AD230" t="s">
        <v>2452</v>
      </c>
      <c r="AH230" t="s">
        <v>123</v>
      </c>
      <c r="AI230" t="s">
        <v>124</v>
      </c>
      <c r="AJ230" t="s">
        <v>2453</v>
      </c>
      <c r="AK230" t="s">
        <v>126</v>
      </c>
      <c r="AL230" t="s">
        <v>127</v>
      </c>
      <c r="AN230" t="s">
        <v>2454</v>
      </c>
      <c r="AO230" t="s">
        <v>2455</v>
      </c>
      <c r="AP230" t="s">
        <v>2456</v>
      </c>
      <c r="AQ230" t="s">
        <v>131</v>
      </c>
      <c r="AR230" t="s">
        <v>132</v>
      </c>
      <c r="AS230" t="s">
        <v>2134</v>
      </c>
      <c r="AT230" t="s">
        <v>2457</v>
      </c>
      <c r="AV230" t="s">
        <v>668</v>
      </c>
      <c r="AY230" t="s">
        <v>547</v>
      </c>
      <c r="AZ230" t="s">
        <v>364</v>
      </c>
      <c r="BA230" t="s">
        <v>2458</v>
      </c>
      <c r="BC230" t="s">
        <v>140</v>
      </c>
      <c r="BT230" s="7">
        <f t="shared" si="19"/>
        <v>0</v>
      </c>
      <c r="BU230" s="6">
        <f t="shared" si="20"/>
        <v>0</v>
      </c>
      <c r="BV230" s="6">
        <f t="shared" si="21"/>
        <v>0</v>
      </c>
      <c r="BW230" s="6">
        <f t="shared" si="22"/>
        <v>0</v>
      </c>
      <c r="BX230" s="6">
        <f t="shared" si="23"/>
        <v>0</v>
      </c>
    </row>
    <row r="231" spans="1:76" x14ac:dyDescent="0.35">
      <c r="A231" t="s">
        <v>2459</v>
      </c>
      <c r="B231" t="s">
        <v>107</v>
      </c>
      <c r="C231" t="s">
        <v>107</v>
      </c>
      <c r="F231" t="s">
        <v>358</v>
      </c>
      <c r="G231" t="s">
        <v>359</v>
      </c>
      <c r="H231" t="s">
        <v>360</v>
      </c>
      <c r="I231" t="s">
        <v>341</v>
      </c>
      <c r="J231" t="s">
        <v>113</v>
      </c>
      <c r="K231" s="8" t="s">
        <v>114</v>
      </c>
      <c r="L231" t="s">
        <v>114</v>
      </c>
      <c r="M231" s="6">
        <v>0</v>
      </c>
      <c r="N231" t="s">
        <v>114</v>
      </c>
      <c r="O231" s="6">
        <v>0</v>
      </c>
      <c r="P231" t="s">
        <v>114</v>
      </c>
      <c r="Q231" s="6">
        <v>0</v>
      </c>
      <c r="R231" s="7">
        <f t="shared" si="18"/>
        <v>0</v>
      </c>
      <c r="S231" t="s">
        <v>114</v>
      </c>
      <c r="T231" t="s">
        <v>114</v>
      </c>
      <c r="U231" t="s">
        <v>114</v>
      </c>
      <c r="W231" t="s">
        <v>114</v>
      </c>
      <c r="X231" t="s">
        <v>114</v>
      </c>
      <c r="Z231" t="s">
        <v>2460</v>
      </c>
      <c r="AA231" t="s">
        <v>2460</v>
      </c>
      <c r="AB231" s="1" t="s">
        <v>2461</v>
      </c>
      <c r="AC231" t="s">
        <v>2462</v>
      </c>
      <c r="AD231" t="s">
        <v>2463</v>
      </c>
      <c r="AH231" t="s">
        <v>123</v>
      </c>
      <c r="AI231" t="s">
        <v>124</v>
      </c>
      <c r="AJ231" t="s">
        <v>2464</v>
      </c>
      <c r="AK231" t="s">
        <v>126</v>
      </c>
      <c r="AL231" t="s">
        <v>127</v>
      </c>
      <c r="AN231" t="s">
        <v>2465</v>
      </c>
      <c r="AO231" t="s">
        <v>2466</v>
      </c>
      <c r="AP231" t="s">
        <v>2467</v>
      </c>
      <c r="AQ231" t="s">
        <v>131</v>
      </c>
      <c r="AR231" t="s">
        <v>132</v>
      </c>
      <c r="AS231" t="s">
        <v>2468</v>
      </c>
      <c r="AT231" t="s">
        <v>2469</v>
      </c>
      <c r="AV231" t="s">
        <v>219</v>
      </c>
      <c r="AY231" t="s">
        <v>177</v>
      </c>
      <c r="AZ231" t="s">
        <v>364</v>
      </c>
      <c r="BA231" t="s">
        <v>2470</v>
      </c>
      <c r="BC231" t="s">
        <v>140</v>
      </c>
      <c r="BT231" s="7">
        <f t="shared" si="19"/>
        <v>0</v>
      </c>
      <c r="BU231" s="6">
        <f t="shared" si="20"/>
        <v>0</v>
      </c>
      <c r="BV231" s="6">
        <f t="shared" si="21"/>
        <v>0</v>
      </c>
      <c r="BW231" s="6">
        <f t="shared" si="22"/>
        <v>0</v>
      </c>
      <c r="BX231" s="6">
        <f t="shared" si="23"/>
        <v>0</v>
      </c>
    </row>
    <row r="232" spans="1:76" x14ac:dyDescent="0.35">
      <c r="A232" t="s">
        <v>2471</v>
      </c>
      <c r="B232" t="s">
        <v>107</v>
      </c>
      <c r="C232" t="s">
        <v>107</v>
      </c>
      <c r="F232" t="s">
        <v>358</v>
      </c>
      <c r="G232" t="s">
        <v>359</v>
      </c>
      <c r="H232" t="s">
        <v>360</v>
      </c>
      <c r="I232" t="s">
        <v>341</v>
      </c>
      <c r="J232" t="s">
        <v>113</v>
      </c>
      <c r="K232" s="8" t="s">
        <v>114</v>
      </c>
      <c r="L232" t="s">
        <v>114</v>
      </c>
      <c r="M232" s="6">
        <v>0</v>
      </c>
      <c r="N232" t="s">
        <v>114</v>
      </c>
      <c r="O232" s="6">
        <v>0</v>
      </c>
      <c r="P232" t="s">
        <v>114</v>
      </c>
      <c r="Q232" s="6">
        <v>0</v>
      </c>
      <c r="R232" s="7">
        <f t="shared" si="18"/>
        <v>0</v>
      </c>
      <c r="S232" t="s">
        <v>114</v>
      </c>
      <c r="T232" t="s">
        <v>114</v>
      </c>
      <c r="U232" t="s">
        <v>114</v>
      </c>
      <c r="W232" t="s">
        <v>114</v>
      </c>
      <c r="X232" t="s">
        <v>114</v>
      </c>
      <c r="Z232" t="s">
        <v>2472</v>
      </c>
      <c r="AA232" t="s">
        <v>2473</v>
      </c>
      <c r="AB232" s="1" t="s">
        <v>2474</v>
      </c>
      <c r="AC232" t="s">
        <v>2475</v>
      </c>
      <c r="AD232" t="s">
        <v>2476</v>
      </c>
      <c r="AH232" t="s">
        <v>123</v>
      </c>
      <c r="AI232" t="s">
        <v>124</v>
      </c>
      <c r="AJ232" t="s">
        <v>2477</v>
      </c>
      <c r="AK232" t="s">
        <v>126</v>
      </c>
      <c r="AL232" t="s">
        <v>127</v>
      </c>
      <c r="AN232" t="s">
        <v>2478</v>
      </c>
      <c r="AO232" t="s">
        <v>2479</v>
      </c>
      <c r="AP232" t="s">
        <v>2480</v>
      </c>
      <c r="AQ232" t="s">
        <v>131</v>
      </c>
      <c r="AR232" t="s">
        <v>132</v>
      </c>
      <c r="AS232" t="s">
        <v>2312</v>
      </c>
      <c r="AT232" t="s">
        <v>2481</v>
      </c>
      <c r="AV232" t="s">
        <v>965</v>
      </c>
      <c r="AY232" t="s">
        <v>177</v>
      </c>
      <c r="AZ232" t="s">
        <v>364</v>
      </c>
      <c r="BA232" t="s">
        <v>2482</v>
      </c>
      <c r="BC232" t="s">
        <v>140</v>
      </c>
      <c r="BT232" s="7">
        <f t="shared" si="19"/>
        <v>0</v>
      </c>
      <c r="BU232" s="6">
        <f t="shared" si="20"/>
        <v>0</v>
      </c>
      <c r="BV232" s="6">
        <f t="shared" si="21"/>
        <v>0</v>
      </c>
      <c r="BW232" s="6">
        <f t="shared" si="22"/>
        <v>0</v>
      </c>
      <c r="BX232" s="6">
        <f t="shared" si="23"/>
        <v>0</v>
      </c>
    </row>
    <row r="233" spans="1:76" x14ac:dyDescent="0.35">
      <c r="A233" t="s">
        <v>2483</v>
      </c>
      <c r="B233" t="s">
        <v>107</v>
      </c>
      <c r="C233" t="s">
        <v>107</v>
      </c>
      <c r="E233" t="s">
        <v>108</v>
      </c>
      <c r="F233" t="s">
        <v>158</v>
      </c>
      <c r="G233" t="s">
        <v>159</v>
      </c>
      <c r="H233" t="s">
        <v>111</v>
      </c>
      <c r="I233" t="s">
        <v>341</v>
      </c>
      <c r="J233" t="s">
        <v>113</v>
      </c>
      <c r="K233" s="8" t="s">
        <v>114</v>
      </c>
      <c r="L233" t="s">
        <v>161</v>
      </c>
      <c r="M233" s="6">
        <v>459</v>
      </c>
      <c r="N233" t="s">
        <v>162</v>
      </c>
      <c r="O233" s="6">
        <v>220</v>
      </c>
      <c r="P233" t="s">
        <v>1206</v>
      </c>
      <c r="Q233" s="6">
        <v>0</v>
      </c>
      <c r="R233" s="7">
        <f t="shared" si="18"/>
        <v>239</v>
      </c>
      <c r="S233" t="s">
        <v>180</v>
      </c>
      <c r="T233" t="s">
        <v>114</v>
      </c>
      <c r="U233" t="s">
        <v>180</v>
      </c>
      <c r="W233" t="s">
        <v>114</v>
      </c>
      <c r="X233" t="s">
        <v>1206</v>
      </c>
      <c r="Z233" t="s">
        <v>2484</v>
      </c>
      <c r="AA233" t="s">
        <v>2485</v>
      </c>
      <c r="AB233" s="1" t="s">
        <v>2486</v>
      </c>
      <c r="AC233" t="s">
        <v>2487</v>
      </c>
      <c r="AD233" t="s">
        <v>2488</v>
      </c>
      <c r="AH233" t="s">
        <v>123</v>
      </c>
      <c r="AI233" t="s">
        <v>124</v>
      </c>
      <c r="AJ233" t="s">
        <v>2489</v>
      </c>
      <c r="AK233" t="s">
        <v>126</v>
      </c>
      <c r="AL233" t="s">
        <v>127</v>
      </c>
      <c r="AN233" t="s">
        <v>2490</v>
      </c>
      <c r="AO233" t="s">
        <v>2491</v>
      </c>
      <c r="AP233" t="s">
        <v>2492</v>
      </c>
      <c r="AQ233" t="s">
        <v>131</v>
      </c>
      <c r="AR233" t="s">
        <v>132</v>
      </c>
      <c r="AS233" t="s">
        <v>352</v>
      </c>
      <c r="AT233" t="s">
        <v>667</v>
      </c>
      <c r="AV233" t="s">
        <v>1478</v>
      </c>
      <c r="AX233" t="s">
        <v>655</v>
      </c>
      <c r="AY233" t="s">
        <v>177</v>
      </c>
      <c r="AZ233" t="s">
        <v>138</v>
      </c>
      <c r="BA233" t="s">
        <v>2493</v>
      </c>
      <c r="BC233" t="s">
        <v>140</v>
      </c>
      <c r="BT233" s="7">
        <f t="shared" si="19"/>
        <v>239</v>
      </c>
      <c r="BU233" s="6">
        <f t="shared" si="20"/>
        <v>223.36448598130841</v>
      </c>
      <c r="BV233" s="6">
        <f t="shared" si="21"/>
        <v>15.635514018691588</v>
      </c>
      <c r="BW233" s="6">
        <f t="shared" si="22"/>
        <v>239</v>
      </c>
      <c r="BX233" s="6">
        <f t="shared" si="23"/>
        <v>0</v>
      </c>
    </row>
    <row r="234" spans="1:76" x14ac:dyDescent="0.35">
      <c r="A234" t="s">
        <v>2483</v>
      </c>
      <c r="B234" t="s">
        <v>107</v>
      </c>
      <c r="C234" t="s">
        <v>107</v>
      </c>
      <c r="E234" t="s">
        <v>108</v>
      </c>
      <c r="F234" t="s">
        <v>268</v>
      </c>
      <c r="G234" t="s">
        <v>269</v>
      </c>
      <c r="H234" t="s">
        <v>2268</v>
      </c>
      <c r="I234" t="s">
        <v>271</v>
      </c>
      <c r="J234" t="s">
        <v>113</v>
      </c>
      <c r="K234" s="8" t="s">
        <v>114</v>
      </c>
      <c r="L234" t="s">
        <v>114</v>
      </c>
      <c r="M234" s="6">
        <v>0</v>
      </c>
      <c r="N234" t="s">
        <v>114</v>
      </c>
      <c r="O234" s="6">
        <v>0</v>
      </c>
      <c r="P234" t="s">
        <v>114</v>
      </c>
      <c r="Q234" s="6">
        <v>0</v>
      </c>
      <c r="R234" s="7">
        <f t="shared" si="18"/>
        <v>0</v>
      </c>
      <c r="S234" t="s">
        <v>180</v>
      </c>
      <c r="T234" t="s">
        <v>114</v>
      </c>
      <c r="U234" t="s">
        <v>180</v>
      </c>
      <c r="W234" t="s">
        <v>114</v>
      </c>
      <c r="X234" t="s">
        <v>1206</v>
      </c>
      <c r="Z234" t="s">
        <v>2484</v>
      </c>
      <c r="AA234" t="s">
        <v>2485</v>
      </c>
      <c r="AB234" s="1" t="s">
        <v>2486</v>
      </c>
      <c r="AC234" t="s">
        <v>2487</v>
      </c>
      <c r="AD234" t="s">
        <v>2488</v>
      </c>
      <c r="AH234" t="s">
        <v>123</v>
      </c>
      <c r="AI234" t="s">
        <v>124</v>
      </c>
      <c r="AJ234" t="s">
        <v>2489</v>
      </c>
      <c r="AK234" t="s">
        <v>126</v>
      </c>
      <c r="AL234" t="s">
        <v>127</v>
      </c>
      <c r="AN234" t="s">
        <v>2490</v>
      </c>
      <c r="AO234" t="s">
        <v>2491</v>
      </c>
      <c r="AP234" t="s">
        <v>2492</v>
      </c>
      <c r="AQ234" t="s">
        <v>131</v>
      </c>
      <c r="AR234" t="s">
        <v>132</v>
      </c>
      <c r="AS234" t="s">
        <v>352</v>
      </c>
      <c r="AT234" t="s">
        <v>667</v>
      </c>
      <c r="AV234" t="s">
        <v>1478</v>
      </c>
      <c r="AX234" t="s">
        <v>655</v>
      </c>
      <c r="AY234" t="s">
        <v>272</v>
      </c>
      <c r="AZ234" t="s">
        <v>273</v>
      </c>
      <c r="BA234" t="s">
        <v>2493</v>
      </c>
      <c r="BC234" t="s">
        <v>140</v>
      </c>
      <c r="BT234" s="7">
        <f t="shared" si="19"/>
        <v>0</v>
      </c>
      <c r="BU234" s="6">
        <f t="shared" si="20"/>
        <v>0</v>
      </c>
      <c r="BV234" s="6">
        <f t="shared" si="21"/>
        <v>0</v>
      </c>
      <c r="BW234" s="6">
        <f t="shared" si="22"/>
        <v>0</v>
      </c>
      <c r="BX234" s="6">
        <f t="shared" si="23"/>
        <v>0</v>
      </c>
    </row>
    <row r="235" spans="1:76" x14ac:dyDescent="0.35">
      <c r="A235" t="s">
        <v>2494</v>
      </c>
      <c r="B235" t="s">
        <v>107</v>
      </c>
      <c r="C235" t="s">
        <v>107</v>
      </c>
      <c r="F235" t="s">
        <v>158</v>
      </c>
      <c r="G235" t="s">
        <v>159</v>
      </c>
      <c r="H235" t="s">
        <v>111</v>
      </c>
      <c r="I235" t="s">
        <v>341</v>
      </c>
      <c r="J235" t="s">
        <v>113</v>
      </c>
      <c r="K235" s="8" t="s">
        <v>114</v>
      </c>
      <c r="L235" t="s">
        <v>114</v>
      </c>
      <c r="M235" s="6">
        <v>0</v>
      </c>
      <c r="N235" t="s">
        <v>114</v>
      </c>
      <c r="O235" s="6">
        <v>0</v>
      </c>
      <c r="P235" t="s">
        <v>114</v>
      </c>
      <c r="Q235" s="6">
        <v>0</v>
      </c>
      <c r="R235" s="7">
        <f t="shared" si="18"/>
        <v>0</v>
      </c>
      <c r="S235" t="s">
        <v>114</v>
      </c>
      <c r="T235" t="s">
        <v>114</v>
      </c>
      <c r="U235" t="s">
        <v>114</v>
      </c>
      <c r="W235" t="s">
        <v>114</v>
      </c>
      <c r="X235" t="s">
        <v>114</v>
      </c>
      <c r="Z235" t="s">
        <v>2495</v>
      </c>
      <c r="AA235" t="s">
        <v>2495</v>
      </c>
      <c r="AB235" s="1" t="s">
        <v>2496</v>
      </c>
      <c r="AC235" t="s">
        <v>2497</v>
      </c>
      <c r="AD235" t="s">
        <v>2498</v>
      </c>
      <c r="AH235" t="s">
        <v>123</v>
      </c>
      <c r="AI235" t="s">
        <v>124</v>
      </c>
      <c r="AJ235" t="s">
        <v>2499</v>
      </c>
      <c r="AK235" t="s">
        <v>126</v>
      </c>
      <c r="AL235" t="s">
        <v>127</v>
      </c>
      <c r="AN235" t="s">
        <v>2500</v>
      </c>
      <c r="AO235" t="s">
        <v>2501</v>
      </c>
      <c r="AP235" t="s">
        <v>2502</v>
      </c>
      <c r="AQ235" t="s">
        <v>131</v>
      </c>
      <c r="AR235" t="s">
        <v>132</v>
      </c>
      <c r="AS235" t="s">
        <v>1267</v>
      </c>
      <c r="AT235" t="s">
        <v>2503</v>
      </c>
      <c r="AV235" t="s">
        <v>940</v>
      </c>
      <c r="AY235" t="s">
        <v>177</v>
      </c>
      <c r="AZ235" t="s">
        <v>138</v>
      </c>
      <c r="BA235" t="s">
        <v>2504</v>
      </c>
      <c r="BC235" t="s">
        <v>140</v>
      </c>
      <c r="BT235" s="7">
        <f t="shared" si="19"/>
        <v>0</v>
      </c>
      <c r="BU235" s="6">
        <f t="shared" si="20"/>
        <v>0</v>
      </c>
      <c r="BV235" s="6">
        <f t="shared" si="21"/>
        <v>0</v>
      </c>
      <c r="BW235" s="6">
        <f t="shared" si="22"/>
        <v>0</v>
      </c>
      <c r="BX235" s="6">
        <f t="shared" si="23"/>
        <v>0</v>
      </c>
    </row>
    <row r="236" spans="1:76" x14ac:dyDescent="0.35">
      <c r="A236" t="s">
        <v>2505</v>
      </c>
      <c r="B236" t="s">
        <v>107</v>
      </c>
      <c r="C236" t="s">
        <v>107</v>
      </c>
      <c r="F236" t="s">
        <v>358</v>
      </c>
      <c r="G236" t="s">
        <v>359</v>
      </c>
      <c r="H236" t="s">
        <v>360</v>
      </c>
      <c r="I236" t="s">
        <v>341</v>
      </c>
      <c r="J236" t="s">
        <v>113</v>
      </c>
      <c r="K236" s="8" t="s">
        <v>114</v>
      </c>
      <c r="L236" t="s">
        <v>114</v>
      </c>
      <c r="M236" s="6">
        <v>0</v>
      </c>
      <c r="N236" t="s">
        <v>114</v>
      </c>
      <c r="O236" s="6">
        <v>0</v>
      </c>
      <c r="P236" t="s">
        <v>114</v>
      </c>
      <c r="Q236" s="6">
        <v>0</v>
      </c>
      <c r="R236" s="7">
        <f t="shared" si="18"/>
        <v>0</v>
      </c>
      <c r="S236" t="s">
        <v>114</v>
      </c>
      <c r="T236" t="s">
        <v>114</v>
      </c>
      <c r="U236" t="s">
        <v>114</v>
      </c>
      <c r="W236" t="s">
        <v>114</v>
      </c>
      <c r="X236" t="s">
        <v>114</v>
      </c>
      <c r="Z236" t="s">
        <v>2506</v>
      </c>
      <c r="AA236" t="s">
        <v>2506</v>
      </c>
      <c r="AB236" s="1" t="s">
        <v>2507</v>
      </c>
      <c r="AC236" t="s">
        <v>2508</v>
      </c>
      <c r="AD236" t="s">
        <v>2509</v>
      </c>
      <c r="AH236" t="s">
        <v>123</v>
      </c>
      <c r="AI236" t="s">
        <v>124</v>
      </c>
      <c r="AJ236" t="s">
        <v>2510</v>
      </c>
      <c r="AK236" t="s">
        <v>126</v>
      </c>
      <c r="AL236" t="s">
        <v>127</v>
      </c>
      <c r="AN236" t="s">
        <v>2511</v>
      </c>
      <c r="AO236" t="s">
        <v>2512</v>
      </c>
      <c r="AP236" t="s">
        <v>2513</v>
      </c>
      <c r="AQ236" t="s">
        <v>131</v>
      </c>
      <c r="AR236" t="s">
        <v>403</v>
      </c>
      <c r="AS236" t="s">
        <v>2514</v>
      </c>
      <c r="AT236" t="s">
        <v>1170</v>
      </c>
      <c r="AV236" t="s">
        <v>573</v>
      </c>
      <c r="AY236" t="s">
        <v>177</v>
      </c>
      <c r="AZ236" t="s">
        <v>364</v>
      </c>
      <c r="BA236" t="s">
        <v>2515</v>
      </c>
      <c r="BC236" t="s">
        <v>140</v>
      </c>
      <c r="BT236" s="7">
        <f t="shared" si="19"/>
        <v>0</v>
      </c>
      <c r="BU236" s="6">
        <f t="shared" si="20"/>
        <v>0</v>
      </c>
      <c r="BV236" s="6">
        <f t="shared" si="21"/>
        <v>0</v>
      </c>
      <c r="BW236" s="6">
        <f t="shared" si="22"/>
        <v>0</v>
      </c>
      <c r="BX236" s="6">
        <f t="shared" si="23"/>
        <v>0</v>
      </c>
    </row>
    <row r="237" spans="1:76" x14ac:dyDescent="0.35">
      <c r="A237" t="s">
        <v>2516</v>
      </c>
      <c r="B237" t="s">
        <v>107</v>
      </c>
      <c r="C237" t="s">
        <v>107</v>
      </c>
      <c r="F237" t="s">
        <v>613</v>
      </c>
      <c r="G237" t="s">
        <v>614</v>
      </c>
      <c r="H237" t="s">
        <v>615</v>
      </c>
      <c r="I237" t="s">
        <v>271</v>
      </c>
      <c r="J237" t="s">
        <v>113</v>
      </c>
      <c r="K237" s="8" t="s">
        <v>114</v>
      </c>
      <c r="L237" t="s">
        <v>114</v>
      </c>
      <c r="M237" s="6">
        <v>0</v>
      </c>
      <c r="N237" t="s">
        <v>114</v>
      </c>
      <c r="O237" s="6">
        <v>0</v>
      </c>
      <c r="P237" t="s">
        <v>114</v>
      </c>
      <c r="Q237" s="6">
        <v>0</v>
      </c>
      <c r="R237" s="7">
        <f t="shared" si="18"/>
        <v>0</v>
      </c>
      <c r="S237" t="s">
        <v>114</v>
      </c>
      <c r="T237" t="s">
        <v>114</v>
      </c>
      <c r="U237" t="s">
        <v>114</v>
      </c>
      <c r="W237" t="s">
        <v>114</v>
      </c>
      <c r="X237" t="s">
        <v>114</v>
      </c>
      <c r="Z237" t="s">
        <v>2517</v>
      </c>
      <c r="AA237" t="s">
        <v>2518</v>
      </c>
      <c r="AB237" s="1" t="s">
        <v>2519</v>
      </c>
      <c r="AC237" t="s">
        <v>2520</v>
      </c>
      <c r="AD237" t="s">
        <v>2521</v>
      </c>
      <c r="AH237" t="s">
        <v>123</v>
      </c>
      <c r="AI237" t="s">
        <v>124</v>
      </c>
      <c r="AJ237" t="s">
        <v>2522</v>
      </c>
      <c r="AK237" t="s">
        <v>126</v>
      </c>
      <c r="AL237" t="s">
        <v>127</v>
      </c>
      <c r="AN237" t="s">
        <v>2523</v>
      </c>
      <c r="AO237" t="s">
        <v>2524</v>
      </c>
      <c r="AP237" t="s">
        <v>2525</v>
      </c>
      <c r="AQ237" t="s">
        <v>131</v>
      </c>
      <c r="AR237" t="s">
        <v>233</v>
      </c>
      <c r="AS237" t="s">
        <v>234</v>
      </c>
      <c r="AT237" t="s">
        <v>2526</v>
      </c>
      <c r="AV237" t="s">
        <v>495</v>
      </c>
      <c r="AW237" t="s">
        <v>810</v>
      </c>
      <c r="AY237" t="s">
        <v>177</v>
      </c>
      <c r="AZ237" t="s">
        <v>627</v>
      </c>
      <c r="BA237" t="s">
        <v>2527</v>
      </c>
      <c r="BC237" t="s">
        <v>140</v>
      </c>
      <c r="BT237" s="7">
        <f t="shared" si="19"/>
        <v>0</v>
      </c>
      <c r="BU237" s="6">
        <f t="shared" si="20"/>
        <v>0</v>
      </c>
      <c r="BV237" s="6">
        <f t="shared" si="21"/>
        <v>0</v>
      </c>
      <c r="BW237" s="6">
        <f t="shared" si="22"/>
        <v>0</v>
      </c>
      <c r="BX237" s="6">
        <f t="shared" si="23"/>
        <v>0</v>
      </c>
    </row>
    <row r="238" spans="1:76" x14ac:dyDescent="0.35">
      <c r="A238" t="s">
        <v>2528</v>
      </c>
      <c r="B238" t="s">
        <v>107</v>
      </c>
      <c r="C238" t="s">
        <v>107</v>
      </c>
      <c r="F238" t="s">
        <v>158</v>
      </c>
      <c r="G238" t="s">
        <v>159</v>
      </c>
      <c r="H238" t="s">
        <v>111</v>
      </c>
      <c r="I238" t="s">
        <v>341</v>
      </c>
      <c r="J238" t="s">
        <v>113</v>
      </c>
      <c r="K238" s="8" t="s">
        <v>114</v>
      </c>
      <c r="L238" t="s">
        <v>114</v>
      </c>
      <c r="M238" s="6">
        <v>0</v>
      </c>
      <c r="N238" t="s">
        <v>114</v>
      </c>
      <c r="O238" s="6">
        <v>0</v>
      </c>
      <c r="P238" t="s">
        <v>114</v>
      </c>
      <c r="Q238" s="6">
        <v>0</v>
      </c>
      <c r="R238" s="7">
        <f t="shared" si="18"/>
        <v>0</v>
      </c>
      <c r="S238" t="s">
        <v>114</v>
      </c>
      <c r="T238" t="s">
        <v>114</v>
      </c>
      <c r="U238" t="s">
        <v>114</v>
      </c>
      <c r="W238" t="s">
        <v>114</v>
      </c>
      <c r="X238" t="s">
        <v>114</v>
      </c>
      <c r="Z238" t="s">
        <v>2529</v>
      </c>
      <c r="AA238" t="s">
        <v>2529</v>
      </c>
      <c r="AB238" s="1" t="s">
        <v>2530</v>
      </c>
      <c r="AC238" t="s">
        <v>2531</v>
      </c>
      <c r="AD238" t="s">
        <v>2532</v>
      </c>
      <c r="AH238" t="s">
        <v>123</v>
      </c>
      <c r="AI238" t="s">
        <v>124</v>
      </c>
      <c r="AJ238" t="s">
        <v>2533</v>
      </c>
      <c r="AK238" t="s">
        <v>126</v>
      </c>
      <c r="AL238" t="s">
        <v>127</v>
      </c>
      <c r="AN238" t="s">
        <v>2534</v>
      </c>
      <c r="AO238" t="s">
        <v>2535</v>
      </c>
      <c r="AP238" t="s">
        <v>2536</v>
      </c>
      <c r="AQ238" t="s">
        <v>131</v>
      </c>
      <c r="AR238" t="s">
        <v>132</v>
      </c>
      <c r="AS238" t="s">
        <v>2312</v>
      </c>
      <c r="AT238" t="s">
        <v>2537</v>
      </c>
      <c r="AV238" t="s">
        <v>1665</v>
      </c>
      <c r="AW238" t="s">
        <v>237</v>
      </c>
      <c r="AY238" t="s">
        <v>177</v>
      </c>
      <c r="AZ238" t="s">
        <v>138</v>
      </c>
      <c r="BA238" t="s">
        <v>2538</v>
      </c>
      <c r="BC238" t="s">
        <v>140</v>
      </c>
      <c r="BT238" s="7">
        <f t="shared" si="19"/>
        <v>0</v>
      </c>
      <c r="BU238" s="6">
        <f t="shared" si="20"/>
        <v>0</v>
      </c>
      <c r="BV238" s="6">
        <f t="shared" si="21"/>
        <v>0</v>
      </c>
      <c r="BW238" s="6">
        <f t="shared" si="22"/>
        <v>0</v>
      </c>
      <c r="BX238" s="6">
        <f t="shared" si="23"/>
        <v>0</v>
      </c>
    </row>
    <row r="239" spans="1:76" x14ac:dyDescent="0.35">
      <c r="A239" t="s">
        <v>2539</v>
      </c>
      <c r="B239" t="s">
        <v>107</v>
      </c>
      <c r="C239" t="s">
        <v>107</v>
      </c>
      <c r="F239" t="s">
        <v>533</v>
      </c>
      <c r="G239" t="s">
        <v>534</v>
      </c>
      <c r="H239" t="s">
        <v>2360</v>
      </c>
      <c r="I239" t="s">
        <v>536</v>
      </c>
      <c r="J239" t="s">
        <v>113</v>
      </c>
      <c r="K239" s="8" t="s">
        <v>114</v>
      </c>
      <c r="L239" t="s">
        <v>114</v>
      </c>
      <c r="M239" s="6">
        <v>0</v>
      </c>
      <c r="N239" t="s">
        <v>114</v>
      </c>
      <c r="O239" s="6">
        <v>0</v>
      </c>
      <c r="P239" t="s">
        <v>114</v>
      </c>
      <c r="Q239" s="6">
        <v>0</v>
      </c>
      <c r="R239" s="7">
        <f t="shared" si="18"/>
        <v>0</v>
      </c>
      <c r="S239" t="s">
        <v>114</v>
      </c>
      <c r="T239" t="s">
        <v>114</v>
      </c>
      <c r="U239" t="s">
        <v>114</v>
      </c>
      <c r="W239" t="s">
        <v>114</v>
      </c>
      <c r="X239" t="s">
        <v>114</v>
      </c>
      <c r="Z239" t="s">
        <v>2540</v>
      </c>
      <c r="AA239" t="s">
        <v>2540</v>
      </c>
      <c r="AB239" s="1" t="s">
        <v>2541</v>
      </c>
      <c r="AC239" t="s">
        <v>2542</v>
      </c>
      <c r="AD239" t="s">
        <v>2543</v>
      </c>
      <c r="AH239" t="s">
        <v>123</v>
      </c>
      <c r="AI239" t="s">
        <v>124</v>
      </c>
      <c r="AJ239" t="s">
        <v>2544</v>
      </c>
      <c r="AK239" t="s">
        <v>126</v>
      </c>
      <c r="AL239" t="s">
        <v>127</v>
      </c>
      <c r="AN239" t="s">
        <v>2545</v>
      </c>
      <c r="AO239" t="s">
        <v>2546</v>
      </c>
      <c r="AP239" t="s">
        <v>2547</v>
      </c>
      <c r="AQ239" t="s">
        <v>131</v>
      </c>
      <c r="AR239" t="s">
        <v>132</v>
      </c>
      <c r="AS239" t="s">
        <v>720</v>
      </c>
      <c r="AT239" t="s">
        <v>1664</v>
      </c>
      <c r="AV239" t="s">
        <v>191</v>
      </c>
      <c r="AW239" t="s">
        <v>1821</v>
      </c>
      <c r="AY239" t="s">
        <v>547</v>
      </c>
      <c r="AZ239" t="s">
        <v>364</v>
      </c>
      <c r="BA239" t="s">
        <v>2548</v>
      </c>
      <c r="BC239" t="s">
        <v>140</v>
      </c>
      <c r="BT239" s="7">
        <f t="shared" si="19"/>
        <v>0</v>
      </c>
      <c r="BU239" s="6">
        <f t="shared" si="20"/>
        <v>0</v>
      </c>
      <c r="BV239" s="6">
        <f t="shared" si="21"/>
        <v>0</v>
      </c>
      <c r="BW239" s="6">
        <f t="shared" si="22"/>
        <v>0</v>
      </c>
      <c r="BX239" s="6">
        <f t="shared" si="23"/>
        <v>0</v>
      </c>
    </row>
    <row r="240" spans="1:76" x14ac:dyDescent="0.35">
      <c r="A240" t="s">
        <v>2549</v>
      </c>
      <c r="B240" t="s">
        <v>107</v>
      </c>
      <c r="C240" t="s">
        <v>107</v>
      </c>
      <c r="E240" t="s">
        <v>108</v>
      </c>
      <c r="F240" t="s">
        <v>613</v>
      </c>
      <c r="G240" t="s">
        <v>614</v>
      </c>
      <c r="H240" t="s">
        <v>615</v>
      </c>
      <c r="I240" t="s">
        <v>271</v>
      </c>
      <c r="J240" t="s">
        <v>113</v>
      </c>
      <c r="K240" s="8" t="s">
        <v>114</v>
      </c>
      <c r="L240" t="s">
        <v>2550</v>
      </c>
      <c r="M240" s="6">
        <v>196</v>
      </c>
      <c r="N240" t="s">
        <v>114</v>
      </c>
      <c r="O240" s="6">
        <v>118</v>
      </c>
      <c r="P240" t="s">
        <v>2552</v>
      </c>
      <c r="Q240" s="6">
        <v>18</v>
      </c>
      <c r="R240" s="7">
        <f t="shared" si="18"/>
        <v>96</v>
      </c>
      <c r="S240" t="s">
        <v>180</v>
      </c>
      <c r="T240" t="s">
        <v>114</v>
      </c>
      <c r="U240" t="s">
        <v>994</v>
      </c>
      <c r="W240" t="s">
        <v>114</v>
      </c>
      <c r="X240" t="s">
        <v>2553</v>
      </c>
      <c r="Z240" t="s">
        <v>2554</v>
      </c>
      <c r="AA240" t="s">
        <v>2555</v>
      </c>
      <c r="AB240" s="1" t="s">
        <v>2556</v>
      </c>
      <c r="AC240" t="s">
        <v>2557</v>
      </c>
      <c r="AD240" t="s">
        <v>2555</v>
      </c>
      <c r="AH240" t="s">
        <v>123</v>
      </c>
      <c r="AI240" t="s">
        <v>124</v>
      </c>
      <c r="AJ240" t="s">
        <v>2558</v>
      </c>
      <c r="AK240" t="s">
        <v>126</v>
      </c>
      <c r="AL240" t="s">
        <v>127</v>
      </c>
      <c r="AN240" t="s">
        <v>2559</v>
      </c>
      <c r="AO240" t="s">
        <v>2560</v>
      </c>
      <c r="AP240" t="s">
        <v>2561</v>
      </c>
      <c r="AQ240" t="s">
        <v>131</v>
      </c>
      <c r="AR240" t="s">
        <v>403</v>
      </c>
      <c r="AS240" t="s">
        <v>1789</v>
      </c>
      <c r="AT240" t="s">
        <v>1960</v>
      </c>
      <c r="AV240" t="s">
        <v>495</v>
      </c>
      <c r="AX240" t="s">
        <v>136</v>
      </c>
      <c r="AY240" t="s">
        <v>177</v>
      </c>
      <c r="AZ240" t="s">
        <v>627</v>
      </c>
      <c r="BA240" t="s">
        <v>2562</v>
      </c>
      <c r="BC240" t="s">
        <v>140</v>
      </c>
      <c r="BT240" s="7">
        <f t="shared" si="19"/>
        <v>96</v>
      </c>
      <c r="BU240" s="6">
        <f t="shared" si="20"/>
        <v>89.719626168224295</v>
      </c>
      <c r="BV240" s="6">
        <f t="shared" si="21"/>
        <v>6.2803738317757007</v>
      </c>
      <c r="BW240" s="6">
        <f t="shared" si="22"/>
        <v>96</v>
      </c>
      <c r="BX240" s="6">
        <f t="shared" si="23"/>
        <v>0</v>
      </c>
    </row>
    <row r="241" spans="1:76" x14ac:dyDescent="0.35">
      <c r="A241" t="s">
        <v>2563</v>
      </c>
      <c r="B241" t="s">
        <v>107</v>
      </c>
      <c r="C241" t="s">
        <v>107</v>
      </c>
      <c r="E241" t="s">
        <v>108</v>
      </c>
      <c r="F241" t="s">
        <v>158</v>
      </c>
      <c r="G241" t="s">
        <v>159</v>
      </c>
      <c r="H241" t="s">
        <v>111</v>
      </c>
      <c r="I241" t="s">
        <v>341</v>
      </c>
      <c r="J241" t="s">
        <v>113</v>
      </c>
      <c r="K241" s="8" t="s">
        <v>114</v>
      </c>
      <c r="L241" t="s">
        <v>161</v>
      </c>
      <c r="M241" s="6">
        <v>459</v>
      </c>
      <c r="N241" t="s">
        <v>114</v>
      </c>
      <c r="O241" s="6">
        <v>220</v>
      </c>
      <c r="P241" t="s">
        <v>1111</v>
      </c>
      <c r="Q241" s="6">
        <v>29</v>
      </c>
      <c r="R241" s="7">
        <f t="shared" si="18"/>
        <v>268</v>
      </c>
      <c r="S241" t="s">
        <v>142</v>
      </c>
      <c r="T241" t="s">
        <v>114</v>
      </c>
      <c r="U241" t="s">
        <v>114</v>
      </c>
      <c r="W241" t="s">
        <v>114</v>
      </c>
      <c r="X241" t="s">
        <v>2564</v>
      </c>
      <c r="Z241" t="s">
        <v>2565</v>
      </c>
      <c r="AA241" t="s">
        <v>2566</v>
      </c>
      <c r="AB241" s="1" t="s">
        <v>2567</v>
      </c>
      <c r="AC241" t="s">
        <v>2568</v>
      </c>
      <c r="AD241" t="s">
        <v>2566</v>
      </c>
      <c r="AH241" t="s">
        <v>123</v>
      </c>
      <c r="AI241" t="s">
        <v>124</v>
      </c>
      <c r="AJ241" t="s">
        <v>2569</v>
      </c>
      <c r="AK241" t="s">
        <v>126</v>
      </c>
      <c r="AL241" t="s">
        <v>127</v>
      </c>
      <c r="AN241" t="s">
        <v>2570</v>
      </c>
      <c r="AO241" t="s">
        <v>2571</v>
      </c>
      <c r="AP241" t="s">
        <v>2572</v>
      </c>
      <c r="AQ241" t="s">
        <v>131</v>
      </c>
      <c r="AR241" t="s">
        <v>233</v>
      </c>
      <c r="AS241" t="s">
        <v>234</v>
      </c>
      <c r="AT241" t="s">
        <v>2573</v>
      </c>
      <c r="AV241" t="s">
        <v>191</v>
      </c>
      <c r="AW241" t="s">
        <v>265</v>
      </c>
      <c r="AX241" t="s">
        <v>136</v>
      </c>
      <c r="AY241" t="s">
        <v>177</v>
      </c>
      <c r="AZ241" t="s">
        <v>138</v>
      </c>
      <c r="BA241" t="s">
        <v>2574</v>
      </c>
      <c r="BC241" t="s">
        <v>140</v>
      </c>
      <c r="BT241" s="7">
        <f t="shared" si="19"/>
        <v>268</v>
      </c>
      <c r="BU241" s="6">
        <f t="shared" si="20"/>
        <v>250.46728971962617</v>
      </c>
      <c r="BV241" s="6">
        <f t="shared" si="21"/>
        <v>17.532710280373831</v>
      </c>
      <c r="BW241" s="6">
        <f t="shared" si="22"/>
        <v>268</v>
      </c>
      <c r="BX241" s="6">
        <f t="shared" si="23"/>
        <v>0</v>
      </c>
    </row>
    <row r="242" spans="1:76" x14ac:dyDescent="0.35">
      <c r="A242" t="s">
        <v>2563</v>
      </c>
      <c r="B242" t="s">
        <v>107</v>
      </c>
      <c r="C242" t="s">
        <v>107</v>
      </c>
      <c r="E242" t="s">
        <v>108</v>
      </c>
      <c r="F242" t="s">
        <v>268</v>
      </c>
      <c r="G242" t="s">
        <v>269</v>
      </c>
      <c r="H242" t="s">
        <v>2268</v>
      </c>
      <c r="I242" t="s">
        <v>271</v>
      </c>
      <c r="J242" t="s">
        <v>113</v>
      </c>
      <c r="K242" s="8" t="s">
        <v>114</v>
      </c>
      <c r="L242" t="s">
        <v>114</v>
      </c>
      <c r="M242" s="6">
        <v>0</v>
      </c>
      <c r="N242" t="s">
        <v>114</v>
      </c>
      <c r="O242" s="6">
        <v>0</v>
      </c>
      <c r="P242" t="s">
        <v>114</v>
      </c>
      <c r="Q242" s="6">
        <v>29</v>
      </c>
      <c r="R242" s="7">
        <f t="shared" si="18"/>
        <v>29</v>
      </c>
      <c r="S242" t="s">
        <v>142</v>
      </c>
      <c r="T242" t="s">
        <v>114</v>
      </c>
      <c r="U242" t="s">
        <v>114</v>
      </c>
      <c r="W242" t="s">
        <v>114</v>
      </c>
      <c r="X242" t="s">
        <v>2564</v>
      </c>
      <c r="Z242" t="s">
        <v>2565</v>
      </c>
      <c r="AA242" t="s">
        <v>2566</v>
      </c>
      <c r="AB242" s="1" t="s">
        <v>2567</v>
      </c>
      <c r="AC242" t="s">
        <v>2568</v>
      </c>
      <c r="AD242" t="s">
        <v>2566</v>
      </c>
      <c r="AH242" t="s">
        <v>123</v>
      </c>
      <c r="AI242" t="s">
        <v>124</v>
      </c>
      <c r="AJ242" t="s">
        <v>2569</v>
      </c>
      <c r="AK242" t="s">
        <v>126</v>
      </c>
      <c r="AL242" t="s">
        <v>127</v>
      </c>
      <c r="AN242" t="s">
        <v>2570</v>
      </c>
      <c r="AO242" t="s">
        <v>2571</v>
      </c>
      <c r="AP242" t="s">
        <v>2572</v>
      </c>
      <c r="AQ242" t="s">
        <v>131</v>
      </c>
      <c r="AR242" t="s">
        <v>233</v>
      </c>
      <c r="AS242" t="s">
        <v>234</v>
      </c>
      <c r="AT242" t="s">
        <v>2573</v>
      </c>
      <c r="AV242" t="s">
        <v>191</v>
      </c>
      <c r="AW242" t="s">
        <v>265</v>
      </c>
      <c r="AX242" t="s">
        <v>136</v>
      </c>
      <c r="AY242" t="s">
        <v>272</v>
      </c>
      <c r="AZ242" t="s">
        <v>273</v>
      </c>
      <c r="BA242" t="s">
        <v>2574</v>
      </c>
      <c r="BC242" t="s">
        <v>140</v>
      </c>
      <c r="BT242" s="7">
        <f t="shared" si="19"/>
        <v>29</v>
      </c>
      <c r="BU242" s="6">
        <f t="shared" si="20"/>
        <v>27.102803738317757</v>
      </c>
      <c r="BV242" s="6">
        <f t="shared" si="21"/>
        <v>1.8971962616822429</v>
      </c>
      <c r="BW242" s="6">
        <f t="shared" si="22"/>
        <v>29</v>
      </c>
      <c r="BX242" s="6">
        <f t="shared" si="23"/>
        <v>0</v>
      </c>
    </row>
    <row r="243" spans="1:76" x14ac:dyDescent="0.35">
      <c r="A243" t="s">
        <v>2575</v>
      </c>
      <c r="B243" t="s">
        <v>107</v>
      </c>
      <c r="C243" t="s">
        <v>107</v>
      </c>
      <c r="E243" t="s">
        <v>108</v>
      </c>
      <c r="F243" t="s">
        <v>158</v>
      </c>
      <c r="G243" t="s">
        <v>159</v>
      </c>
      <c r="H243" t="s">
        <v>111</v>
      </c>
      <c r="I243" t="s">
        <v>341</v>
      </c>
      <c r="J243" t="s">
        <v>113</v>
      </c>
      <c r="K243" s="8" t="s">
        <v>114</v>
      </c>
      <c r="L243" t="s">
        <v>161</v>
      </c>
      <c r="M243" s="6">
        <v>459</v>
      </c>
      <c r="N243" t="s">
        <v>114</v>
      </c>
      <c r="O243" s="6">
        <v>220</v>
      </c>
      <c r="P243" t="s">
        <v>1111</v>
      </c>
      <c r="Q243" s="6">
        <v>0</v>
      </c>
      <c r="R243" s="7">
        <f t="shared" si="18"/>
        <v>239</v>
      </c>
      <c r="S243" t="s">
        <v>180</v>
      </c>
      <c r="T243" t="s">
        <v>114</v>
      </c>
      <c r="U243" t="s">
        <v>180</v>
      </c>
      <c r="W243" t="s">
        <v>114</v>
      </c>
      <c r="X243" t="s">
        <v>1111</v>
      </c>
      <c r="Z243" t="s">
        <v>2576</v>
      </c>
      <c r="AA243" t="s">
        <v>2577</v>
      </c>
      <c r="AB243" s="1" t="s">
        <v>2578</v>
      </c>
      <c r="AC243" t="s">
        <v>2579</v>
      </c>
      <c r="AD243" t="s">
        <v>2577</v>
      </c>
      <c r="AH243" t="s">
        <v>123</v>
      </c>
      <c r="AI243" t="s">
        <v>124</v>
      </c>
      <c r="AJ243" t="s">
        <v>2580</v>
      </c>
      <c r="AK243" t="s">
        <v>126</v>
      </c>
      <c r="AL243" t="s">
        <v>127</v>
      </c>
      <c r="AN243" t="s">
        <v>2581</v>
      </c>
      <c r="AO243" t="s">
        <v>2582</v>
      </c>
      <c r="AP243" t="s">
        <v>2583</v>
      </c>
      <c r="AQ243" t="s">
        <v>131</v>
      </c>
      <c r="AR243" t="s">
        <v>132</v>
      </c>
      <c r="AS243" t="s">
        <v>352</v>
      </c>
      <c r="AT243" t="s">
        <v>374</v>
      </c>
      <c r="AV243" t="s">
        <v>1183</v>
      </c>
      <c r="AX243" t="s">
        <v>136</v>
      </c>
      <c r="AY243" t="s">
        <v>177</v>
      </c>
      <c r="AZ243" t="s">
        <v>138</v>
      </c>
      <c r="BA243" t="s">
        <v>2584</v>
      </c>
      <c r="BC243" t="s">
        <v>140</v>
      </c>
      <c r="BT243" s="7">
        <f t="shared" si="19"/>
        <v>239</v>
      </c>
      <c r="BU243" s="6">
        <f t="shared" si="20"/>
        <v>223.36448598130841</v>
      </c>
      <c r="BV243" s="6">
        <f t="shared" si="21"/>
        <v>15.635514018691588</v>
      </c>
      <c r="BW243" s="6">
        <f t="shared" si="22"/>
        <v>239</v>
      </c>
      <c r="BX243" s="6">
        <f t="shared" si="23"/>
        <v>0</v>
      </c>
    </row>
    <row r="244" spans="1:76" x14ac:dyDescent="0.35">
      <c r="A244" t="s">
        <v>2575</v>
      </c>
      <c r="B244" t="s">
        <v>107</v>
      </c>
      <c r="C244" t="s">
        <v>107</v>
      </c>
      <c r="E244" t="s">
        <v>108</v>
      </c>
      <c r="F244" t="s">
        <v>268</v>
      </c>
      <c r="G244" t="s">
        <v>269</v>
      </c>
      <c r="H244" t="s">
        <v>2268</v>
      </c>
      <c r="I244" t="s">
        <v>271</v>
      </c>
      <c r="J244" t="s">
        <v>113</v>
      </c>
      <c r="K244" s="8" t="s">
        <v>114</v>
      </c>
      <c r="L244" t="s">
        <v>114</v>
      </c>
      <c r="M244" s="6">
        <v>0</v>
      </c>
      <c r="N244" t="s">
        <v>114</v>
      </c>
      <c r="O244" s="6">
        <v>0</v>
      </c>
      <c r="P244" t="s">
        <v>114</v>
      </c>
      <c r="Q244" s="6">
        <v>0</v>
      </c>
      <c r="R244" s="7">
        <f t="shared" si="18"/>
        <v>0</v>
      </c>
      <c r="S244" t="s">
        <v>180</v>
      </c>
      <c r="T244" t="s">
        <v>114</v>
      </c>
      <c r="U244" t="s">
        <v>180</v>
      </c>
      <c r="W244" t="s">
        <v>114</v>
      </c>
      <c r="X244" t="s">
        <v>1111</v>
      </c>
      <c r="Z244" t="s">
        <v>2576</v>
      </c>
      <c r="AA244" t="s">
        <v>2577</v>
      </c>
      <c r="AB244" s="1" t="s">
        <v>2578</v>
      </c>
      <c r="AC244" t="s">
        <v>2579</v>
      </c>
      <c r="AD244" t="s">
        <v>2577</v>
      </c>
      <c r="AH244" t="s">
        <v>123</v>
      </c>
      <c r="AI244" t="s">
        <v>124</v>
      </c>
      <c r="AJ244" t="s">
        <v>2580</v>
      </c>
      <c r="AK244" t="s">
        <v>126</v>
      </c>
      <c r="AL244" t="s">
        <v>127</v>
      </c>
      <c r="AN244" t="s">
        <v>2581</v>
      </c>
      <c r="AO244" t="s">
        <v>2582</v>
      </c>
      <c r="AP244" t="s">
        <v>2583</v>
      </c>
      <c r="AQ244" t="s">
        <v>131</v>
      </c>
      <c r="AR244" t="s">
        <v>132</v>
      </c>
      <c r="AS244" t="s">
        <v>352</v>
      </c>
      <c r="AT244" t="s">
        <v>374</v>
      </c>
      <c r="AV244" t="s">
        <v>1183</v>
      </c>
      <c r="AX244" t="s">
        <v>136</v>
      </c>
      <c r="AY244" t="s">
        <v>272</v>
      </c>
      <c r="AZ244" t="s">
        <v>273</v>
      </c>
      <c r="BA244" t="s">
        <v>2584</v>
      </c>
      <c r="BC244" t="s">
        <v>140</v>
      </c>
      <c r="BT244" s="7">
        <f t="shared" si="19"/>
        <v>0</v>
      </c>
      <c r="BU244" s="6">
        <f t="shared" si="20"/>
        <v>0</v>
      </c>
      <c r="BV244" s="6">
        <f t="shared" si="21"/>
        <v>0</v>
      </c>
      <c r="BW244" s="6">
        <f t="shared" si="22"/>
        <v>0</v>
      </c>
      <c r="BX244" s="6">
        <f t="shared" si="23"/>
        <v>0</v>
      </c>
    </row>
    <row r="245" spans="1:76" x14ac:dyDescent="0.35">
      <c r="A245" t="s">
        <v>2585</v>
      </c>
      <c r="B245" t="s">
        <v>107</v>
      </c>
      <c r="C245" t="s">
        <v>107</v>
      </c>
      <c r="E245" t="s">
        <v>108</v>
      </c>
      <c r="F245" t="s">
        <v>268</v>
      </c>
      <c r="G245" t="s">
        <v>269</v>
      </c>
      <c r="H245" t="s">
        <v>2268</v>
      </c>
      <c r="I245" t="s">
        <v>271</v>
      </c>
      <c r="J245" t="s">
        <v>113</v>
      </c>
      <c r="K245" s="8" t="s">
        <v>114</v>
      </c>
      <c r="L245" t="s">
        <v>114</v>
      </c>
      <c r="M245" s="6">
        <v>0</v>
      </c>
      <c r="N245" t="s">
        <v>114</v>
      </c>
      <c r="O245" s="6">
        <v>0</v>
      </c>
      <c r="P245" t="s">
        <v>114</v>
      </c>
      <c r="Q245" s="6">
        <v>0</v>
      </c>
      <c r="R245" s="7">
        <f t="shared" si="18"/>
        <v>0</v>
      </c>
      <c r="S245" t="s">
        <v>180</v>
      </c>
      <c r="T245" t="s">
        <v>114</v>
      </c>
      <c r="U245" t="s">
        <v>180</v>
      </c>
      <c r="W245" t="s">
        <v>114</v>
      </c>
      <c r="X245" t="s">
        <v>1111</v>
      </c>
      <c r="Z245" t="s">
        <v>2586</v>
      </c>
      <c r="AA245" t="s">
        <v>2587</v>
      </c>
      <c r="AB245" s="1" t="s">
        <v>2588</v>
      </c>
      <c r="AC245" t="s">
        <v>2589</v>
      </c>
      <c r="AD245" t="s">
        <v>2587</v>
      </c>
      <c r="AH245" t="s">
        <v>123</v>
      </c>
      <c r="AI245" t="s">
        <v>124</v>
      </c>
      <c r="AJ245" t="s">
        <v>2590</v>
      </c>
      <c r="AK245" t="s">
        <v>126</v>
      </c>
      <c r="AL245" t="s">
        <v>127</v>
      </c>
      <c r="AN245" t="s">
        <v>2591</v>
      </c>
      <c r="AO245" t="s">
        <v>2592</v>
      </c>
      <c r="AP245" t="s">
        <v>2593</v>
      </c>
      <c r="AQ245" t="s">
        <v>131</v>
      </c>
      <c r="AR245" t="s">
        <v>132</v>
      </c>
      <c r="AS245" t="s">
        <v>352</v>
      </c>
      <c r="AT245" t="s">
        <v>667</v>
      </c>
      <c r="AV245" t="s">
        <v>758</v>
      </c>
      <c r="AX245" t="s">
        <v>136</v>
      </c>
      <c r="AY245" t="s">
        <v>272</v>
      </c>
      <c r="AZ245" t="s">
        <v>273</v>
      </c>
      <c r="BA245" t="s">
        <v>2594</v>
      </c>
      <c r="BC245" t="s">
        <v>140</v>
      </c>
      <c r="BT245" s="7">
        <f t="shared" si="19"/>
        <v>0</v>
      </c>
      <c r="BU245" s="6">
        <f t="shared" si="20"/>
        <v>0</v>
      </c>
      <c r="BV245" s="6">
        <f t="shared" si="21"/>
        <v>0</v>
      </c>
      <c r="BW245" s="6">
        <f t="shared" si="22"/>
        <v>0</v>
      </c>
      <c r="BX245" s="6">
        <f t="shared" si="23"/>
        <v>0</v>
      </c>
    </row>
    <row r="246" spans="1:76" x14ac:dyDescent="0.35">
      <c r="A246" t="s">
        <v>2585</v>
      </c>
      <c r="B246" t="s">
        <v>107</v>
      </c>
      <c r="C246" t="s">
        <v>107</v>
      </c>
      <c r="E246" t="s">
        <v>108</v>
      </c>
      <c r="F246" t="s">
        <v>158</v>
      </c>
      <c r="G246" t="s">
        <v>159</v>
      </c>
      <c r="H246" t="s">
        <v>111</v>
      </c>
      <c r="I246" t="s">
        <v>341</v>
      </c>
      <c r="J246" t="s">
        <v>113</v>
      </c>
      <c r="K246" s="8" t="s">
        <v>114</v>
      </c>
      <c r="L246" t="s">
        <v>161</v>
      </c>
      <c r="M246" s="6">
        <v>459</v>
      </c>
      <c r="N246" t="s">
        <v>114</v>
      </c>
      <c r="O246" s="6">
        <v>220</v>
      </c>
      <c r="P246" t="s">
        <v>1111</v>
      </c>
      <c r="Q246" s="6">
        <v>0</v>
      </c>
      <c r="R246" s="7">
        <f t="shared" si="18"/>
        <v>239</v>
      </c>
      <c r="S246" t="s">
        <v>180</v>
      </c>
      <c r="T246" t="s">
        <v>114</v>
      </c>
      <c r="U246" t="s">
        <v>180</v>
      </c>
      <c r="W246" t="s">
        <v>114</v>
      </c>
      <c r="X246" t="s">
        <v>1111</v>
      </c>
      <c r="Z246" t="s">
        <v>2586</v>
      </c>
      <c r="AA246" t="s">
        <v>2587</v>
      </c>
      <c r="AB246" s="1" t="s">
        <v>2588</v>
      </c>
      <c r="AC246" t="s">
        <v>2589</v>
      </c>
      <c r="AD246" t="s">
        <v>2587</v>
      </c>
      <c r="AH246" t="s">
        <v>123</v>
      </c>
      <c r="AI246" t="s">
        <v>124</v>
      </c>
      <c r="AJ246" t="s">
        <v>2590</v>
      </c>
      <c r="AK246" t="s">
        <v>126</v>
      </c>
      <c r="AL246" t="s">
        <v>127</v>
      </c>
      <c r="AN246" t="s">
        <v>2591</v>
      </c>
      <c r="AO246" t="s">
        <v>2592</v>
      </c>
      <c r="AP246" t="s">
        <v>2593</v>
      </c>
      <c r="AQ246" t="s">
        <v>131</v>
      </c>
      <c r="AR246" t="s">
        <v>132</v>
      </c>
      <c r="AS246" t="s">
        <v>352</v>
      </c>
      <c r="AT246" t="s">
        <v>667</v>
      </c>
      <c r="AV246" t="s">
        <v>758</v>
      </c>
      <c r="AX246" t="s">
        <v>136</v>
      </c>
      <c r="AY246" t="s">
        <v>177</v>
      </c>
      <c r="AZ246" t="s">
        <v>138</v>
      </c>
      <c r="BA246" t="s">
        <v>2594</v>
      </c>
      <c r="BC246" t="s">
        <v>140</v>
      </c>
      <c r="BT246" s="7">
        <f t="shared" si="19"/>
        <v>239</v>
      </c>
      <c r="BU246" s="6">
        <f t="shared" si="20"/>
        <v>223.36448598130841</v>
      </c>
      <c r="BV246" s="6">
        <f t="shared" si="21"/>
        <v>15.635514018691588</v>
      </c>
      <c r="BW246" s="6">
        <f t="shared" si="22"/>
        <v>239</v>
      </c>
      <c r="BX246" s="6">
        <f t="shared" si="23"/>
        <v>0</v>
      </c>
    </row>
    <row r="247" spans="1:76" x14ac:dyDescent="0.35">
      <c r="A247" t="s">
        <v>2595</v>
      </c>
      <c r="B247" t="s">
        <v>107</v>
      </c>
      <c r="C247" t="s">
        <v>107</v>
      </c>
      <c r="E247" t="s">
        <v>108</v>
      </c>
      <c r="F247" t="s">
        <v>158</v>
      </c>
      <c r="G247" t="s">
        <v>159</v>
      </c>
      <c r="H247" t="s">
        <v>111</v>
      </c>
      <c r="I247" t="s">
        <v>341</v>
      </c>
      <c r="J247" t="s">
        <v>113</v>
      </c>
      <c r="K247" s="8" t="s">
        <v>114</v>
      </c>
      <c r="L247" t="s">
        <v>161</v>
      </c>
      <c r="M247" s="6">
        <v>459</v>
      </c>
      <c r="N247" t="s">
        <v>114</v>
      </c>
      <c r="O247" s="6">
        <v>220</v>
      </c>
      <c r="P247" t="s">
        <v>1111</v>
      </c>
      <c r="Q247" s="6">
        <v>0</v>
      </c>
      <c r="R247" s="7">
        <f t="shared" si="18"/>
        <v>239</v>
      </c>
      <c r="S247" t="s">
        <v>142</v>
      </c>
      <c r="T247" t="s">
        <v>114</v>
      </c>
      <c r="U247" t="s">
        <v>142</v>
      </c>
      <c r="W247" t="s">
        <v>114</v>
      </c>
      <c r="X247" t="s">
        <v>1111</v>
      </c>
      <c r="Z247" t="s">
        <v>2596</v>
      </c>
      <c r="AA247" t="s">
        <v>2597</v>
      </c>
      <c r="AB247" s="1" t="s">
        <v>2598</v>
      </c>
      <c r="AC247" t="s">
        <v>2599</v>
      </c>
      <c r="AD247" t="s">
        <v>2600</v>
      </c>
      <c r="AH247" t="s">
        <v>123</v>
      </c>
      <c r="AI247" t="s">
        <v>124</v>
      </c>
      <c r="AJ247" t="s">
        <v>2601</v>
      </c>
      <c r="AK247" t="s">
        <v>126</v>
      </c>
      <c r="AL247" t="s">
        <v>127</v>
      </c>
      <c r="AN247" t="s">
        <v>2602</v>
      </c>
      <c r="AO247" t="s">
        <v>2603</v>
      </c>
      <c r="AP247" t="s">
        <v>2604</v>
      </c>
      <c r="AQ247" t="s">
        <v>131</v>
      </c>
      <c r="AR247" t="s">
        <v>233</v>
      </c>
      <c r="AS247" t="s">
        <v>2605</v>
      </c>
      <c r="AT247" t="s">
        <v>2606</v>
      </c>
      <c r="AV247" t="s">
        <v>135</v>
      </c>
      <c r="AW247" t="s">
        <v>1403</v>
      </c>
      <c r="AX247" t="s">
        <v>176</v>
      </c>
      <c r="AY247" t="s">
        <v>177</v>
      </c>
      <c r="AZ247" t="s">
        <v>138</v>
      </c>
      <c r="BA247" t="s">
        <v>2607</v>
      </c>
      <c r="BC247" t="s">
        <v>140</v>
      </c>
      <c r="BT247" s="7">
        <f t="shared" si="19"/>
        <v>239</v>
      </c>
      <c r="BU247" s="6">
        <f t="shared" si="20"/>
        <v>223.36448598130841</v>
      </c>
      <c r="BV247" s="6">
        <f t="shared" si="21"/>
        <v>15.635514018691588</v>
      </c>
      <c r="BW247" s="6">
        <f t="shared" si="22"/>
        <v>239</v>
      </c>
      <c r="BX247" s="6">
        <f t="shared" si="23"/>
        <v>0</v>
      </c>
    </row>
    <row r="248" spans="1:76" x14ac:dyDescent="0.35">
      <c r="A248" t="s">
        <v>2595</v>
      </c>
      <c r="B248" t="s">
        <v>107</v>
      </c>
      <c r="C248" t="s">
        <v>107</v>
      </c>
      <c r="E248" t="s">
        <v>108</v>
      </c>
      <c r="F248" t="s">
        <v>268</v>
      </c>
      <c r="G248" t="s">
        <v>269</v>
      </c>
      <c r="H248" t="s">
        <v>2268</v>
      </c>
      <c r="I248" t="s">
        <v>271</v>
      </c>
      <c r="J248" t="s">
        <v>113</v>
      </c>
      <c r="K248" s="8" t="s">
        <v>114</v>
      </c>
      <c r="L248" t="s">
        <v>114</v>
      </c>
      <c r="M248" s="6">
        <v>0</v>
      </c>
      <c r="N248" t="s">
        <v>114</v>
      </c>
      <c r="O248" s="6">
        <v>0</v>
      </c>
      <c r="P248" t="s">
        <v>114</v>
      </c>
      <c r="Q248" s="6">
        <v>0</v>
      </c>
      <c r="R248" s="7">
        <f t="shared" si="18"/>
        <v>0</v>
      </c>
      <c r="S248" t="s">
        <v>142</v>
      </c>
      <c r="T248" t="s">
        <v>114</v>
      </c>
      <c r="U248" t="s">
        <v>142</v>
      </c>
      <c r="W248" t="s">
        <v>114</v>
      </c>
      <c r="X248" t="s">
        <v>1111</v>
      </c>
      <c r="Z248" t="s">
        <v>2596</v>
      </c>
      <c r="AA248" t="s">
        <v>2597</v>
      </c>
      <c r="AB248" s="1" t="s">
        <v>2598</v>
      </c>
      <c r="AC248" t="s">
        <v>2599</v>
      </c>
      <c r="AD248" t="s">
        <v>2600</v>
      </c>
      <c r="AH248" t="s">
        <v>123</v>
      </c>
      <c r="AI248" t="s">
        <v>124</v>
      </c>
      <c r="AJ248" t="s">
        <v>2601</v>
      </c>
      <c r="AK248" t="s">
        <v>126</v>
      </c>
      <c r="AL248" t="s">
        <v>127</v>
      </c>
      <c r="AN248" t="s">
        <v>2602</v>
      </c>
      <c r="AO248" t="s">
        <v>2603</v>
      </c>
      <c r="AP248" t="s">
        <v>2604</v>
      </c>
      <c r="AQ248" t="s">
        <v>131</v>
      </c>
      <c r="AR248" t="s">
        <v>233</v>
      </c>
      <c r="AS248" t="s">
        <v>2605</v>
      </c>
      <c r="AT248" t="s">
        <v>2606</v>
      </c>
      <c r="AV248" t="s">
        <v>135</v>
      </c>
      <c r="AW248" t="s">
        <v>1403</v>
      </c>
      <c r="AX248" t="s">
        <v>176</v>
      </c>
      <c r="AY248" t="s">
        <v>272</v>
      </c>
      <c r="AZ248" t="s">
        <v>273</v>
      </c>
      <c r="BA248" t="s">
        <v>2607</v>
      </c>
      <c r="BC248" t="s">
        <v>140</v>
      </c>
      <c r="BT248" s="7">
        <f t="shared" si="19"/>
        <v>0</v>
      </c>
      <c r="BU248" s="6">
        <f t="shared" si="20"/>
        <v>0</v>
      </c>
      <c r="BV248" s="6">
        <f t="shared" si="21"/>
        <v>0</v>
      </c>
      <c r="BW248" s="6">
        <f t="shared" si="22"/>
        <v>0</v>
      </c>
      <c r="BX248" s="6">
        <f t="shared" si="23"/>
        <v>0</v>
      </c>
    </row>
    <row r="249" spans="1:76" x14ac:dyDescent="0.35">
      <c r="A249" t="s">
        <v>2608</v>
      </c>
      <c r="B249" t="s">
        <v>107</v>
      </c>
      <c r="C249" t="s">
        <v>107</v>
      </c>
      <c r="E249" t="s">
        <v>108</v>
      </c>
      <c r="F249" t="s">
        <v>158</v>
      </c>
      <c r="G249" t="s">
        <v>159</v>
      </c>
      <c r="H249" t="s">
        <v>111</v>
      </c>
      <c r="I249" t="s">
        <v>341</v>
      </c>
      <c r="J249" t="s">
        <v>113</v>
      </c>
      <c r="K249" s="8" t="s">
        <v>114</v>
      </c>
      <c r="L249" t="s">
        <v>161</v>
      </c>
      <c r="M249" s="6">
        <v>459</v>
      </c>
      <c r="N249" t="s">
        <v>114</v>
      </c>
      <c r="O249" s="6">
        <v>220</v>
      </c>
      <c r="P249" t="s">
        <v>1111</v>
      </c>
      <c r="Q249" s="6">
        <v>0</v>
      </c>
      <c r="R249" s="7">
        <f t="shared" si="18"/>
        <v>239</v>
      </c>
      <c r="S249" t="s">
        <v>180</v>
      </c>
      <c r="T249" t="s">
        <v>114</v>
      </c>
      <c r="U249" t="s">
        <v>180</v>
      </c>
      <c r="W249" t="s">
        <v>114</v>
      </c>
      <c r="X249" t="s">
        <v>1111</v>
      </c>
      <c r="Z249" t="s">
        <v>2609</v>
      </c>
      <c r="AA249" t="s">
        <v>2610</v>
      </c>
      <c r="AB249" s="1" t="s">
        <v>2611</v>
      </c>
      <c r="AC249" t="s">
        <v>2612</v>
      </c>
      <c r="AD249" t="s">
        <v>2613</v>
      </c>
      <c r="AH249" t="s">
        <v>123</v>
      </c>
      <c r="AI249" t="s">
        <v>124</v>
      </c>
      <c r="AJ249" t="s">
        <v>2614</v>
      </c>
      <c r="AK249" t="s">
        <v>126</v>
      </c>
      <c r="AL249" t="s">
        <v>127</v>
      </c>
      <c r="AN249" t="s">
        <v>2615</v>
      </c>
      <c r="AO249" t="s">
        <v>2616</v>
      </c>
      <c r="AP249" t="s">
        <v>2617</v>
      </c>
      <c r="AQ249" t="s">
        <v>131</v>
      </c>
      <c r="AR249" t="s">
        <v>132</v>
      </c>
      <c r="AS249" t="s">
        <v>2618</v>
      </c>
      <c r="AT249" t="s">
        <v>2619</v>
      </c>
      <c r="AV249" t="s">
        <v>798</v>
      </c>
      <c r="AW249" t="s">
        <v>810</v>
      </c>
      <c r="AX249" t="s">
        <v>655</v>
      </c>
      <c r="AY249" t="s">
        <v>177</v>
      </c>
      <c r="AZ249" t="s">
        <v>138</v>
      </c>
      <c r="BA249" t="s">
        <v>2620</v>
      </c>
      <c r="BC249" t="s">
        <v>140</v>
      </c>
      <c r="BT249" s="7">
        <f t="shared" si="19"/>
        <v>239</v>
      </c>
      <c r="BU249" s="6">
        <f t="shared" si="20"/>
        <v>223.36448598130841</v>
      </c>
      <c r="BV249" s="6">
        <f t="shared" si="21"/>
        <v>15.635514018691588</v>
      </c>
      <c r="BW249" s="6">
        <f t="shared" si="22"/>
        <v>239</v>
      </c>
      <c r="BX249" s="6">
        <f t="shared" si="23"/>
        <v>0</v>
      </c>
    </row>
    <row r="250" spans="1:76" x14ac:dyDescent="0.35">
      <c r="A250" t="s">
        <v>2608</v>
      </c>
      <c r="B250" t="s">
        <v>107</v>
      </c>
      <c r="C250" t="s">
        <v>107</v>
      </c>
      <c r="E250" t="s">
        <v>108</v>
      </c>
      <c r="F250" t="s">
        <v>268</v>
      </c>
      <c r="G250" t="s">
        <v>269</v>
      </c>
      <c r="H250" t="s">
        <v>2268</v>
      </c>
      <c r="I250" t="s">
        <v>271</v>
      </c>
      <c r="J250" t="s">
        <v>113</v>
      </c>
      <c r="K250" s="8" t="s">
        <v>114</v>
      </c>
      <c r="L250" t="s">
        <v>114</v>
      </c>
      <c r="M250" s="6">
        <v>0</v>
      </c>
      <c r="N250" t="s">
        <v>114</v>
      </c>
      <c r="O250" s="6">
        <v>0</v>
      </c>
      <c r="P250" t="s">
        <v>114</v>
      </c>
      <c r="Q250" s="6">
        <v>0</v>
      </c>
      <c r="R250" s="7">
        <f t="shared" si="18"/>
        <v>0</v>
      </c>
      <c r="S250" t="s">
        <v>180</v>
      </c>
      <c r="T250" t="s">
        <v>114</v>
      </c>
      <c r="U250" t="s">
        <v>180</v>
      </c>
      <c r="W250" t="s">
        <v>114</v>
      </c>
      <c r="X250" t="s">
        <v>1111</v>
      </c>
      <c r="Z250" t="s">
        <v>2609</v>
      </c>
      <c r="AA250" t="s">
        <v>2610</v>
      </c>
      <c r="AB250" s="1" t="s">
        <v>2611</v>
      </c>
      <c r="AC250" t="s">
        <v>2612</v>
      </c>
      <c r="AD250" t="s">
        <v>2613</v>
      </c>
      <c r="AH250" t="s">
        <v>123</v>
      </c>
      <c r="AI250" t="s">
        <v>124</v>
      </c>
      <c r="AJ250" t="s">
        <v>2614</v>
      </c>
      <c r="AK250" t="s">
        <v>126</v>
      </c>
      <c r="AL250" t="s">
        <v>127</v>
      </c>
      <c r="AN250" t="s">
        <v>2615</v>
      </c>
      <c r="AO250" t="s">
        <v>2616</v>
      </c>
      <c r="AP250" t="s">
        <v>2617</v>
      </c>
      <c r="AQ250" t="s">
        <v>131</v>
      </c>
      <c r="AR250" t="s">
        <v>132</v>
      </c>
      <c r="AS250" t="s">
        <v>2618</v>
      </c>
      <c r="AT250" t="s">
        <v>2619</v>
      </c>
      <c r="AV250" t="s">
        <v>798</v>
      </c>
      <c r="AW250" t="s">
        <v>810</v>
      </c>
      <c r="AX250" t="s">
        <v>655</v>
      </c>
      <c r="AY250" t="s">
        <v>272</v>
      </c>
      <c r="AZ250" t="s">
        <v>273</v>
      </c>
      <c r="BA250" t="s">
        <v>2620</v>
      </c>
      <c r="BC250" t="s">
        <v>140</v>
      </c>
      <c r="BT250" s="7">
        <f t="shared" si="19"/>
        <v>0</v>
      </c>
      <c r="BU250" s="6">
        <f t="shared" si="20"/>
        <v>0</v>
      </c>
      <c r="BV250" s="6">
        <f t="shared" si="21"/>
        <v>0</v>
      </c>
      <c r="BW250" s="6">
        <f t="shared" si="22"/>
        <v>0</v>
      </c>
      <c r="BX250" s="6">
        <f t="shared" si="23"/>
        <v>0</v>
      </c>
    </row>
    <row r="251" spans="1:76" x14ac:dyDescent="0.35">
      <c r="A251" t="s">
        <v>2621</v>
      </c>
      <c r="B251" t="s">
        <v>107</v>
      </c>
      <c r="C251" t="s">
        <v>107</v>
      </c>
      <c r="E251" t="s">
        <v>108</v>
      </c>
      <c r="F251" t="s">
        <v>268</v>
      </c>
      <c r="G251" t="s">
        <v>269</v>
      </c>
      <c r="H251" t="s">
        <v>2268</v>
      </c>
      <c r="I251" t="s">
        <v>271</v>
      </c>
      <c r="J251" t="s">
        <v>113</v>
      </c>
      <c r="K251" s="8" t="s">
        <v>114</v>
      </c>
      <c r="L251" t="s">
        <v>114</v>
      </c>
      <c r="M251" s="6">
        <v>0</v>
      </c>
      <c r="N251" t="s">
        <v>114</v>
      </c>
      <c r="O251" s="6">
        <v>0</v>
      </c>
      <c r="P251" t="s">
        <v>114</v>
      </c>
      <c r="Q251" s="6">
        <v>38</v>
      </c>
      <c r="R251" s="7">
        <f t="shared" si="18"/>
        <v>38</v>
      </c>
      <c r="S251" t="s">
        <v>180</v>
      </c>
      <c r="T251" t="s">
        <v>114</v>
      </c>
      <c r="U251" t="s">
        <v>114</v>
      </c>
      <c r="W251" t="s">
        <v>114</v>
      </c>
      <c r="X251" t="s">
        <v>2622</v>
      </c>
      <c r="Z251" t="s">
        <v>2623</v>
      </c>
      <c r="AA251" t="s">
        <v>2624</v>
      </c>
      <c r="AB251" s="1" t="s">
        <v>2625</v>
      </c>
      <c r="AC251" t="s">
        <v>2626</v>
      </c>
      <c r="AD251" t="s">
        <v>2627</v>
      </c>
      <c r="AH251" t="s">
        <v>123</v>
      </c>
      <c r="AI251" t="s">
        <v>124</v>
      </c>
      <c r="AJ251" t="s">
        <v>2628</v>
      </c>
      <c r="AK251" t="s">
        <v>126</v>
      </c>
      <c r="AL251" t="s">
        <v>127</v>
      </c>
      <c r="AN251" t="s">
        <v>2629</v>
      </c>
      <c r="AO251" t="s">
        <v>2630</v>
      </c>
      <c r="AP251" t="s">
        <v>2631</v>
      </c>
      <c r="AQ251" t="s">
        <v>131</v>
      </c>
      <c r="AR251" t="s">
        <v>132</v>
      </c>
      <c r="AS251" t="s">
        <v>796</v>
      </c>
      <c r="AT251" t="s">
        <v>2224</v>
      </c>
      <c r="AV251" t="s">
        <v>758</v>
      </c>
      <c r="AW251" t="s">
        <v>991</v>
      </c>
      <c r="AX251" t="s">
        <v>317</v>
      </c>
      <c r="AY251" t="s">
        <v>272</v>
      </c>
      <c r="AZ251" t="s">
        <v>273</v>
      </c>
      <c r="BA251" t="s">
        <v>2632</v>
      </c>
      <c r="BC251" t="s">
        <v>140</v>
      </c>
      <c r="BT251" s="7">
        <f t="shared" si="19"/>
        <v>38</v>
      </c>
      <c r="BU251" s="6">
        <f t="shared" si="20"/>
        <v>35.514018691588781</v>
      </c>
      <c r="BV251" s="6">
        <f t="shared" si="21"/>
        <v>2.4859813084112146</v>
      </c>
      <c r="BW251" s="6">
        <f t="shared" si="22"/>
        <v>37.999999999999993</v>
      </c>
      <c r="BX251" s="6">
        <f t="shared" si="23"/>
        <v>0</v>
      </c>
    </row>
    <row r="252" spans="1:76" x14ac:dyDescent="0.35">
      <c r="A252" t="s">
        <v>2621</v>
      </c>
      <c r="B252" t="s">
        <v>107</v>
      </c>
      <c r="C252" t="s">
        <v>107</v>
      </c>
      <c r="E252" t="s">
        <v>108</v>
      </c>
      <c r="F252" t="s">
        <v>158</v>
      </c>
      <c r="G252" t="s">
        <v>159</v>
      </c>
      <c r="H252" t="s">
        <v>111</v>
      </c>
      <c r="I252" t="s">
        <v>341</v>
      </c>
      <c r="J252" t="s">
        <v>113</v>
      </c>
      <c r="K252" s="8" t="s">
        <v>114</v>
      </c>
      <c r="L252" t="s">
        <v>161</v>
      </c>
      <c r="M252" s="6">
        <v>459</v>
      </c>
      <c r="N252" t="s">
        <v>436</v>
      </c>
      <c r="O252" s="6">
        <v>220</v>
      </c>
      <c r="P252" t="s">
        <v>1876</v>
      </c>
      <c r="Q252" s="6">
        <v>38</v>
      </c>
      <c r="R252" s="7">
        <f t="shared" si="18"/>
        <v>277</v>
      </c>
      <c r="S252" t="s">
        <v>180</v>
      </c>
      <c r="T252" t="s">
        <v>114</v>
      </c>
      <c r="U252" t="s">
        <v>114</v>
      </c>
      <c r="W252" t="s">
        <v>114</v>
      </c>
      <c r="X252" t="s">
        <v>2622</v>
      </c>
      <c r="Z252" t="s">
        <v>2623</v>
      </c>
      <c r="AA252" t="s">
        <v>2624</v>
      </c>
      <c r="AB252" s="1" t="s">
        <v>2625</v>
      </c>
      <c r="AC252" t="s">
        <v>2626</v>
      </c>
      <c r="AD252" t="s">
        <v>2627</v>
      </c>
      <c r="AH252" t="s">
        <v>123</v>
      </c>
      <c r="AI252" t="s">
        <v>124</v>
      </c>
      <c r="AJ252" t="s">
        <v>2628</v>
      </c>
      <c r="AK252" t="s">
        <v>126</v>
      </c>
      <c r="AL252" t="s">
        <v>127</v>
      </c>
      <c r="AN252" t="s">
        <v>2629</v>
      </c>
      <c r="AO252" t="s">
        <v>2630</v>
      </c>
      <c r="AP252" t="s">
        <v>2631</v>
      </c>
      <c r="AQ252" t="s">
        <v>131</v>
      </c>
      <c r="AR252" t="s">
        <v>132</v>
      </c>
      <c r="AS252" t="s">
        <v>796</v>
      </c>
      <c r="AT252" t="s">
        <v>2224</v>
      </c>
      <c r="AV252" t="s">
        <v>758</v>
      </c>
      <c r="AW252" t="s">
        <v>991</v>
      </c>
      <c r="AX252" t="s">
        <v>317</v>
      </c>
      <c r="AY252" t="s">
        <v>177</v>
      </c>
      <c r="AZ252" t="s">
        <v>138</v>
      </c>
      <c r="BA252" t="s">
        <v>2632</v>
      </c>
      <c r="BC252" t="s">
        <v>140</v>
      </c>
      <c r="BT252" s="7">
        <f t="shared" si="19"/>
        <v>277</v>
      </c>
      <c r="BU252" s="6">
        <f t="shared" si="20"/>
        <v>258.87850467289718</v>
      </c>
      <c r="BV252" s="6">
        <f t="shared" si="21"/>
        <v>18.121495327102803</v>
      </c>
      <c r="BW252" s="6">
        <f t="shared" si="22"/>
        <v>277</v>
      </c>
      <c r="BX252" s="6">
        <f t="shared" si="23"/>
        <v>0</v>
      </c>
    </row>
    <row r="253" spans="1:76" x14ac:dyDescent="0.35">
      <c r="A253" t="s">
        <v>2633</v>
      </c>
      <c r="B253" t="s">
        <v>336</v>
      </c>
      <c r="C253" t="s">
        <v>336</v>
      </c>
      <c r="D253" t="s">
        <v>337</v>
      </c>
      <c r="E253" t="s">
        <v>108</v>
      </c>
      <c r="F253" t="s">
        <v>158</v>
      </c>
      <c r="G253" t="s">
        <v>159</v>
      </c>
      <c r="H253" t="s">
        <v>111</v>
      </c>
      <c r="I253" t="s">
        <v>341</v>
      </c>
      <c r="J253" t="s">
        <v>113</v>
      </c>
      <c r="K253" s="8" t="s">
        <v>113</v>
      </c>
      <c r="L253" t="s">
        <v>161</v>
      </c>
      <c r="M253" s="6">
        <v>459</v>
      </c>
      <c r="N253" t="s">
        <v>1219</v>
      </c>
      <c r="O253" s="6">
        <v>220</v>
      </c>
      <c r="P253" t="s">
        <v>1220</v>
      </c>
      <c r="Q253" s="6">
        <v>0</v>
      </c>
      <c r="R253" s="7">
        <f t="shared" si="18"/>
        <v>239</v>
      </c>
      <c r="S253" t="s">
        <v>180</v>
      </c>
      <c r="T253" t="s">
        <v>114</v>
      </c>
      <c r="U253" t="s">
        <v>180</v>
      </c>
      <c r="W253" t="s">
        <v>114</v>
      </c>
      <c r="X253" t="s">
        <v>1220</v>
      </c>
      <c r="Y253" t="s">
        <v>1220</v>
      </c>
      <c r="Z253" t="s">
        <v>2634</v>
      </c>
      <c r="AE253" t="s">
        <v>2635</v>
      </c>
      <c r="AF253" t="s">
        <v>474</v>
      </c>
      <c r="AG253" t="s">
        <v>2636</v>
      </c>
      <c r="AH253" t="s">
        <v>123</v>
      </c>
      <c r="AI253" t="s">
        <v>124</v>
      </c>
      <c r="AK253" t="s">
        <v>126</v>
      </c>
      <c r="AN253" t="s">
        <v>2637</v>
      </c>
      <c r="AO253" t="s">
        <v>1616</v>
      </c>
      <c r="AP253" t="s">
        <v>2638</v>
      </c>
      <c r="AQ253" t="s">
        <v>131</v>
      </c>
      <c r="AR253" t="s">
        <v>132</v>
      </c>
      <c r="AS253" t="s">
        <v>756</v>
      </c>
      <c r="AT253" t="s">
        <v>1832</v>
      </c>
      <c r="AV253" t="s">
        <v>204</v>
      </c>
      <c r="AX253" t="s">
        <v>317</v>
      </c>
      <c r="AY253" t="s">
        <v>177</v>
      </c>
      <c r="AZ253" t="s">
        <v>138</v>
      </c>
      <c r="BT253" s="7">
        <f t="shared" si="19"/>
        <v>239</v>
      </c>
      <c r="BU253" s="6">
        <f t="shared" si="20"/>
        <v>223.36448598130841</v>
      </c>
      <c r="BV253" s="6">
        <f t="shared" si="21"/>
        <v>15.635514018691588</v>
      </c>
      <c r="BW253" s="6">
        <f t="shared" si="22"/>
        <v>239</v>
      </c>
      <c r="BX253" s="6">
        <f t="shared" si="23"/>
        <v>0</v>
      </c>
    </row>
    <row r="254" spans="1:76" x14ac:dyDescent="0.35">
      <c r="A254" t="s">
        <v>2633</v>
      </c>
      <c r="B254" t="s">
        <v>336</v>
      </c>
      <c r="C254" t="s">
        <v>336</v>
      </c>
      <c r="D254" t="s">
        <v>337</v>
      </c>
      <c r="E254" t="s">
        <v>108</v>
      </c>
      <c r="F254" t="s">
        <v>268</v>
      </c>
      <c r="G254" t="s">
        <v>269</v>
      </c>
      <c r="H254" t="s">
        <v>2268</v>
      </c>
      <c r="I254" t="s">
        <v>271</v>
      </c>
      <c r="J254" t="s">
        <v>113</v>
      </c>
      <c r="K254" s="8" t="s">
        <v>113</v>
      </c>
      <c r="L254" t="s">
        <v>114</v>
      </c>
      <c r="M254" s="6">
        <v>0</v>
      </c>
      <c r="N254" t="s">
        <v>114</v>
      </c>
      <c r="O254" s="6">
        <v>0</v>
      </c>
      <c r="P254" t="s">
        <v>114</v>
      </c>
      <c r="Q254" s="6">
        <v>0</v>
      </c>
      <c r="R254" s="7">
        <f t="shared" si="18"/>
        <v>0</v>
      </c>
      <c r="S254" t="s">
        <v>180</v>
      </c>
      <c r="T254" t="s">
        <v>114</v>
      </c>
      <c r="U254" t="s">
        <v>180</v>
      </c>
      <c r="W254" t="s">
        <v>114</v>
      </c>
      <c r="X254" t="s">
        <v>1220</v>
      </c>
      <c r="Y254" t="s">
        <v>114</v>
      </c>
      <c r="Z254" t="s">
        <v>2634</v>
      </c>
      <c r="AE254" t="s">
        <v>2635</v>
      </c>
      <c r="AF254" t="s">
        <v>474</v>
      </c>
      <c r="AG254" t="s">
        <v>2636</v>
      </c>
      <c r="AH254" t="s">
        <v>123</v>
      </c>
      <c r="AI254" t="s">
        <v>124</v>
      </c>
      <c r="AK254" t="s">
        <v>126</v>
      </c>
      <c r="AN254" t="s">
        <v>2637</v>
      </c>
      <c r="AO254" t="s">
        <v>1616</v>
      </c>
      <c r="AP254" t="s">
        <v>2638</v>
      </c>
      <c r="AQ254" t="s">
        <v>131</v>
      </c>
      <c r="AR254" t="s">
        <v>132</v>
      </c>
      <c r="AS254" t="s">
        <v>756</v>
      </c>
      <c r="AT254" t="s">
        <v>1832</v>
      </c>
      <c r="AV254" t="s">
        <v>204</v>
      </c>
      <c r="AX254" t="s">
        <v>317</v>
      </c>
      <c r="AY254" t="s">
        <v>272</v>
      </c>
      <c r="AZ254" t="s">
        <v>273</v>
      </c>
      <c r="BT254" s="7">
        <f t="shared" si="19"/>
        <v>0</v>
      </c>
      <c r="BU254" s="6">
        <f t="shared" si="20"/>
        <v>0</v>
      </c>
      <c r="BV254" s="6">
        <f t="shared" si="21"/>
        <v>0</v>
      </c>
      <c r="BW254" s="6">
        <f t="shared" si="22"/>
        <v>0</v>
      </c>
      <c r="BX254" s="6">
        <f t="shared" si="23"/>
        <v>0</v>
      </c>
    </row>
    <row r="255" spans="1:76" x14ac:dyDescent="0.35">
      <c r="A255" t="s">
        <v>2639</v>
      </c>
      <c r="B255" t="s">
        <v>107</v>
      </c>
      <c r="C255" t="s">
        <v>107</v>
      </c>
      <c r="E255" t="s">
        <v>108</v>
      </c>
      <c r="F255" t="s">
        <v>268</v>
      </c>
      <c r="G255" t="s">
        <v>269</v>
      </c>
      <c r="H255" t="s">
        <v>2268</v>
      </c>
      <c r="I255" t="s">
        <v>271</v>
      </c>
      <c r="J255" t="s">
        <v>113</v>
      </c>
      <c r="K255" s="8" t="s">
        <v>114</v>
      </c>
      <c r="L255" t="s">
        <v>114</v>
      </c>
      <c r="M255" s="6">
        <v>0</v>
      </c>
      <c r="N255" t="s">
        <v>114</v>
      </c>
      <c r="O255" s="6">
        <v>0</v>
      </c>
      <c r="P255" t="s">
        <v>114</v>
      </c>
      <c r="Q255" s="6">
        <v>0</v>
      </c>
      <c r="R255" s="7">
        <f t="shared" si="18"/>
        <v>0</v>
      </c>
      <c r="S255" t="s">
        <v>180</v>
      </c>
      <c r="T255" t="s">
        <v>114</v>
      </c>
      <c r="U255" t="s">
        <v>180</v>
      </c>
      <c r="W255" t="s">
        <v>114</v>
      </c>
      <c r="X255" t="s">
        <v>1111</v>
      </c>
      <c r="Z255" t="s">
        <v>2640</v>
      </c>
      <c r="AA255" t="s">
        <v>2641</v>
      </c>
      <c r="AB255" s="1" t="s">
        <v>2642</v>
      </c>
      <c r="AC255" t="s">
        <v>2643</v>
      </c>
      <c r="AD255" t="s">
        <v>2641</v>
      </c>
      <c r="AH255" t="s">
        <v>123</v>
      </c>
      <c r="AI255" t="s">
        <v>124</v>
      </c>
      <c r="AJ255" t="s">
        <v>2644</v>
      </c>
      <c r="AK255" t="s">
        <v>126</v>
      </c>
      <c r="AL255" t="s">
        <v>127</v>
      </c>
      <c r="AN255" t="s">
        <v>2645</v>
      </c>
      <c r="AO255" t="s">
        <v>2646</v>
      </c>
      <c r="AP255" t="s">
        <v>2647</v>
      </c>
      <c r="AQ255" t="s">
        <v>131</v>
      </c>
      <c r="AR255" t="s">
        <v>132</v>
      </c>
      <c r="AS255" t="s">
        <v>217</v>
      </c>
      <c r="AT255" t="s">
        <v>2648</v>
      </c>
      <c r="AV255" t="s">
        <v>495</v>
      </c>
      <c r="AX255" t="s">
        <v>136</v>
      </c>
      <c r="AY255" t="s">
        <v>272</v>
      </c>
      <c r="AZ255" t="s">
        <v>273</v>
      </c>
      <c r="BA255" t="s">
        <v>2649</v>
      </c>
      <c r="BC255" t="s">
        <v>140</v>
      </c>
      <c r="BT255" s="7">
        <f t="shared" si="19"/>
        <v>0</v>
      </c>
      <c r="BU255" s="6">
        <f t="shared" si="20"/>
        <v>0</v>
      </c>
      <c r="BV255" s="6">
        <f t="shared" si="21"/>
        <v>0</v>
      </c>
      <c r="BW255" s="6">
        <f t="shared" si="22"/>
        <v>0</v>
      </c>
      <c r="BX255" s="6">
        <f t="shared" si="23"/>
        <v>0</v>
      </c>
    </row>
    <row r="256" spans="1:76" x14ac:dyDescent="0.35">
      <c r="A256" t="s">
        <v>2639</v>
      </c>
      <c r="B256" t="s">
        <v>107</v>
      </c>
      <c r="C256" t="s">
        <v>107</v>
      </c>
      <c r="E256" t="s">
        <v>108</v>
      </c>
      <c r="F256" t="s">
        <v>158</v>
      </c>
      <c r="G256" t="s">
        <v>159</v>
      </c>
      <c r="H256" t="s">
        <v>111</v>
      </c>
      <c r="I256" t="s">
        <v>341</v>
      </c>
      <c r="J256" t="s">
        <v>113</v>
      </c>
      <c r="K256" s="8" t="s">
        <v>114</v>
      </c>
      <c r="L256" t="s">
        <v>161</v>
      </c>
      <c r="M256" s="6">
        <v>459</v>
      </c>
      <c r="N256" t="s">
        <v>114</v>
      </c>
      <c r="O256" s="6">
        <v>220</v>
      </c>
      <c r="P256" t="s">
        <v>1111</v>
      </c>
      <c r="Q256" s="6">
        <v>0</v>
      </c>
      <c r="R256" s="7">
        <f t="shared" si="18"/>
        <v>239</v>
      </c>
      <c r="S256" t="s">
        <v>180</v>
      </c>
      <c r="T256" t="s">
        <v>114</v>
      </c>
      <c r="U256" t="s">
        <v>180</v>
      </c>
      <c r="W256" t="s">
        <v>114</v>
      </c>
      <c r="X256" t="s">
        <v>1111</v>
      </c>
      <c r="Z256" t="s">
        <v>2640</v>
      </c>
      <c r="AA256" t="s">
        <v>2641</v>
      </c>
      <c r="AB256" s="1" t="s">
        <v>2642</v>
      </c>
      <c r="AC256" t="s">
        <v>2643</v>
      </c>
      <c r="AD256" t="s">
        <v>2641</v>
      </c>
      <c r="AH256" t="s">
        <v>123</v>
      </c>
      <c r="AI256" t="s">
        <v>124</v>
      </c>
      <c r="AJ256" t="s">
        <v>2644</v>
      </c>
      <c r="AK256" t="s">
        <v>126</v>
      </c>
      <c r="AL256" t="s">
        <v>127</v>
      </c>
      <c r="AN256" t="s">
        <v>2645</v>
      </c>
      <c r="AO256" t="s">
        <v>2646</v>
      </c>
      <c r="AP256" t="s">
        <v>2647</v>
      </c>
      <c r="AQ256" t="s">
        <v>131</v>
      </c>
      <c r="AR256" t="s">
        <v>132</v>
      </c>
      <c r="AS256" t="s">
        <v>217</v>
      </c>
      <c r="AT256" t="s">
        <v>2648</v>
      </c>
      <c r="AV256" t="s">
        <v>495</v>
      </c>
      <c r="AX256" t="s">
        <v>136</v>
      </c>
      <c r="AY256" t="s">
        <v>177</v>
      </c>
      <c r="AZ256" t="s">
        <v>138</v>
      </c>
      <c r="BA256" t="s">
        <v>2649</v>
      </c>
      <c r="BC256" t="s">
        <v>140</v>
      </c>
      <c r="BT256" s="7">
        <f t="shared" si="19"/>
        <v>239</v>
      </c>
      <c r="BU256" s="6">
        <f t="shared" si="20"/>
        <v>223.36448598130841</v>
      </c>
      <c r="BV256" s="6">
        <f t="shared" si="21"/>
        <v>15.635514018691588</v>
      </c>
      <c r="BW256" s="6">
        <f t="shared" si="22"/>
        <v>239</v>
      </c>
      <c r="BX256" s="6">
        <f t="shared" si="23"/>
        <v>0</v>
      </c>
    </row>
    <row r="257" spans="1:76" x14ac:dyDescent="0.35">
      <c r="A257" t="s">
        <v>2650</v>
      </c>
      <c r="B257" t="s">
        <v>107</v>
      </c>
      <c r="C257" t="s">
        <v>107</v>
      </c>
      <c r="E257" t="s">
        <v>108</v>
      </c>
      <c r="F257" t="s">
        <v>158</v>
      </c>
      <c r="G257" t="s">
        <v>159</v>
      </c>
      <c r="H257" t="s">
        <v>111</v>
      </c>
      <c r="I257" t="s">
        <v>341</v>
      </c>
      <c r="J257" t="s">
        <v>113</v>
      </c>
      <c r="K257" s="8" t="s">
        <v>114</v>
      </c>
      <c r="L257" t="s">
        <v>161</v>
      </c>
      <c r="M257" s="6">
        <v>459</v>
      </c>
      <c r="N257" t="s">
        <v>436</v>
      </c>
      <c r="O257" s="6">
        <v>220</v>
      </c>
      <c r="P257" t="s">
        <v>1876</v>
      </c>
      <c r="Q257" s="6">
        <v>0</v>
      </c>
      <c r="R257" s="7">
        <f t="shared" si="18"/>
        <v>239</v>
      </c>
      <c r="S257" t="s">
        <v>180</v>
      </c>
      <c r="T257" t="s">
        <v>114</v>
      </c>
      <c r="U257" t="s">
        <v>180</v>
      </c>
      <c r="W257" t="s">
        <v>114</v>
      </c>
      <c r="X257" t="s">
        <v>1876</v>
      </c>
      <c r="Z257" t="s">
        <v>2651</v>
      </c>
      <c r="AA257" t="s">
        <v>2652</v>
      </c>
      <c r="AB257" s="1" t="s">
        <v>2653</v>
      </c>
      <c r="AC257" t="s">
        <v>2654</v>
      </c>
      <c r="AD257" t="s">
        <v>2652</v>
      </c>
      <c r="AH257" t="s">
        <v>123</v>
      </c>
      <c r="AI257" t="s">
        <v>124</v>
      </c>
      <c r="AJ257" t="s">
        <v>2655</v>
      </c>
      <c r="AK257" t="s">
        <v>126</v>
      </c>
      <c r="AL257" t="s">
        <v>127</v>
      </c>
      <c r="AN257" t="s">
        <v>2656</v>
      </c>
      <c r="AO257" t="s">
        <v>2657</v>
      </c>
      <c r="AP257" t="s">
        <v>2658</v>
      </c>
      <c r="AQ257" t="s">
        <v>131</v>
      </c>
      <c r="AR257" t="s">
        <v>132</v>
      </c>
      <c r="AS257" t="s">
        <v>352</v>
      </c>
      <c r="AT257" t="s">
        <v>374</v>
      </c>
      <c r="AV257" t="s">
        <v>236</v>
      </c>
      <c r="AX257" t="s">
        <v>136</v>
      </c>
      <c r="AY257" t="s">
        <v>177</v>
      </c>
      <c r="AZ257" t="s">
        <v>138</v>
      </c>
      <c r="BA257" t="s">
        <v>2659</v>
      </c>
      <c r="BC257" t="s">
        <v>140</v>
      </c>
      <c r="BT257" s="7">
        <f t="shared" si="19"/>
        <v>239</v>
      </c>
      <c r="BU257" s="6">
        <f t="shared" si="20"/>
        <v>223.36448598130841</v>
      </c>
      <c r="BV257" s="6">
        <f t="shared" si="21"/>
        <v>15.635514018691588</v>
      </c>
      <c r="BW257" s="6">
        <f t="shared" si="22"/>
        <v>239</v>
      </c>
      <c r="BX257" s="6">
        <f t="shared" si="23"/>
        <v>0</v>
      </c>
    </row>
    <row r="258" spans="1:76" x14ac:dyDescent="0.35">
      <c r="A258" t="s">
        <v>2650</v>
      </c>
      <c r="B258" t="s">
        <v>107</v>
      </c>
      <c r="C258" t="s">
        <v>107</v>
      </c>
      <c r="E258" t="s">
        <v>108</v>
      </c>
      <c r="F258" t="s">
        <v>268</v>
      </c>
      <c r="G258" t="s">
        <v>269</v>
      </c>
      <c r="H258" t="s">
        <v>2268</v>
      </c>
      <c r="I258" t="s">
        <v>271</v>
      </c>
      <c r="J258" t="s">
        <v>113</v>
      </c>
      <c r="K258" s="8" t="s">
        <v>114</v>
      </c>
      <c r="L258" t="s">
        <v>114</v>
      </c>
      <c r="M258" s="6">
        <v>0</v>
      </c>
      <c r="N258" t="s">
        <v>114</v>
      </c>
      <c r="O258" s="6">
        <v>0</v>
      </c>
      <c r="P258" t="s">
        <v>114</v>
      </c>
      <c r="Q258" s="6">
        <v>0</v>
      </c>
      <c r="R258" s="7">
        <f t="shared" si="18"/>
        <v>0</v>
      </c>
      <c r="S258" t="s">
        <v>180</v>
      </c>
      <c r="T258" t="s">
        <v>114</v>
      </c>
      <c r="U258" t="s">
        <v>180</v>
      </c>
      <c r="W258" t="s">
        <v>114</v>
      </c>
      <c r="X258" t="s">
        <v>1876</v>
      </c>
      <c r="Z258" t="s">
        <v>2651</v>
      </c>
      <c r="AA258" t="s">
        <v>2652</v>
      </c>
      <c r="AB258" s="1" t="s">
        <v>2653</v>
      </c>
      <c r="AC258" t="s">
        <v>2654</v>
      </c>
      <c r="AD258" t="s">
        <v>2652</v>
      </c>
      <c r="AH258" t="s">
        <v>123</v>
      </c>
      <c r="AI258" t="s">
        <v>124</v>
      </c>
      <c r="AJ258" t="s">
        <v>2655</v>
      </c>
      <c r="AK258" t="s">
        <v>126</v>
      </c>
      <c r="AL258" t="s">
        <v>127</v>
      </c>
      <c r="AN258" t="s">
        <v>2656</v>
      </c>
      <c r="AO258" t="s">
        <v>2657</v>
      </c>
      <c r="AP258" t="s">
        <v>2658</v>
      </c>
      <c r="AQ258" t="s">
        <v>131</v>
      </c>
      <c r="AR258" t="s">
        <v>132</v>
      </c>
      <c r="AS258" t="s">
        <v>352</v>
      </c>
      <c r="AT258" t="s">
        <v>374</v>
      </c>
      <c r="AV258" t="s">
        <v>236</v>
      </c>
      <c r="AX258" t="s">
        <v>136</v>
      </c>
      <c r="AY258" t="s">
        <v>272</v>
      </c>
      <c r="AZ258" t="s">
        <v>273</v>
      </c>
      <c r="BA258" t="s">
        <v>2659</v>
      </c>
      <c r="BC258" t="s">
        <v>140</v>
      </c>
      <c r="BT258" s="7">
        <f t="shared" si="19"/>
        <v>0</v>
      </c>
      <c r="BU258" s="6">
        <f t="shared" si="20"/>
        <v>0</v>
      </c>
      <c r="BV258" s="6">
        <f t="shared" si="21"/>
        <v>0</v>
      </c>
      <c r="BW258" s="6">
        <f t="shared" si="22"/>
        <v>0</v>
      </c>
      <c r="BX258" s="6">
        <f t="shared" si="23"/>
        <v>0</v>
      </c>
    </row>
    <row r="259" spans="1:76" x14ac:dyDescent="0.35">
      <c r="A259" t="s">
        <v>2660</v>
      </c>
      <c r="B259" t="s">
        <v>107</v>
      </c>
      <c r="C259" t="s">
        <v>107</v>
      </c>
      <c r="E259" t="s">
        <v>108</v>
      </c>
      <c r="F259" t="s">
        <v>158</v>
      </c>
      <c r="G259" t="s">
        <v>159</v>
      </c>
      <c r="H259" t="s">
        <v>111</v>
      </c>
      <c r="I259" t="s">
        <v>341</v>
      </c>
      <c r="J259" t="s">
        <v>113</v>
      </c>
      <c r="K259" s="8" t="s">
        <v>114</v>
      </c>
      <c r="L259" t="s">
        <v>161</v>
      </c>
      <c r="M259" s="6">
        <v>459</v>
      </c>
      <c r="N259" t="s">
        <v>114</v>
      </c>
      <c r="O259" s="6">
        <v>220</v>
      </c>
      <c r="P259" t="s">
        <v>1111</v>
      </c>
      <c r="Q259" s="6">
        <v>8</v>
      </c>
      <c r="R259" s="7">
        <f t="shared" si="18"/>
        <v>247</v>
      </c>
      <c r="S259" t="s">
        <v>118</v>
      </c>
      <c r="T259" t="s">
        <v>114</v>
      </c>
      <c r="U259" t="s">
        <v>997</v>
      </c>
      <c r="W259" t="s">
        <v>114</v>
      </c>
      <c r="X259" t="s">
        <v>2661</v>
      </c>
      <c r="Z259" t="s">
        <v>2662</v>
      </c>
      <c r="AA259" t="s">
        <v>2663</v>
      </c>
      <c r="AB259" s="1" t="s">
        <v>2664</v>
      </c>
      <c r="AC259" t="s">
        <v>2665</v>
      </c>
      <c r="AD259" t="s">
        <v>2663</v>
      </c>
      <c r="AH259" t="s">
        <v>123</v>
      </c>
      <c r="AI259" t="s">
        <v>124</v>
      </c>
      <c r="AJ259" t="s">
        <v>2666</v>
      </c>
      <c r="AK259" t="s">
        <v>126</v>
      </c>
      <c r="AL259" t="s">
        <v>127</v>
      </c>
      <c r="AN259" t="s">
        <v>2667</v>
      </c>
      <c r="AO259" t="s">
        <v>2668</v>
      </c>
      <c r="AP259" t="s">
        <v>2669</v>
      </c>
      <c r="AQ259" t="s">
        <v>131</v>
      </c>
      <c r="AR259" t="s">
        <v>132</v>
      </c>
      <c r="AS259" t="s">
        <v>989</v>
      </c>
      <c r="AT259" t="s">
        <v>2670</v>
      </c>
      <c r="AV259" t="s">
        <v>354</v>
      </c>
      <c r="AX259" t="s">
        <v>136</v>
      </c>
      <c r="AY259" t="s">
        <v>177</v>
      </c>
      <c r="AZ259" t="s">
        <v>138</v>
      </c>
      <c r="BA259" t="s">
        <v>2671</v>
      </c>
      <c r="BC259" t="s">
        <v>140</v>
      </c>
      <c r="BT259" s="7">
        <f t="shared" si="19"/>
        <v>247</v>
      </c>
      <c r="BU259" s="6">
        <f t="shared" si="20"/>
        <v>230.84112149532709</v>
      </c>
      <c r="BV259" s="6">
        <f t="shared" si="21"/>
        <v>16.158878504672895</v>
      </c>
      <c r="BW259" s="6">
        <f t="shared" si="22"/>
        <v>246.99999999999997</v>
      </c>
      <c r="BX259" s="6">
        <f t="shared" si="23"/>
        <v>0</v>
      </c>
    </row>
    <row r="260" spans="1:76" x14ac:dyDescent="0.35">
      <c r="A260" t="s">
        <v>2660</v>
      </c>
      <c r="B260" t="s">
        <v>107</v>
      </c>
      <c r="C260" t="s">
        <v>107</v>
      </c>
      <c r="E260" t="s">
        <v>108</v>
      </c>
      <c r="F260" t="s">
        <v>268</v>
      </c>
      <c r="G260" t="s">
        <v>269</v>
      </c>
      <c r="H260" t="s">
        <v>2268</v>
      </c>
      <c r="I260" t="s">
        <v>271</v>
      </c>
      <c r="J260" t="s">
        <v>113</v>
      </c>
      <c r="K260" s="8" t="s">
        <v>114</v>
      </c>
      <c r="L260" t="s">
        <v>114</v>
      </c>
      <c r="M260" s="6">
        <v>0</v>
      </c>
      <c r="N260" t="s">
        <v>114</v>
      </c>
      <c r="O260" s="6">
        <v>0</v>
      </c>
      <c r="P260" t="s">
        <v>114</v>
      </c>
      <c r="Q260" s="6">
        <v>8</v>
      </c>
      <c r="R260" s="7">
        <f t="shared" si="18"/>
        <v>8</v>
      </c>
      <c r="S260" t="s">
        <v>118</v>
      </c>
      <c r="T260" t="s">
        <v>114</v>
      </c>
      <c r="U260" t="s">
        <v>997</v>
      </c>
      <c r="W260" t="s">
        <v>114</v>
      </c>
      <c r="X260" t="s">
        <v>2661</v>
      </c>
      <c r="Z260" t="s">
        <v>2662</v>
      </c>
      <c r="AA260" t="s">
        <v>2663</v>
      </c>
      <c r="AB260" s="1" t="s">
        <v>2664</v>
      </c>
      <c r="AC260" t="s">
        <v>2665</v>
      </c>
      <c r="AD260" t="s">
        <v>2663</v>
      </c>
      <c r="AH260" t="s">
        <v>123</v>
      </c>
      <c r="AI260" t="s">
        <v>124</v>
      </c>
      <c r="AJ260" t="s">
        <v>2666</v>
      </c>
      <c r="AK260" t="s">
        <v>126</v>
      </c>
      <c r="AL260" t="s">
        <v>127</v>
      </c>
      <c r="AN260" t="s">
        <v>2667</v>
      </c>
      <c r="AO260" t="s">
        <v>2668</v>
      </c>
      <c r="AP260" t="s">
        <v>2669</v>
      </c>
      <c r="AQ260" t="s">
        <v>131</v>
      </c>
      <c r="AR260" t="s">
        <v>132</v>
      </c>
      <c r="AS260" t="s">
        <v>989</v>
      </c>
      <c r="AT260" t="s">
        <v>2670</v>
      </c>
      <c r="AV260" t="s">
        <v>354</v>
      </c>
      <c r="AX260" t="s">
        <v>136</v>
      </c>
      <c r="AY260" t="s">
        <v>272</v>
      </c>
      <c r="AZ260" t="s">
        <v>273</v>
      </c>
      <c r="BA260" t="s">
        <v>2671</v>
      </c>
      <c r="BC260" t="s">
        <v>140</v>
      </c>
      <c r="BT260" s="7">
        <f t="shared" si="19"/>
        <v>8</v>
      </c>
      <c r="BU260" s="6">
        <f t="shared" si="20"/>
        <v>7.4766355140186915</v>
      </c>
      <c r="BV260" s="6">
        <f t="shared" si="21"/>
        <v>0.52336448598130847</v>
      </c>
      <c r="BW260" s="6">
        <f t="shared" si="22"/>
        <v>8</v>
      </c>
      <c r="BX260" s="6">
        <f t="shared" si="23"/>
        <v>0</v>
      </c>
    </row>
    <row r="261" spans="1:76" x14ac:dyDescent="0.35">
      <c r="A261" t="s">
        <v>2672</v>
      </c>
      <c r="B261" t="s">
        <v>107</v>
      </c>
      <c r="C261" t="s">
        <v>107</v>
      </c>
      <c r="E261" t="s">
        <v>108</v>
      </c>
      <c r="F261" t="s">
        <v>158</v>
      </c>
      <c r="G261" t="s">
        <v>159</v>
      </c>
      <c r="H261" t="s">
        <v>111</v>
      </c>
      <c r="I261" t="s">
        <v>341</v>
      </c>
      <c r="J261" t="s">
        <v>113</v>
      </c>
      <c r="K261" s="8" t="s">
        <v>114</v>
      </c>
      <c r="L261" t="s">
        <v>161</v>
      </c>
      <c r="M261" s="6">
        <v>459</v>
      </c>
      <c r="N261" t="s">
        <v>114</v>
      </c>
      <c r="O261" s="6">
        <v>220</v>
      </c>
      <c r="P261" t="s">
        <v>1111</v>
      </c>
      <c r="Q261" s="6">
        <v>0</v>
      </c>
      <c r="R261" s="7">
        <f t="shared" ref="R261:R324" si="24">M261-O261+Q261</f>
        <v>239</v>
      </c>
      <c r="S261" t="s">
        <v>180</v>
      </c>
      <c r="T261" t="s">
        <v>114</v>
      </c>
      <c r="U261" t="s">
        <v>180</v>
      </c>
      <c r="W261" t="s">
        <v>114</v>
      </c>
      <c r="X261" t="s">
        <v>1111</v>
      </c>
      <c r="Z261" t="s">
        <v>2673</v>
      </c>
      <c r="AA261" t="s">
        <v>2674</v>
      </c>
      <c r="AB261" s="1" t="s">
        <v>2675</v>
      </c>
      <c r="AC261" t="s">
        <v>2676</v>
      </c>
      <c r="AD261" t="s">
        <v>2674</v>
      </c>
      <c r="AH261" t="s">
        <v>123</v>
      </c>
      <c r="AI261" t="s">
        <v>124</v>
      </c>
      <c r="AJ261" t="s">
        <v>2677</v>
      </c>
      <c r="AK261" t="s">
        <v>126</v>
      </c>
      <c r="AL261" t="s">
        <v>127</v>
      </c>
      <c r="AN261" t="s">
        <v>2678</v>
      </c>
      <c r="AO261" t="s">
        <v>2679</v>
      </c>
      <c r="AP261" t="s">
        <v>2680</v>
      </c>
      <c r="AQ261" t="s">
        <v>131</v>
      </c>
      <c r="AR261" t="s">
        <v>403</v>
      </c>
      <c r="AS261" t="s">
        <v>796</v>
      </c>
      <c r="AT261" t="s">
        <v>2681</v>
      </c>
      <c r="AV261" t="s">
        <v>1072</v>
      </c>
      <c r="AX261" t="s">
        <v>136</v>
      </c>
      <c r="AY261" t="s">
        <v>177</v>
      </c>
      <c r="AZ261" t="s">
        <v>138</v>
      </c>
      <c r="BA261" t="s">
        <v>2682</v>
      </c>
      <c r="BC261" t="s">
        <v>140</v>
      </c>
      <c r="BT261" s="7">
        <f t="shared" ref="BT261:BT324" si="25">+R261</f>
        <v>239</v>
      </c>
      <c r="BU261" s="6">
        <f t="shared" ref="BU261:BU324" si="26">+BT261/1.07</f>
        <v>223.36448598130841</v>
      </c>
      <c r="BV261" s="6">
        <f t="shared" ref="BV261:BV324" si="27">+BU261*7/100</f>
        <v>15.635514018691588</v>
      </c>
      <c r="BW261" s="6">
        <f t="shared" ref="BW261:BW324" si="28">+BU261+BV261</f>
        <v>239</v>
      </c>
      <c r="BX261" s="6">
        <f t="shared" ref="BX261:BX324" si="29">+BW261-BT261</f>
        <v>0</v>
      </c>
    </row>
    <row r="262" spans="1:76" x14ac:dyDescent="0.35">
      <c r="A262" t="s">
        <v>2672</v>
      </c>
      <c r="B262" t="s">
        <v>107</v>
      </c>
      <c r="C262" t="s">
        <v>107</v>
      </c>
      <c r="E262" t="s">
        <v>108</v>
      </c>
      <c r="F262" t="s">
        <v>268</v>
      </c>
      <c r="G262" t="s">
        <v>269</v>
      </c>
      <c r="H262" t="s">
        <v>2268</v>
      </c>
      <c r="I262" t="s">
        <v>271</v>
      </c>
      <c r="J262" t="s">
        <v>113</v>
      </c>
      <c r="K262" s="8" t="s">
        <v>114</v>
      </c>
      <c r="L262" t="s">
        <v>114</v>
      </c>
      <c r="M262" s="6">
        <v>0</v>
      </c>
      <c r="N262" t="s">
        <v>114</v>
      </c>
      <c r="O262" s="6">
        <v>0</v>
      </c>
      <c r="P262" t="s">
        <v>114</v>
      </c>
      <c r="Q262" s="6">
        <v>0</v>
      </c>
      <c r="R262" s="7">
        <f t="shared" si="24"/>
        <v>0</v>
      </c>
      <c r="S262" t="s">
        <v>180</v>
      </c>
      <c r="T262" t="s">
        <v>114</v>
      </c>
      <c r="U262" t="s">
        <v>180</v>
      </c>
      <c r="W262" t="s">
        <v>114</v>
      </c>
      <c r="X262" t="s">
        <v>1111</v>
      </c>
      <c r="Z262" t="s">
        <v>2673</v>
      </c>
      <c r="AA262" t="s">
        <v>2674</v>
      </c>
      <c r="AB262" s="1" t="s">
        <v>2675</v>
      </c>
      <c r="AC262" t="s">
        <v>2676</v>
      </c>
      <c r="AD262" t="s">
        <v>2674</v>
      </c>
      <c r="AH262" t="s">
        <v>123</v>
      </c>
      <c r="AI262" t="s">
        <v>124</v>
      </c>
      <c r="AJ262" t="s">
        <v>2677</v>
      </c>
      <c r="AK262" t="s">
        <v>126</v>
      </c>
      <c r="AL262" t="s">
        <v>127</v>
      </c>
      <c r="AN262" t="s">
        <v>2678</v>
      </c>
      <c r="AO262" t="s">
        <v>2679</v>
      </c>
      <c r="AP262" t="s">
        <v>2680</v>
      </c>
      <c r="AQ262" t="s">
        <v>131</v>
      </c>
      <c r="AR262" t="s">
        <v>403</v>
      </c>
      <c r="AS262" t="s">
        <v>796</v>
      </c>
      <c r="AT262" t="s">
        <v>2681</v>
      </c>
      <c r="AV262" t="s">
        <v>1072</v>
      </c>
      <c r="AX262" t="s">
        <v>136</v>
      </c>
      <c r="AY262" t="s">
        <v>272</v>
      </c>
      <c r="AZ262" t="s">
        <v>273</v>
      </c>
      <c r="BA262" t="s">
        <v>2682</v>
      </c>
      <c r="BC262" t="s">
        <v>140</v>
      </c>
      <c r="BT262" s="7">
        <f t="shared" si="25"/>
        <v>0</v>
      </c>
      <c r="BU262" s="6">
        <f t="shared" si="26"/>
        <v>0</v>
      </c>
      <c r="BV262" s="6">
        <f t="shared" si="27"/>
        <v>0</v>
      </c>
      <c r="BW262" s="6">
        <f t="shared" si="28"/>
        <v>0</v>
      </c>
      <c r="BX262" s="6">
        <f t="shared" si="29"/>
        <v>0</v>
      </c>
    </row>
    <row r="263" spans="1:76" x14ac:dyDescent="0.35">
      <c r="A263" t="s">
        <v>2683</v>
      </c>
      <c r="B263" t="s">
        <v>107</v>
      </c>
      <c r="C263" t="s">
        <v>107</v>
      </c>
      <c r="F263" t="s">
        <v>533</v>
      </c>
      <c r="G263" t="s">
        <v>534</v>
      </c>
      <c r="H263" t="s">
        <v>2360</v>
      </c>
      <c r="I263" t="s">
        <v>536</v>
      </c>
      <c r="J263" t="s">
        <v>113</v>
      </c>
      <c r="K263" s="8" t="s">
        <v>114</v>
      </c>
      <c r="L263" t="s">
        <v>114</v>
      </c>
      <c r="M263" s="6">
        <v>0</v>
      </c>
      <c r="N263" t="s">
        <v>114</v>
      </c>
      <c r="O263" s="6">
        <v>0</v>
      </c>
      <c r="P263" t="s">
        <v>114</v>
      </c>
      <c r="Q263" s="6">
        <v>0</v>
      </c>
      <c r="R263" s="7">
        <f t="shared" si="24"/>
        <v>0</v>
      </c>
      <c r="S263" t="s">
        <v>114</v>
      </c>
      <c r="T263" t="s">
        <v>114</v>
      </c>
      <c r="U263" t="s">
        <v>114</v>
      </c>
      <c r="W263" t="s">
        <v>114</v>
      </c>
      <c r="X263" t="s">
        <v>114</v>
      </c>
      <c r="Z263" t="s">
        <v>2684</v>
      </c>
      <c r="AA263" t="s">
        <v>2684</v>
      </c>
      <c r="AB263" s="1" t="s">
        <v>2685</v>
      </c>
      <c r="AC263" t="s">
        <v>2686</v>
      </c>
      <c r="AD263" t="s">
        <v>2687</v>
      </c>
      <c r="AH263" t="s">
        <v>123</v>
      </c>
      <c r="AI263" t="s">
        <v>124</v>
      </c>
      <c r="AJ263" t="s">
        <v>2688</v>
      </c>
      <c r="AK263" t="s">
        <v>126</v>
      </c>
      <c r="AL263" t="s">
        <v>127</v>
      </c>
      <c r="AN263" t="s">
        <v>2689</v>
      </c>
      <c r="AO263" t="s">
        <v>2690</v>
      </c>
      <c r="AP263" t="s">
        <v>2691</v>
      </c>
      <c r="AQ263" t="s">
        <v>131</v>
      </c>
      <c r="AR263" t="s">
        <v>132</v>
      </c>
      <c r="AS263" t="s">
        <v>2402</v>
      </c>
      <c r="AT263" t="s">
        <v>2692</v>
      </c>
      <c r="AV263" t="s">
        <v>940</v>
      </c>
      <c r="AY263" t="s">
        <v>547</v>
      </c>
      <c r="AZ263" t="s">
        <v>364</v>
      </c>
      <c r="BA263" t="s">
        <v>2693</v>
      </c>
      <c r="BC263" t="s">
        <v>140</v>
      </c>
      <c r="BT263" s="7">
        <f t="shared" si="25"/>
        <v>0</v>
      </c>
      <c r="BU263" s="6">
        <f t="shared" si="26"/>
        <v>0</v>
      </c>
      <c r="BV263" s="6">
        <f t="shared" si="27"/>
        <v>0</v>
      </c>
      <c r="BW263" s="6">
        <f t="shared" si="28"/>
        <v>0</v>
      </c>
      <c r="BX263" s="6">
        <f t="shared" si="29"/>
        <v>0</v>
      </c>
    </row>
    <row r="264" spans="1:76" x14ac:dyDescent="0.35">
      <c r="A264" t="s">
        <v>2694</v>
      </c>
      <c r="B264" t="s">
        <v>107</v>
      </c>
      <c r="C264" t="s">
        <v>107</v>
      </c>
      <c r="F264" t="s">
        <v>158</v>
      </c>
      <c r="G264" t="s">
        <v>159</v>
      </c>
      <c r="H264" t="s">
        <v>111</v>
      </c>
      <c r="I264" t="s">
        <v>341</v>
      </c>
      <c r="J264" t="s">
        <v>113</v>
      </c>
      <c r="K264" s="8" t="s">
        <v>114</v>
      </c>
      <c r="L264" t="s">
        <v>114</v>
      </c>
      <c r="M264" s="6">
        <v>0</v>
      </c>
      <c r="N264" t="s">
        <v>114</v>
      </c>
      <c r="O264" s="6">
        <v>0</v>
      </c>
      <c r="P264" t="s">
        <v>114</v>
      </c>
      <c r="Q264" s="6">
        <v>0</v>
      </c>
      <c r="R264" s="7">
        <f t="shared" si="24"/>
        <v>0</v>
      </c>
      <c r="S264" t="s">
        <v>114</v>
      </c>
      <c r="T264" t="s">
        <v>114</v>
      </c>
      <c r="U264" t="s">
        <v>114</v>
      </c>
      <c r="W264" t="s">
        <v>114</v>
      </c>
      <c r="X264" t="s">
        <v>114</v>
      </c>
      <c r="Z264" t="s">
        <v>2695</v>
      </c>
      <c r="AA264" t="s">
        <v>2695</v>
      </c>
      <c r="AB264" s="1" t="s">
        <v>2696</v>
      </c>
      <c r="AC264" t="s">
        <v>2697</v>
      </c>
      <c r="AD264" t="s">
        <v>2698</v>
      </c>
      <c r="AH264" t="s">
        <v>123</v>
      </c>
      <c r="AI264" t="s">
        <v>124</v>
      </c>
      <c r="AJ264" t="s">
        <v>2699</v>
      </c>
      <c r="AK264" t="s">
        <v>126</v>
      </c>
      <c r="AL264" t="s">
        <v>127</v>
      </c>
      <c r="AN264" t="s">
        <v>2700</v>
      </c>
      <c r="AO264" t="s">
        <v>2701</v>
      </c>
      <c r="AP264" t="s">
        <v>2702</v>
      </c>
      <c r="AQ264" t="s">
        <v>131</v>
      </c>
      <c r="AR264" t="s">
        <v>132</v>
      </c>
      <c r="AS264" t="s">
        <v>1318</v>
      </c>
      <c r="AT264" t="s">
        <v>1319</v>
      </c>
      <c r="AV264" t="s">
        <v>236</v>
      </c>
      <c r="AY264" t="s">
        <v>177</v>
      </c>
      <c r="AZ264" t="s">
        <v>138</v>
      </c>
      <c r="BA264" t="s">
        <v>2703</v>
      </c>
      <c r="BC264" t="s">
        <v>140</v>
      </c>
      <c r="BT264" s="7">
        <f t="shared" si="25"/>
        <v>0</v>
      </c>
      <c r="BU264" s="6">
        <f t="shared" si="26"/>
        <v>0</v>
      </c>
      <c r="BV264" s="6">
        <f t="shared" si="27"/>
        <v>0</v>
      </c>
      <c r="BW264" s="6">
        <f t="shared" si="28"/>
        <v>0</v>
      </c>
      <c r="BX264" s="6">
        <f t="shared" si="29"/>
        <v>0</v>
      </c>
    </row>
    <row r="265" spans="1:76" x14ac:dyDescent="0.35">
      <c r="A265" t="s">
        <v>2704</v>
      </c>
      <c r="B265" t="s">
        <v>107</v>
      </c>
      <c r="C265" t="s">
        <v>107</v>
      </c>
      <c r="F265" t="s">
        <v>158</v>
      </c>
      <c r="G265" t="s">
        <v>159</v>
      </c>
      <c r="H265" t="s">
        <v>111</v>
      </c>
      <c r="I265" t="s">
        <v>341</v>
      </c>
      <c r="J265" t="s">
        <v>113</v>
      </c>
      <c r="K265" s="8" t="s">
        <v>114</v>
      </c>
      <c r="L265" t="s">
        <v>114</v>
      </c>
      <c r="M265" s="6">
        <v>0</v>
      </c>
      <c r="N265" t="s">
        <v>114</v>
      </c>
      <c r="O265" s="6">
        <v>0</v>
      </c>
      <c r="P265" t="s">
        <v>114</v>
      </c>
      <c r="Q265" s="6">
        <v>0</v>
      </c>
      <c r="R265" s="7">
        <f t="shared" si="24"/>
        <v>0</v>
      </c>
      <c r="S265" t="s">
        <v>114</v>
      </c>
      <c r="T265" t="s">
        <v>114</v>
      </c>
      <c r="U265" t="s">
        <v>114</v>
      </c>
      <c r="W265" t="s">
        <v>114</v>
      </c>
      <c r="X265" t="s">
        <v>114</v>
      </c>
      <c r="Z265" t="s">
        <v>2705</v>
      </c>
      <c r="AA265" t="s">
        <v>2705</v>
      </c>
      <c r="AB265" s="1" t="s">
        <v>2706</v>
      </c>
      <c r="AC265" t="s">
        <v>2707</v>
      </c>
      <c r="AD265" t="s">
        <v>2708</v>
      </c>
      <c r="AH265" t="s">
        <v>123</v>
      </c>
      <c r="AI265" t="s">
        <v>124</v>
      </c>
      <c r="AJ265" t="s">
        <v>2709</v>
      </c>
      <c r="AK265" t="s">
        <v>126</v>
      </c>
      <c r="AL265" t="s">
        <v>127</v>
      </c>
      <c r="AN265" t="s">
        <v>2710</v>
      </c>
      <c r="AO265" t="s">
        <v>2711</v>
      </c>
      <c r="AP265" t="s">
        <v>2712</v>
      </c>
      <c r="AQ265" t="s">
        <v>131</v>
      </c>
      <c r="AR265" t="s">
        <v>132</v>
      </c>
      <c r="AS265" t="s">
        <v>352</v>
      </c>
      <c r="AT265" t="s">
        <v>2713</v>
      </c>
      <c r="AV265" t="s">
        <v>434</v>
      </c>
      <c r="AW265" t="s">
        <v>191</v>
      </c>
      <c r="AY265" t="s">
        <v>177</v>
      </c>
      <c r="AZ265" t="s">
        <v>138</v>
      </c>
      <c r="BA265" t="s">
        <v>2714</v>
      </c>
      <c r="BC265" t="s">
        <v>140</v>
      </c>
      <c r="BT265" s="7">
        <f t="shared" si="25"/>
        <v>0</v>
      </c>
      <c r="BU265" s="6">
        <f t="shared" si="26"/>
        <v>0</v>
      </c>
      <c r="BV265" s="6">
        <f t="shared" si="27"/>
        <v>0</v>
      </c>
      <c r="BW265" s="6">
        <f t="shared" si="28"/>
        <v>0</v>
      </c>
      <c r="BX265" s="6">
        <f t="shared" si="29"/>
        <v>0</v>
      </c>
    </row>
    <row r="266" spans="1:76" x14ac:dyDescent="0.35">
      <c r="A266" t="s">
        <v>2715</v>
      </c>
      <c r="B266" t="s">
        <v>107</v>
      </c>
      <c r="C266" t="s">
        <v>107</v>
      </c>
      <c r="F266" t="s">
        <v>158</v>
      </c>
      <c r="G266" t="s">
        <v>159</v>
      </c>
      <c r="H266" t="s">
        <v>111</v>
      </c>
      <c r="I266" t="s">
        <v>341</v>
      </c>
      <c r="J266" t="s">
        <v>113</v>
      </c>
      <c r="K266" s="8" t="s">
        <v>114</v>
      </c>
      <c r="L266" t="s">
        <v>114</v>
      </c>
      <c r="M266" s="6">
        <v>0</v>
      </c>
      <c r="N266" t="s">
        <v>114</v>
      </c>
      <c r="O266" s="6">
        <v>0</v>
      </c>
      <c r="P266" t="s">
        <v>114</v>
      </c>
      <c r="Q266" s="6">
        <v>0</v>
      </c>
      <c r="R266" s="7">
        <f t="shared" si="24"/>
        <v>0</v>
      </c>
      <c r="S266" t="s">
        <v>114</v>
      </c>
      <c r="T266" t="s">
        <v>114</v>
      </c>
      <c r="U266" t="s">
        <v>114</v>
      </c>
      <c r="W266" t="s">
        <v>114</v>
      </c>
      <c r="X266" t="s">
        <v>114</v>
      </c>
      <c r="Z266" t="s">
        <v>2705</v>
      </c>
      <c r="AA266" t="s">
        <v>2716</v>
      </c>
      <c r="AB266" s="1" t="s">
        <v>2706</v>
      </c>
      <c r="AC266" t="s">
        <v>2717</v>
      </c>
      <c r="AD266" t="s">
        <v>2718</v>
      </c>
      <c r="AH266" t="s">
        <v>123</v>
      </c>
      <c r="AI266" t="s">
        <v>124</v>
      </c>
      <c r="AJ266" t="s">
        <v>2719</v>
      </c>
      <c r="AK266" t="s">
        <v>126</v>
      </c>
      <c r="AL266" t="s">
        <v>127</v>
      </c>
      <c r="AN266" t="s">
        <v>2720</v>
      </c>
      <c r="AO266" t="s">
        <v>2721</v>
      </c>
      <c r="AP266" t="s">
        <v>2722</v>
      </c>
      <c r="AQ266" t="s">
        <v>131</v>
      </c>
      <c r="AR266" t="s">
        <v>132</v>
      </c>
      <c r="AS266" t="s">
        <v>152</v>
      </c>
      <c r="AT266" t="s">
        <v>609</v>
      </c>
      <c r="AV266" t="s">
        <v>639</v>
      </c>
      <c r="AW266" t="s">
        <v>1072</v>
      </c>
      <c r="AY266" t="s">
        <v>177</v>
      </c>
      <c r="AZ266" t="s">
        <v>138</v>
      </c>
      <c r="BA266" t="s">
        <v>2723</v>
      </c>
      <c r="BC266" t="s">
        <v>140</v>
      </c>
      <c r="BT266" s="7">
        <f t="shared" si="25"/>
        <v>0</v>
      </c>
      <c r="BU266" s="6">
        <f t="shared" si="26"/>
        <v>0</v>
      </c>
      <c r="BV266" s="6">
        <f t="shared" si="27"/>
        <v>0</v>
      </c>
      <c r="BW266" s="6">
        <f t="shared" si="28"/>
        <v>0</v>
      </c>
      <c r="BX266" s="6">
        <f t="shared" si="29"/>
        <v>0</v>
      </c>
    </row>
    <row r="267" spans="1:76" x14ac:dyDescent="0.35">
      <c r="A267" t="s">
        <v>2724</v>
      </c>
      <c r="B267" t="s">
        <v>107</v>
      </c>
      <c r="C267" t="s">
        <v>107</v>
      </c>
      <c r="E267" t="s">
        <v>108</v>
      </c>
      <c r="F267" t="s">
        <v>158</v>
      </c>
      <c r="G267" t="s">
        <v>159</v>
      </c>
      <c r="H267" t="s">
        <v>111</v>
      </c>
      <c r="I267" t="s">
        <v>341</v>
      </c>
      <c r="J267" t="s">
        <v>113</v>
      </c>
      <c r="K267" s="8" t="s">
        <v>114</v>
      </c>
      <c r="L267" t="s">
        <v>161</v>
      </c>
      <c r="M267" s="6">
        <v>459</v>
      </c>
      <c r="N267" t="s">
        <v>114</v>
      </c>
      <c r="O267" s="6">
        <v>220</v>
      </c>
      <c r="P267" t="s">
        <v>1111</v>
      </c>
      <c r="Q267" s="6">
        <v>0</v>
      </c>
      <c r="R267" s="7">
        <f t="shared" si="24"/>
        <v>239</v>
      </c>
      <c r="S267" t="s">
        <v>2725</v>
      </c>
      <c r="T267" t="s">
        <v>114</v>
      </c>
      <c r="U267" t="s">
        <v>2725</v>
      </c>
      <c r="W267" t="s">
        <v>114</v>
      </c>
      <c r="X267" t="s">
        <v>1111</v>
      </c>
      <c r="Z267" t="s">
        <v>2726</v>
      </c>
      <c r="AA267" t="s">
        <v>2727</v>
      </c>
      <c r="AB267" s="1" t="s">
        <v>2706</v>
      </c>
      <c r="AC267" t="s">
        <v>2728</v>
      </c>
      <c r="AD267" t="s">
        <v>2727</v>
      </c>
      <c r="AH267" t="s">
        <v>123</v>
      </c>
      <c r="AI267" t="s">
        <v>124</v>
      </c>
      <c r="AJ267" t="s">
        <v>2729</v>
      </c>
      <c r="AK267" t="s">
        <v>126</v>
      </c>
      <c r="AL267" t="s">
        <v>127</v>
      </c>
      <c r="AN267" t="s">
        <v>2730</v>
      </c>
      <c r="AO267" t="s">
        <v>1530</v>
      </c>
      <c r="AP267" t="s">
        <v>2731</v>
      </c>
      <c r="AQ267" t="s">
        <v>131</v>
      </c>
      <c r="AR267" t="s">
        <v>132</v>
      </c>
      <c r="AS267" t="s">
        <v>404</v>
      </c>
      <c r="AT267" t="s">
        <v>1292</v>
      </c>
      <c r="AV267" t="s">
        <v>265</v>
      </c>
      <c r="AW267" t="s">
        <v>1107</v>
      </c>
      <c r="AX267" t="s">
        <v>136</v>
      </c>
      <c r="AY267" t="s">
        <v>177</v>
      </c>
      <c r="AZ267" t="s">
        <v>138</v>
      </c>
      <c r="BA267" t="s">
        <v>2732</v>
      </c>
      <c r="BC267" t="s">
        <v>140</v>
      </c>
      <c r="BT267" s="7">
        <f t="shared" si="25"/>
        <v>239</v>
      </c>
      <c r="BU267" s="6">
        <f t="shared" si="26"/>
        <v>223.36448598130841</v>
      </c>
      <c r="BV267" s="6">
        <f t="shared" si="27"/>
        <v>15.635514018691588</v>
      </c>
      <c r="BW267" s="6">
        <f t="shared" si="28"/>
        <v>239</v>
      </c>
      <c r="BX267" s="6">
        <f t="shared" si="29"/>
        <v>0</v>
      </c>
    </row>
    <row r="268" spans="1:76" x14ac:dyDescent="0.35">
      <c r="A268" t="s">
        <v>2724</v>
      </c>
      <c r="B268" t="s">
        <v>107</v>
      </c>
      <c r="C268" t="s">
        <v>107</v>
      </c>
      <c r="E268" t="s">
        <v>108</v>
      </c>
      <c r="F268" t="s">
        <v>268</v>
      </c>
      <c r="G268" t="s">
        <v>269</v>
      </c>
      <c r="H268" t="s">
        <v>2268</v>
      </c>
      <c r="I268" t="s">
        <v>271</v>
      </c>
      <c r="J268" t="s">
        <v>113</v>
      </c>
      <c r="K268" s="8" t="s">
        <v>114</v>
      </c>
      <c r="L268" t="s">
        <v>114</v>
      </c>
      <c r="M268" s="6">
        <v>0</v>
      </c>
      <c r="N268" t="s">
        <v>114</v>
      </c>
      <c r="O268" s="6">
        <v>0</v>
      </c>
      <c r="P268" t="s">
        <v>114</v>
      </c>
      <c r="Q268" s="6">
        <v>0</v>
      </c>
      <c r="R268" s="7">
        <f t="shared" si="24"/>
        <v>0</v>
      </c>
      <c r="S268" t="s">
        <v>2725</v>
      </c>
      <c r="T268" t="s">
        <v>114</v>
      </c>
      <c r="U268" t="s">
        <v>2725</v>
      </c>
      <c r="W268" t="s">
        <v>114</v>
      </c>
      <c r="X268" t="s">
        <v>1111</v>
      </c>
      <c r="Z268" t="s">
        <v>2726</v>
      </c>
      <c r="AA268" t="s">
        <v>2727</v>
      </c>
      <c r="AB268" s="1" t="s">
        <v>2706</v>
      </c>
      <c r="AC268" t="s">
        <v>2728</v>
      </c>
      <c r="AD268" t="s">
        <v>2727</v>
      </c>
      <c r="AH268" t="s">
        <v>123</v>
      </c>
      <c r="AI268" t="s">
        <v>124</v>
      </c>
      <c r="AJ268" t="s">
        <v>2729</v>
      </c>
      <c r="AK268" t="s">
        <v>126</v>
      </c>
      <c r="AL268" t="s">
        <v>127</v>
      </c>
      <c r="AN268" t="s">
        <v>2730</v>
      </c>
      <c r="AO268" t="s">
        <v>1530</v>
      </c>
      <c r="AP268" t="s">
        <v>2731</v>
      </c>
      <c r="AQ268" t="s">
        <v>131</v>
      </c>
      <c r="AR268" t="s">
        <v>132</v>
      </c>
      <c r="AS268" t="s">
        <v>404</v>
      </c>
      <c r="AT268" t="s">
        <v>1292</v>
      </c>
      <c r="AV268" t="s">
        <v>265</v>
      </c>
      <c r="AW268" t="s">
        <v>1107</v>
      </c>
      <c r="AX268" t="s">
        <v>136</v>
      </c>
      <c r="AY268" t="s">
        <v>272</v>
      </c>
      <c r="AZ268" t="s">
        <v>273</v>
      </c>
      <c r="BA268" t="s">
        <v>2732</v>
      </c>
      <c r="BC268" t="s">
        <v>140</v>
      </c>
      <c r="BT268" s="7">
        <f t="shared" si="25"/>
        <v>0</v>
      </c>
      <c r="BU268" s="6">
        <f t="shared" si="26"/>
        <v>0</v>
      </c>
      <c r="BV268" s="6">
        <f t="shared" si="27"/>
        <v>0</v>
      </c>
      <c r="BW268" s="6">
        <f t="shared" si="28"/>
        <v>0</v>
      </c>
      <c r="BX268" s="6">
        <f t="shared" si="29"/>
        <v>0</v>
      </c>
    </row>
    <row r="269" spans="1:76" x14ac:dyDescent="0.35">
      <c r="A269" t="s">
        <v>2733</v>
      </c>
      <c r="B269" t="s">
        <v>107</v>
      </c>
      <c r="C269" t="s">
        <v>107</v>
      </c>
      <c r="E269" t="s">
        <v>108</v>
      </c>
      <c r="F269" t="s">
        <v>268</v>
      </c>
      <c r="G269" t="s">
        <v>269</v>
      </c>
      <c r="H269" t="s">
        <v>2268</v>
      </c>
      <c r="I269" t="s">
        <v>271</v>
      </c>
      <c r="J269" t="s">
        <v>113</v>
      </c>
      <c r="K269" s="8" t="s">
        <v>114</v>
      </c>
      <c r="L269" t="s">
        <v>114</v>
      </c>
      <c r="M269" s="6">
        <v>0</v>
      </c>
      <c r="N269" t="s">
        <v>114</v>
      </c>
      <c r="O269" s="6">
        <v>0</v>
      </c>
      <c r="P269" t="s">
        <v>114</v>
      </c>
      <c r="Q269" s="6">
        <v>0</v>
      </c>
      <c r="R269" s="7">
        <f t="shared" si="24"/>
        <v>0</v>
      </c>
      <c r="S269" t="s">
        <v>142</v>
      </c>
      <c r="T269" t="s">
        <v>114</v>
      </c>
      <c r="U269" t="s">
        <v>142</v>
      </c>
      <c r="W269" t="s">
        <v>114</v>
      </c>
      <c r="X269" t="s">
        <v>1111</v>
      </c>
      <c r="Z269" t="s">
        <v>2734</v>
      </c>
      <c r="AA269" t="s">
        <v>2735</v>
      </c>
      <c r="AB269" s="1" t="s">
        <v>2736</v>
      </c>
      <c r="AC269" t="s">
        <v>2737</v>
      </c>
      <c r="AD269" t="s">
        <v>2738</v>
      </c>
      <c r="AH269" t="s">
        <v>123</v>
      </c>
      <c r="AI269" t="s">
        <v>124</v>
      </c>
      <c r="AJ269" t="s">
        <v>2739</v>
      </c>
      <c r="AK269" t="s">
        <v>126</v>
      </c>
      <c r="AL269" t="s">
        <v>127</v>
      </c>
      <c r="AN269" t="s">
        <v>2740</v>
      </c>
      <c r="AO269" t="s">
        <v>2741</v>
      </c>
      <c r="AP269" t="s">
        <v>2742</v>
      </c>
      <c r="AQ269" t="s">
        <v>131</v>
      </c>
      <c r="AR269" t="s">
        <v>233</v>
      </c>
      <c r="AS269" t="s">
        <v>234</v>
      </c>
      <c r="AT269" t="s">
        <v>1884</v>
      </c>
      <c r="AV269" t="s">
        <v>2743</v>
      </c>
      <c r="AX269" t="s">
        <v>176</v>
      </c>
      <c r="AY269" t="s">
        <v>272</v>
      </c>
      <c r="AZ269" t="s">
        <v>273</v>
      </c>
      <c r="BA269" t="s">
        <v>2744</v>
      </c>
      <c r="BC269" t="s">
        <v>140</v>
      </c>
      <c r="BT269" s="7">
        <f t="shared" si="25"/>
        <v>0</v>
      </c>
      <c r="BU269" s="6">
        <f t="shared" si="26"/>
        <v>0</v>
      </c>
      <c r="BV269" s="6">
        <f t="shared" si="27"/>
        <v>0</v>
      </c>
      <c r="BW269" s="6">
        <f t="shared" si="28"/>
        <v>0</v>
      </c>
      <c r="BX269" s="6">
        <f t="shared" si="29"/>
        <v>0</v>
      </c>
    </row>
    <row r="270" spans="1:76" x14ac:dyDescent="0.35">
      <c r="A270" t="s">
        <v>2733</v>
      </c>
      <c r="B270" t="s">
        <v>107</v>
      </c>
      <c r="C270" t="s">
        <v>107</v>
      </c>
      <c r="E270" t="s">
        <v>108</v>
      </c>
      <c r="F270" t="s">
        <v>158</v>
      </c>
      <c r="G270" t="s">
        <v>159</v>
      </c>
      <c r="H270" t="s">
        <v>111</v>
      </c>
      <c r="I270" t="s">
        <v>341</v>
      </c>
      <c r="J270" t="s">
        <v>113</v>
      </c>
      <c r="K270" s="8" t="s">
        <v>114</v>
      </c>
      <c r="L270" t="s">
        <v>161</v>
      </c>
      <c r="M270" s="6">
        <v>459</v>
      </c>
      <c r="N270" t="s">
        <v>114</v>
      </c>
      <c r="O270" s="6">
        <v>220</v>
      </c>
      <c r="P270" t="s">
        <v>1111</v>
      </c>
      <c r="Q270" s="6">
        <v>0</v>
      </c>
      <c r="R270" s="7">
        <f t="shared" si="24"/>
        <v>239</v>
      </c>
      <c r="S270" t="s">
        <v>142</v>
      </c>
      <c r="T270" t="s">
        <v>114</v>
      </c>
      <c r="U270" t="s">
        <v>142</v>
      </c>
      <c r="W270" t="s">
        <v>114</v>
      </c>
      <c r="X270" t="s">
        <v>1111</v>
      </c>
      <c r="Z270" t="s">
        <v>2734</v>
      </c>
      <c r="AA270" t="s">
        <v>2735</v>
      </c>
      <c r="AB270" s="1" t="s">
        <v>2736</v>
      </c>
      <c r="AC270" t="s">
        <v>2737</v>
      </c>
      <c r="AD270" t="s">
        <v>2738</v>
      </c>
      <c r="AH270" t="s">
        <v>123</v>
      </c>
      <c r="AI270" t="s">
        <v>124</v>
      </c>
      <c r="AJ270" t="s">
        <v>2739</v>
      </c>
      <c r="AK270" t="s">
        <v>126</v>
      </c>
      <c r="AL270" t="s">
        <v>127</v>
      </c>
      <c r="AN270" t="s">
        <v>2740</v>
      </c>
      <c r="AO270" t="s">
        <v>2741</v>
      </c>
      <c r="AP270" t="s">
        <v>2742</v>
      </c>
      <c r="AQ270" t="s">
        <v>131</v>
      </c>
      <c r="AR270" t="s">
        <v>233</v>
      </c>
      <c r="AS270" t="s">
        <v>234</v>
      </c>
      <c r="AT270" t="s">
        <v>1884</v>
      </c>
      <c r="AV270" t="s">
        <v>2743</v>
      </c>
      <c r="AX270" t="s">
        <v>176</v>
      </c>
      <c r="AY270" t="s">
        <v>177</v>
      </c>
      <c r="AZ270" t="s">
        <v>138</v>
      </c>
      <c r="BA270" t="s">
        <v>2744</v>
      </c>
      <c r="BC270" t="s">
        <v>140</v>
      </c>
      <c r="BT270" s="7">
        <f t="shared" si="25"/>
        <v>239</v>
      </c>
      <c r="BU270" s="6">
        <f t="shared" si="26"/>
        <v>223.36448598130841</v>
      </c>
      <c r="BV270" s="6">
        <f t="shared" si="27"/>
        <v>15.635514018691588</v>
      </c>
      <c r="BW270" s="6">
        <f t="shared" si="28"/>
        <v>239</v>
      </c>
      <c r="BX270" s="6">
        <f t="shared" si="29"/>
        <v>0</v>
      </c>
    </row>
    <row r="271" spans="1:76" x14ac:dyDescent="0.35">
      <c r="A271" t="s">
        <v>2745</v>
      </c>
      <c r="B271" t="s">
        <v>107</v>
      </c>
      <c r="C271" t="s">
        <v>107</v>
      </c>
      <c r="F271" t="s">
        <v>358</v>
      </c>
      <c r="G271" t="s">
        <v>359</v>
      </c>
      <c r="H271" t="s">
        <v>360</v>
      </c>
      <c r="I271" t="s">
        <v>341</v>
      </c>
      <c r="J271" t="s">
        <v>113</v>
      </c>
      <c r="K271" s="8" t="s">
        <v>114</v>
      </c>
      <c r="L271" t="s">
        <v>114</v>
      </c>
      <c r="M271" s="6">
        <v>0</v>
      </c>
      <c r="N271" t="s">
        <v>114</v>
      </c>
      <c r="O271" s="6">
        <v>0</v>
      </c>
      <c r="P271" t="s">
        <v>114</v>
      </c>
      <c r="Q271" s="6">
        <v>0</v>
      </c>
      <c r="R271" s="7">
        <f t="shared" si="24"/>
        <v>0</v>
      </c>
      <c r="S271" t="s">
        <v>114</v>
      </c>
      <c r="T271" t="s">
        <v>114</v>
      </c>
      <c r="U271" t="s">
        <v>114</v>
      </c>
      <c r="W271" t="s">
        <v>114</v>
      </c>
      <c r="X271" t="s">
        <v>114</v>
      </c>
      <c r="Z271" t="s">
        <v>2746</v>
      </c>
      <c r="AA271" t="s">
        <v>2746</v>
      </c>
      <c r="AB271" s="1" t="s">
        <v>2747</v>
      </c>
      <c r="AC271" t="s">
        <v>2748</v>
      </c>
      <c r="AD271" t="s">
        <v>2749</v>
      </c>
      <c r="AH271" t="s">
        <v>123</v>
      </c>
      <c r="AI271" t="s">
        <v>124</v>
      </c>
      <c r="AJ271" t="s">
        <v>2750</v>
      </c>
      <c r="AK271" t="s">
        <v>126</v>
      </c>
      <c r="AL271" t="s">
        <v>127</v>
      </c>
      <c r="AN271" t="s">
        <v>2751</v>
      </c>
      <c r="AO271" t="s">
        <v>2752</v>
      </c>
      <c r="AP271" t="s">
        <v>2753</v>
      </c>
      <c r="AQ271" t="s">
        <v>131</v>
      </c>
      <c r="AR271" t="s">
        <v>403</v>
      </c>
      <c r="AS271" t="s">
        <v>720</v>
      </c>
      <c r="AT271" t="s">
        <v>1402</v>
      </c>
      <c r="AV271" t="s">
        <v>759</v>
      </c>
      <c r="AY271" t="s">
        <v>177</v>
      </c>
      <c r="AZ271" t="s">
        <v>364</v>
      </c>
      <c r="BA271" t="s">
        <v>2754</v>
      </c>
      <c r="BC271" t="s">
        <v>140</v>
      </c>
      <c r="BT271" s="7">
        <f t="shared" si="25"/>
        <v>0</v>
      </c>
      <c r="BU271" s="6">
        <f t="shared" si="26"/>
        <v>0</v>
      </c>
      <c r="BV271" s="6">
        <f t="shared" si="27"/>
        <v>0</v>
      </c>
      <c r="BW271" s="6">
        <f t="shared" si="28"/>
        <v>0</v>
      </c>
      <c r="BX271" s="6">
        <f t="shared" si="29"/>
        <v>0</v>
      </c>
    </row>
    <row r="272" spans="1:76" x14ac:dyDescent="0.35">
      <c r="A272" t="s">
        <v>2745</v>
      </c>
      <c r="B272" t="s">
        <v>107</v>
      </c>
      <c r="C272" t="s">
        <v>107</v>
      </c>
      <c r="F272" t="s">
        <v>533</v>
      </c>
      <c r="G272" t="s">
        <v>534</v>
      </c>
      <c r="H272" t="s">
        <v>2360</v>
      </c>
      <c r="I272" t="s">
        <v>536</v>
      </c>
      <c r="J272" t="s">
        <v>113</v>
      </c>
      <c r="K272" s="8" t="s">
        <v>114</v>
      </c>
      <c r="L272" t="s">
        <v>114</v>
      </c>
      <c r="M272" s="6">
        <v>0</v>
      </c>
      <c r="N272" t="s">
        <v>114</v>
      </c>
      <c r="O272" s="6">
        <v>0</v>
      </c>
      <c r="P272" t="s">
        <v>114</v>
      </c>
      <c r="Q272" s="6">
        <v>0</v>
      </c>
      <c r="R272" s="7">
        <f t="shared" si="24"/>
        <v>0</v>
      </c>
      <c r="S272" t="s">
        <v>114</v>
      </c>
      <c r="T272" t="s">
        <v>114</v>
      </c>
      <c r="U272" t="s">
        <v>114</v>
      </c>
      <c r="W272" t="s">
        <v>114</v>
      </c>
      <c r="X272" t="s">
        <v>114</v>
      </c>
      <c r="Z272" t="s">
        <v>2746</v>
      </c>
      <c r="AA272" t="s">
        <v>2746</v>
      </c>
      <c r="AB272" s="1" t="s">
        <v>2747</v>
      </c>
      <c r="AC272" t="s">
        <v>2748</v>
      </c>
      <c r="AD272" t="s">
        <v>2749</v>
      </c>
      <c r="AH272" t="s">
        <v>123</v>
      </c>
      <c r="AI272" t="s">
        <v>124</v>
      </c>
      <c r="AJ272" t="s">
        <v>2750</v>
      </c>
      <c r="AK272" t="s">
        <v>126</v>
      </c>
      <c r="AL272" t="s">
        <v>127</v>
      </c>
      <c r="AN272" t="s">
        <v>2751</v>
      </c>
      <c r="AO272" t="s">
        <v>2752</v>
      </c>
      <c r="AP272" t="s">
        <v>2753</v>
      </c>
      <c r="AQ272" t="s">
        <v>131</v>
      </c>
      <c r="AR272" t="s">
        <v>403</v>
      </c>
      <c r="AS272" t="s">
        <v>720</v>
      </c>
      <c r="AT272" t="s">
        <v>1402</v>
      </c>
      <c r="AV272" t="s">
        <v>759</v>
      </c>
      <c r="AY272" t="s">
        <v>547</v>
      </c>
      <c r="AZ272" t="s">
        <v>364</v>
      </c>
      <c r="BA272" t="s">
        <v>2754</v>
      </c>
      <c r="BC272" t="s">
        <v>140</v>
      </c>
      <c r="BT272" s="7">
        <f t="shared" si="25"/>
        <v>0</v>
      </c>
      <c r="BU272" s="6">
        <f t="shared" si="26"/>
        <v>0</v>
      </c>
      <c r="BV272" s="6">
        <f t="shared" si="27"/>
        <v>0</v>
      </c>
      <c r="BW272" s="6">
        <f t="shared" si="28"/>
        <v>0</v>
      </c>
      <c r="BX272" s="6">
        <f t="shared" si="29"/>
        <v>0</v>
      </c>
    </row>
    <row r="273" spans="1:76" x14ac:dyDescent="0.35">
      <c r="A273" t="s">
        <v>2755</v>
      </c>
      <c r="B273" t="s">
        <v>336</v>
      </c>
      <c r="C273" t="s">
        <v>336</v>
      </c>
      <c r="D273" t="s">
        <v>337</v>
      </c>
      <c r="E273" t="s">
        <v>108</v>
      </c>
      <c r="F273" t="s">
        <v>158</v>
      </c>
      <c r="G273" t="s">
        <v>159</v>
      </c>
      <c r="H273" t="s">
        <v>111</v>
      </c>
      <c r="I273" t="s">
        <v>341</v>
      </c>
      <c r="J273" t="s">
        <v>113</v>
      </c>
      <c r="K273" s="8" t="s">
        <v>113</v>
      </c>
      <c r="L273" t="s">
        <v>161</v>
      </c>
      <c r="M273" s="6">
        <v>459</v>
      </c>
      <c r="N273" t="s">
        <v>114</v>
      </c>
      <c r="O273" s="6">
        <v>220</v>
      </c>
      <c r="P273" t="s">
        <v>1111</v>
      </c>
      <c r="Q273" s="6">
        <v>0</v>
      </c>
      <c r="R273" s="7">
        <f t="shared" si="24"/>
        <v>239</v>
      </c>
      <c r="S273" t="s">
        <v>180</v>
      </c>
      <c r="T273" t="s">
        <v>114</v>
      </c>
      <c r="U273" t="s">
        <v>180</v>
      </c>
      <c r="W273" t="s">
        <v>114</v>
      </c>
      <c r="X273" t="s">
        <v>1111</v>
      </c>
      <c r="Y273" t="s">
        <v>1111</v>
      </c>
      <c r="Z273" t="s">
        <v>2756</v>
      </c>
      <c r="AA273" t="s">
        <v>2757</v>
      </c>
      <c r="AE273" t="s">
        <v>2758</v>
      </c>
      <c r="AF273" t="s">
        <v>346</v>
      </c>
      <c r="AG273" t="s">
        <v>2759</v>
      </c>
      <c r="AH273" t="s">
        <v>123</v>
      </c>
      <c r="AI273" t="s">
        <v>124</v>
      </c>
      <c r="AK273" t="s">
        <v>126</v>
      </c>
      <c r="AN273" t="s">
        <v>2760</v>
      </c>
      <c r="AO273" t="s">
        <v>2761</v>
      </c>
      <c r="AP273" t="s">
        <v>2762</v>
      </c>
      <c r="AQ273" t="s">
        <v>131</v>
      </c>
      <c r="AR273" t="s">
        <v>132</v>
      </c>
      <c r="AS273" t="s">
        <v>202</v>
      </c>
      <c r="AT273" t="s">
        <v>1489</v>
      </c>
      <c r="AV273" t="s">
        <v>690</v>
      </c>
      <c r="AX273" t="s">
        <v>655</v>
      </c>
      <c r="AY273" t="s">
        <v>177</v>
      </c>
      <c r="AZ273" t="s">
        <v>138</v>
      </c>
      <c r="BA273" t="s">
        <v>2763</v>
      </c>
      <c r="BC273" t="s">
        <v>140</v>
      </c>
      <c r="BT273" s="7">
        <f t="shared" si="25"/>
        <v>239</v>
      </c>
      <c r="BU273" s="6">
        <f t="shared" si="26"/>
        <v>223.36448598130841</v>
      </c>
      <c r="BV273" s="6">
        <f t="shared" si="27"/>
        <v>15.635514018691588</v>
      </c>
      <c r="BW273" s="6">
        <f t="shared" si="28"/>
        <v>239</v>
      </c>
      <c r="BX273" s="6">
        <f t="shared" si="29"/>
        <v>0</v>
      </c>
    </row>
    <row r="274" spans="1:76" x14ac:dyDescent="0.35">
      <c r="A274" t="s">
        <v>2755</v>
      </c>
      <c r="B274" t="s">
        <v>336</v>
      </c>
      <c r="C274" t="s">
        <v>336</v>
      </c>
      <c r="D274" t="s">
        <v>337</v>
      </c>
      <c r="E274" t="s">
        <v>108</v>
      </c>
      <c r="F274" t="s">
        <v>268</v>
      </c>
      <c r="G274" t="s">
        <v>269</v>
      </c>
      <c r="H274" t="s">
        <v>2268</v>
      </c>
      <c r="I274" t="s">
        <v>271</v>
      </c>
      <c r="J274" t="s">
        <v>113</v>
      </c>
      <c r="K274" s="8" t="s">
        <v>113</v>
      </c>
      <c r="L274" t="s">
        <v>114</v>
      </c>
      <c r="M274" s="6">
        <v>0</v>
      </c>
      <c r="N274" t="s">
        <v>114</v>
      </c>
      <c r="O274" s="6">
        <v>0</v>
      </c>
      <c r="P274" t="s">
        <v>114</v>
      </c>
      <c r="Q274" s="6">
        <v>0</v>
      </c>
      <c r="R274" s="7">
        <f t="shared" si="24"/>
        <v>0</v>
      </c>
      <c r="S274" t="s">
        <v>180</v>
      </c>
      <c r="T274" t="s">
        <v>114</v>
      </c>
      <c r="U274" t="s">
        <v>180</v>
      </c>
      <c r="W274" t="s">
        <v>114</v>
      </c>
      <c r="X274" t="s">
        <v>1111</v>
      </c>
      <c r="Y274" t="s">
        <v>114</v>
      </c>
      <c r="Z274" t="s">
        <v>2756</v>
      </c>
      <c r="AA274" t="s">
        <v>2757</v>
      </c>
      <c r="AE274" t="s">
        <v>2758</v>
      </c>
      <c r="AF274" t="s">
        <v>346</v>
      </c>
      <c r="AG274" t="s">
        <v>2759</v>
      </c>
      <c r="AH274" t="s">
        <v>123</v>
      </c>
      <c r="AI274" t="s">
        <v>124</v>
      </c>
      <c r="AK274" t="s">
        <v>126</v>
      </c>
      <c r="AN274" t="s">
        <v>2760</v>
      </c>
      <c r="AO274" t="s">
        <v>2761</v>
      </c>
      <c r="AP274" t="s">
        <v>2762</v>
      </c>
      <c r="AQ274" t="s">
        <v>131</v>
      </c>
      <c r="AR274" t="s">
        <v>132</v>
      </c>
      <c r="AS274" t="s">
        <v>202</v>
      </c>
      <c r="AT274" t="s">
        <v>1489</v>
      </c>
      <c r="AV274" t="s">
        <v>690</v>
      </c>
      <c r="AX274" t="s">
        <v>655</v>
      </c>
      <c r="AY274" t="s">
        <v>272</v>
      </c>
      <c r="AZ274" t="s">
        <v>273</v>
      </c>
      <c r="BA274" t="s">
        <v>2763</v>
      </c>
      <c r="BC274" t="s">
        <v>140</v>
      </c>
      <c r="BT274" s="7">
        <f t="shared" si="25"/>
        <v>0</v>
      </c>
      <c r="BU274" s="6">
        <f t="shared" si="26"/>
        <v>0</v>
      </c>
      <c r="BV274" s="6">
        <f t="shared" si="27"/>
        <v>0</v>
      </c>
      <c r="BW274" s="6">
        <f t="shared" si="28"/>
        <v>0</v>
      </c>
      <c r="BX274" s="6">
        <f t="shared" si="29"/>
        <v>0</v>
      </c>
    </row>
    <row r="275" spans="1:76" x14ac:dyDescent="0.35">
      <c r="A275" t="s">
        <v>2764</v>
      </c>
      <c r="B275" t="s">
        <v>107</v>
      </c>
      <c r="C275" t="s">
        <v>107</v>
      </c>
      <c r="E275" t="s">
        <v>108</v>
      </c>
      <c r="F275" t="s">
        <v>158</v>
      </c>
      <c r="G275" t="s">
        <v>159</v>
      </c>
      <c r="H275" t="s">
        <v>111</v>
      </c>
      <c r="I275" t="s">
        <v>341</v>
      </c>
      <c r="J275" t="s">
        <v>113</v>
      </c>
      <c r="K275" s="8" t="s">
        <v>114</v>
      </c>
      <c r="L275" t="s">
        <v>161</v>
      </c>
      <c r="M275" s="6">
        <v>459</v>
      </c>
      <c r="N275" t="s">
        <v>436</v>
      </c>
      <c r="O275" s="6">
        <v>220</v>
      </c>
      <c r="P275" t="s">
        <v>1876</v>
      </c>
      <c r="Q275" s="6">
        <v>0</v>
      </c>
      <c r="R275" s="7">
        <f t="shared" si="24"/>
        <v>239</v>
      </c>
      <c r="S275" t="s">
        <v>180</v>
      </c>
      <c r="T275" t="s">
        <v>114</v>
      </c>
      <c r="U275" t="s">
        <v>180</v>
      </c>
      <c r="W275" t="s">
        <v>114</v>
      </c>
      <c r="X275" t="s">
        <v>1876</v>
      </c>
      <c r="Z275" t="s">
        <v>2765</v>
      </c>
      <c r="AA275" t="s">
        <v>2766</v>
      </c>
      <c r="AB275" s="1" t="s">
        <v>2767</v>
      </c>
      <c r="AC275" t="s">
        <v>2768</v>
      </c>
      <c r="AD275" t="s">
        <v>2766</v>
      </c>
      <c r="AH275" t="s">
        <v>123</v>
      </c>
      <c r="AI275" t="s">
        <v>124</v>
      </c>
      <c r="AJ275" t="s">
        <v>2769</v>
      </c>
      <c r="AK275" t="s">
        <v>126</v>
      </c>
      <c r="AL275" t="s">
        <v>127</v>
      </c>
      <c r="AN275" t="s">
        <v>2770</v>
      </c>
      <c r="AO275" t="s">
        <v>2771</v>
      </c>
      <c r="AP275" t="s">
        <v>2772</v>
      </c>
      <c r="AQ275" t="s">
        <v>131</v>
      </c>
      <c r="AR275" t="s">
        <v>132</v>
      </c>
      <c r="AS275" t="s">
        <v>839</v>
      </c>
      <c r="AT275" t="s">
        <v>840</v>
      </c>
      <c r="AV275" t="s">
        <v>638</v>
      </c>
      <c r="AX275" t="s">
        <v>136</v>
      </c>
      <c r="AY275" t="s">
        <v>177</v>
      </c>
      <c r="AZ275" t="s">
        <v>138</v>
      </c>
      <c r="BA275" t="s">
        <v>2773</v>
      </c>
      <c r="BC275" t="s">
        <v>140</v>
      </c>
      <c r="BT275" s="7">
        <f t="shared" si="25"/>
        <v>239</v>
      </c>
      <c r="BU275" s="6">
        <f t="shared" si="26"/>
        <v>223.36448598130841</v>
      </c>
      <c r="BV275" s="6">
        <f t="shared" si="27"/>
        <v>15.635514018691588</v>
      </c>
      <c r="BW275" s="6">
        <f t="shared" si="28"/>
        <v>239</v>
      </c>
      <c r="BX275" s="6">
        <f t="shared" si="29"/>
        <v>0</v>
      </c>
    </row>
    <row r="276" spans="1:76" x14ac:dyDescent="0.35">
      <c r="A276" t="s">
        <v>2764</v>
      </c>
      <c r="B276" t="s">
        <v>107</v>
      </c>
      <c r="C276" t="s">
        <v>107</v>
      </c>
      <c r="E276" t="s">
        <v>108</v>
      </c>
      <c r="F276" t="s">
        <v>268</v>
      </c>
      <c r="G276" t="s">
        <v>269</v>
      </c>
      <c r="H276" t="s">
        <v>2268</v>
      </c>
      <c r="I276" t="s">
        <v>271</v>
      </c>
      <c r="J276" t="s">
        <v>113</v>
      </c>
      <c r="K276" s="8" t="s">
        <v>114</v>
      </c>
      <c r="L276" t="s">
        <v>114</v>
      </c>
      <c r="M276" s="6">
        <v>0</v>
      </c>
      <c r="N276" t="s">
        <v>114</v>
      </c>
      <c r="O276" s="6">
        <v>0</v>
      </c>
      <c r="P276" t="s">
        <v>114</v>
      </c>
      <c r="Q276" s="6">
        <v>0</v>
      </c>
      <c r="R276" s="7">
        <f t="shared" si="24"/>
        <v>0</v>
      </c>
      <c r="S276" t="s">
        <v>180</v>
      </c>
      <c r="T276" t="s">
        <v>114</v>
      </c>
      <c r="U276" t="s">
        <v>180</v>
      </c>
      <c r="W276" t="s">
        <v>114</v>
      </c>
      <c r="X276" t="s">
        <v>1876</v>
      </c>
      <c r="Z276" t="s">
        <v>2765</v>
      </c>
      <c r="AA276" t="s">
        <v>2766</v>
      </c>
      <c r="AB276" s="1" t="s">
        <v>2767</v>
      </c>
      <c r="AC276" t="s">
        <v>2768</v>
      </c>
      <c r="AD276" t="s">
        <v>2766</v>
      </c>
      <c r="AH276" t="s">
        <v>123</v>
      </c>
      <c r="AI276" t="s">
        <v>124</v>
      </c>
      <c r="AJ276" t="s">
        <v>2769</v>
      </c>
      <c r="AK276" t="s">
        <v>126</v>
      </c>
      <c r="AL276" t="s">
        <v>127</v>
      </c>
      <c r="AN276" t="s">
        <v>2770</v>
      </c>
      <c r="AO276" t="s">
        <v>2771</v>
      </c>
      <c r="AP276" t="s">
        <v>2772</v>
      </c>
      <c r="AQ276" t="s">
        <v>131</v>
      </c>
      <c r="AR276" t="s">
        <v>132</v>
      </c>
      <c r="AS276" t="s">
        <v>839</v>
      </c>
      <c r="AT276" t="s">
        <v>840</v>
      </c>
      <c r="AV276" t="s">
        <v>638</v>
      </c>
      <c r="AX276" t="s">
        <v>136</v>
      </c>
      <c r="AY276" t="s">
        <v>272</v>
      </c>
      <c r="AZ276" t="s">
        <v>273</v>
      </c>
      <c r="BA276" t="s">
        <v>2773</v>
      </c>
      <c r="BC276" t="s">
        <v>140</v>
      </c>
      <c r="BT276" s="7">
        <f t="shared" si="25"/>
        <v>0</v>
      </c>
      <c r="BU276" s="6">
        <f t="shared" si="26"/>
        <v>0</v>
      </c>
      <c r="BV276" s="6">
        <f t="shared" si="27"/>
        <v>0</v>
      </c>
      <c r="BW276" s="6">
        <f t="shared" si="28"/>
        <v>0</v>
      </c>
      <c r="BX276" s="6">
        <f t="shared" si="29"/>
        <v>0</v>
      </c>
    </row>
    <row r="277" spans="1:76" x14ac:dyDescent="0.35">
      <c r="A277" t="s">
        <v>2774</v>
      </c>
      <c r="B277" t="s">
        <v>107</v>
      </c>
      <c r="C277" t="s">
        <v>107</v>
      </c>
      <c r="F277" t="s">
        <v>358</v>
      </c>
      <c r="G277" t="s">
        <v>359</v>
      </c>
      <c r="H277" t="s">
        <v>360</v>
      </c>
      <c r="I277" t="s">
        <v>341</v>
      </c>
      <c r="J277" t="s">
        <v>113</v>
      </c>
      <c r="K277" s="8" t="s">
        <v>114</v>
      </c>
      <c r="L277" t="s">
        <v>114</v>
      </c>
      <c r="M277" s="6">
        <v>0</v>
      </c>
      <c r="N277" t="s">
        <v>114</v>
      </c>
      <c r="O277" s="6">
        <v>0</v>
      </c>
      <c r="P277" t="s">
        <v>114</v>
      </c>
      <c r="Q277" s="6">
        <v>0</v>
      </c>
      <c r="R277" s="7">
        <f t="shared" si="24"/>
        <v>0</v>
      </c>
      <c r="S277" t="s">
        <v>114</v>
      </c>
      <c r="T277" t="s">
        <v>114</v>
      </c>
      <c r="U277" t="s">
        <v>114</v>
      </c>
      <c r="W277" t="s">
        <v>114</v>
      </c>
      <c r="X277" t="s">
        <v>114</v>
      </c>
      <c r="Z277" t="s">
        <v>2775</v>
      </c>
      <c r="AA277" t="s">
        <v>2775</v>
      </c>
      <c r="AB277" s="1" t="s">
        <v>2776</v>
      </c>
      <c r="AC277" t="s">
        <v>2777</v>
      </c>
      <c r="AD277" t="s">
        <v>2778</v>
      </c>
      <c r="AH277" t="s">
        <v>123</v>
      </c>
      <c r="AI277" t="s">
        <v>124</v>
      </c>
      <c r="AJ277" t="s">
        <v>2779</v>
      </c>
      <c r="AK277" t="s">
        <v>126</v>
      </c>
      <c r="AL277" t="s">
        <v>127</v>
      </c>
      <c r="AN277" t="s">
        <v>2780</v>
      </c>
      <c r="AO277" t="s">
        <v>2781</v>
      </c>
      <c r="AP277" t="s">
        <v>2782</v>
      </c>
      <c r="AQ277" t="s">
        <v>131</v>
      </c>
      <c r="AR277" t="s">
        <v>132</v>
      </c>
      <c r="AS277" t="s">
        <v>1380</v>
      </c>
      <c r="AT277" t="s">
        <v>2783</v>
      </c>
      <c r="AV277" t="s">
        <v>191</v>
      </c>
      <c r="AW277" t="s">
        <v>496</v>
      </c>
      <c r="AY277" t="s">
        <v>177</v>
      </c>
      <c r="AZ277" t="s">
        <v>364</v>
      </c>
      <c r="BA277" t="s">
        <v>2784</v>
      </c>
      <c r="BC277" t="s">
        <v>140</v>
      </c>
      <c r="BT277" s="7">
        <f t="shared" si="25"/>
        <v>0</v>
      </c>
      <c r="BU277" s="6">
        <f t="shared" si="26"/>
        <v>0</v>
      </c>
      <c r="BV277" s="6">
        <f t="shared" si="27"/>
        <v>0</v>
      </c>
      <c r="BW277" s="6">
        <f t="shared" si="28"/>
        <v>0</v>
      </c>
      <c r="BX277" s="6">
        <f t="shared" si="29"/>
        <v>0</v>
      </c>
    </row>
    <row r="278" spans="1:76" x14ac:dyDescent="0.35">
      <c r="A278" t="s">
        <v>2785</v>
      </c>
      <c r="B278" t="s">
        <v>107</v>
      </c>
      <c r="C278" t="s">
        <v>107</v>
      </c>
      <c r="F278" t="s">
        <v>358</v>
      </c>
      <c r="G278" t="s">
        <v>359</v>
      </c>
      <c r="H278" t="s">
        <v>360</v>
      </c>
      <c r="I278" t="s">
        <v>341</v>
      </c>
      <c r="J278" t="s">
        <v>113</v>
      </c>
      <c r="K278" s="8" t="s">
        <v>114</v>
      </c>
      <c r="L278" t="s">
        <v>114</v>
      </c>
      <c r="M278" s="6">
        <v>0</v>
      </c>
      <c r="N278" t="s">
        <v>114</v>
      </c>
      <c r="O278" s="6">
        <v>0</v>
      </c>
      <c r="P278" t="s">
        <v>114</v>
      </c>
      <c r="Q278" s="6">
        <v>0</v>
      </c>
      <c r="R278" s="7">
        <f t="shared" si="24"/>
        <v>0</v>
      </c>
      <c r="S278" t="s">
        <v>114</v>
      </c>
      <c r="T278" t="s">
        <v>114</v>
      </c>
      <c r="U278" t="s">
        <v>114</v>
      </c>
      <c r="W278" t="s">
        <v>114</v>
      </c>
      <c r="X278" t="s">
        <v>114</v>
      </c>
      <c r="Z278" t="s">
        <v>2786</v>
      </c>
      <c r="AA278" t="s">
        <v>2786</v>
      </c>
      <c r="AB278" s="1" t="s">
        <v>2787</v>
      </c>
      <c r="AC278" t="s">
        <v>2788</v>
      </c>
      <c r="AD278" t="s">
        <v>2789</v>
      </c>
      <c r="AH278" t="s">
        <v>123</v>
      </c>
      <c r="AI278" t="s">
        <v>124</v>
      </c>
      <c r="AJ278" t="s">
        <v>2790</v>
      </c>
      <c r="AK278" t="s">
        <v>126</v>
      </c>
      <c r="AL278" t="s">
        <v>127</v>
      </c>
      <c r="AN278" t="s">
        <v>2791</v>
      </c>
      <c r="AO278" t="s">
        <v>2792</v>
      </c>
      <c r="AP278" t="s">
        <v>2793</v>
      </c>
      <c r="AQ278" t="s">
        <v>131</v>
      </c>
      <c r="AR278" t="s">
        <v>132</v>
      </c>
      <c r="AS278" t="s">
        <v>352</v>
      </c>
      <c r="AT278" t="s">
        <v>667</v>
      </c>
      <c r="AV278" t="s">
        <v>175</v>
      </c>
      <c r="AY278" t="s">
        <v>177</v>
      </c>
      <c r="AZ278" t="s">
        <v>364</v>
      </c>
      <c r="BA278" t="s">
        <v>2794</v>
      </c>
      <c r="BC278" t="s">
        <v>140</v>
      </c>
      <c r="BT278" s="7">
        <f t="shared" si="25"/>
        <v>0</v>
      </c>
      <c r="BU278" s="6">
        <f t="shared" si="26"/>
        <v>0</v>
      </c>
      <c r="BV278" s="6">
        <f t="shared" si="27"/>
        <v>0</v>
      </c>
      <c r="BW278" s="6">
        <f t="shared" si="28"/>
        <v>0</v>
      </c>
      <c r="BX278" s="6">
        <f t="shared" si="29"/>
        <v>0</v>
      </c>
    </row>
    <row r="279" spans="1:76" x14ac:dyDescent="0.35">
      <c r="A279" t="s">
        <v>2795</v>
      </c>
      <c r="B279" t="s">
        <v>107</v>
      </c>
      <c r="C279" t="s">
        <v>107</v>
      </c>
      <c r="E279" t="s">
        <v>108</v>
      </c>
      <c r="F279" t="s">
        <v>158</v>
      </c>
      <c r="G279" t="s">
        <v>159</v>
      </c>
      <c r="H279" t="s">
        <v>111</v>
      </c>
      <c r="I279" t="s">
        <v>341</v>
      </c>
      <c r="J279" t="s">
        <v>1548</v>
      </c>
      <c r="K279" s="8" t="s">
        <v>114</v>
      </c>
      <c r="L279" t="s">
        <v>161</v>
      </c>
      <c r="M279" s="6">
        <v>918</v>
      </c>
      <c r="N279" t="s">
        <v>2358</v>
      </c>
      <c r="O279" s="6">
        <v>440</v>
      </c>
      <c r="P279" t="s">
        <v>2796</v>
      </c>
      <c r="Q279" s="6">
        <v>0</v>
      </c>
      <c r="R279" s="7">
        <f t="shared" si="24"/>
        <v>478</v>
      </c>
      <c r="S279" t="s">
        <v>180</v>
      </c>
      <c r="T279" t="s">
        <v>114</v>
      </c>
      <c r="U279" t="s">
        <v>180</v>
      </c>
      <c r="W279" t="s">
        <v>114</v>
      </c>
      <c r="X279" t="s">
        <v>2796</v>
      </c>
      <c r="Z279" t="s">
        <v>2797</v>
      </c>
      <c r="AA279" t="s">
        <v>2798</v>
      </c>
      <c r="AB279" s="1" t="s">
        <v>2799</v>
      </c>
      <c r="AC279" t="s">
        <v>2800</v>
      </c>
      <c r="AD279" t="s">
        <v>2801</v>
      </c>
      <c r="AH279" t="s">
        <v>123</v>
      </c>
      <c r="AI279" t="s">
        <v>124</v>
      </c>
      <c r="AJ279" t="s">
        <v>2802</v>
      </c>
      <c r="AK279" t="s">
        <v>126</v>
      </c>
      <c r="AL279" t="s">
        <v>127</v>
      </c>
      <c r="AN279" t="s">
        <v>2803</v>
      </c>
      <c r="AO279" t="s">
        <v>2804</v>
      </c>
      <c r="AP279" t="s">
        <v>2805</v>
      </c>
      <c r="AQ279" t="s">
        <v>131</v>
      </c>
      <c r="AR279" t="s">
        <v>132</v>
      </c>
      <c r="AS279" t="s">
        <v>2402</v>
      </c>
      <c r="AT279" t="s">
        <v>2402</v>
      </c>
      <c r="AV279" t="s">
        <v>654</v>
      </c>
      <c r="AW279" t="s">
        <v>219</v>
      </c>
      <c r="AX279" t="s">
        <v>155</v>
      </c>
      <c r="AY279" t="s">
        <v>1562</v>
      </c>
      <c r="AZ279" t="s">
        <v>138</v>
      </c>
      <c r="BA279" t="s">
        <v>2806</v>
      </c>
      <c r="BC279" t="s">
        <v>140</v>
      </c>
      <c r="BT279" s="7">
        <f t="shared" si="25"/>
        <v>478</v>
      </c>
      <c r="BU279" s="6">
        <f t="shared" si="26"/>
        <v>446.72897196261681</v>
      </c>
      <c r="BV279" s="6">
        <f t="shared" si="27"/>
        <v>31.271028037383175</v>
      </c>
      <c r="BW279" s="6">
        <f t="shared" si="28"/>
        <v>478</v>
      </c>
      <c r="BX279" s="6">
        <f t="shared" si="29"/>
        <v>0</v>
      </c>
    </row>
    <row r="280" spans="1:76" x14ac:dyDescent="0.35">
      <c r="A280" t="s">
        <v>2795</v>
      </c>
      <c r="B280" t="s">
        <v>107</v>
      </c>
      <c r="C280" t="s">
        <v>107</v>
      </c>
      <c r="E280" t="s">
        <v>108</v>
      </c>
      <c r="F280" t="s">
        <v>268</v>
      </c>
      <c r="G280" t="s">
        <v>269</v>
      </c>
      <c r="H280" t="s">
        <v>2268</v>
      </c>
      <c r="I280" t="s">
        <v>271</v>
      </c>
      <c r="J280" t="s">
        <v>113</v>
      </c>
      <c r="K280" s="8" t="s">
        <v>114</v>
      </c>
      <c r="L280" t="s">
        <v>114</v>
      </c>
      <c r="M280" s="6">
        <v>0</v>
      </c>
      <c r="N280" t="s">
        <v>114</v>
      </c>
      <c r="O280" s="6">
        <v>0</v>
      </c>
      <c r="P280" t="s">
        <v>114</v>
      </c>
      <c r="Q280" s="6">
        <v>0</v>
      </c>
      <c r="R280" s="7">
        <f t="shared" si="24"/>
        <v>0</v>
      </c>
      <c r="S280" t="s">
        <v>180</v>
      </c>
      <c r="T280" t="s">
        <v>114</v>
      </c>
      <c r="U280" t="s">
        <v>180</v>
      </c>
      <c r="W280" t="s">
        <v>114</v>
      </c>
      <c r="X280" t="s">
        <v>2796</v>
      </c>
      <c r="Z280" t="s">
        <v>2797</v>
      </c>
      <c r="AA280" t="s">
        <v>2798</v>
      </c>
      <c r="AB280" s="1" t="s">
        <v>2799</v>
      </c>
      <c r="AC280" t="s">
        <v>2800</v>
      </c>
      <c r="AD280" t="s">
        <v>2801</v>
      </c>
      <c r="AH280" t="s">
        <v>123</v>
      </c>
      <c r="AI280" t="s">
        <v>124</v>
      </c>
      <c r="AJ280" t="s">
        <v>2802</v>
      </c>
      <c r="AK280" t="s">
        <v>126</v>
      </c>
      <c r="AL280" t="s">
        <v>127</v>
      </c>
      <c r="AN280" t="s">
        <v>2803</v>
      </c>
      <c r="AO280" t="s">
        <v>2804</v>
      </c>
      <c r="AP280" t="s">
        <v>2805</v>
      </c>
      <c r="AQ280" t="s">
        <v>131</v>
      </c>
      <c r="AR280" t="s">
        <v>132</v>
      </c>
      <c r="AS280" t="s">
        <v>2402</v>
      </c>
      <c r="AT280" t="s">
        <v>2402</v>
      </c>
      <c r="AV280" t="s">
        <v>654</v>
      </c>
      <c r="AW280" t="s">
        <v>219</v>
      </c>
      <c r="AX280" t="s">
        <v>155</v>
      </c>
      <c r="AY280" t="s">
        <v>272</v>
      </c>
      <c r="AZ280" t="s">
        <v>273</v>
      </c>
      <c r="BA280" t="s">
        <v>2806</v>
      </c>
      <c r="BC280" t="s">
        <v>140</v>
      </c>
      <c r="BT280" s="7">
        <f t="shared" si="25"/>
        <v>0</v>
      </c>
      <c r="BU280" s="6">
        <f t="shared" si="26"/>
        <v>0</v>
      </c>
      <c r="BV280" s="6">
        <f t="shared" si="27"/>
        <v>0</v>
      </c>
      <c r="BW280" s="6">
        <f t="shared" si="28"/>
        <v>0</v>
      </c>
      <c r="BX280" s="6">
        <f t="shared" si="29"/>
        <v>0</v>
      </c>
    </row>
    <row r="281" spans="1:76" x14ac:dyDescent="0.35">
      <c r="A281" t="s">
        <v>2807</v>
      </c>
      <c r="B281" t="s">
        <v>107</v>
      </c>
      <c r="C281" t="s">
        <v>107</v>
      </c>
      <c r="E281" t="s">
        <v>108</v>
      </c>
      <c r="F281" t="s">
        <v>158</v>
      </c>
      <c r="G281" t="s">
        <v>159</v>
      </c>
      <c r="H281" t="s">
        <v>111</v>
      </c>
      <c r="I281" t="s">
        <v>341</v>
      </c>
      <c r="J281" t="s">
        <v>113</v>
      </c>
      <c r="K281" s="8" t="s">
        <v>114</v>
      </c>
      <c r="L281" t="s">
        <v>161</v>
      </c>
      <c r="M281" s="6">
        <v>459</v>
      </c>
      <c r="N281" t="s">
        <v>114</v>
      </c>
      <c r="O281" s="6">
        <v>220</v>
      </c>
      <c r="P281" t="s">
        <v>1111</v>
      </c>
      <c r="Q281" s="6">
        <v>0</v>
      </c>
      <c r="R281" s="7">
        <f t="shared" si="24"/>
        <v>239</v>
      </c>
      <c r="S281" t="s">
        <v>180</v>
      </c>
      <c r="T281" t="s">
        <v>114</v>
      </c>
      <c r="U281" t="s">
        <v>180</v>
      </c>
      <c r="W281" t="s">
        <v>114</v>
      </c>
      <c r="X281" t="s">
        <v>1111</v>
      </c>
      <c r="Z281" t="s">
        <v>2808</v>
      </c>
      <c r="AA281" t="s">
        <v>2809</v>
      </c>
      <c r="AB281" s="1" t="s">
        <v>2810</v>
      </c>
      <c r="AC281" t="s">
        <v>2811</v>
      </c>
      <c r="AD281" t="s">
        <v>2809</v>
      </c>
      <c r="AH281" t="s">
        <v>123</v>
      </c>
      <c r="AI281" t="s">
        <v>124</v>
      </c>
      <c r="AJ281" t="s">
        <v>2812</v>
      </c>
      <c r="AK281" t="s">
        <v>126</v>
      </c>
      <c r="AL281" t="s">
        <v>127</v>
      </c>
      <c r="AN281" t="s">
        <v>2813</v>
      </c>
      <c r="AO281" t="s">
        <v>2814</v>
      </c>
      <c r="AP281" t="s">
        <v>2815</v>
      </c>
      <c r="AQ281" t="s">
        <v>131</v>
      </c>
      <c r="AR281" t="s">
        <v>132</v>
      </c>
      <c r="AS281" t="s">
        <v>432</v>
      </c>
      <c r="AT281" t="s">
        <v>2816</v>
      </c>
      <c r="AV281" t="s">
        <v>299</v>
      </c>
      <c r="AW281" t="s">
        <v>918</v>
      </c>
      <c r="AX281" t="s">
        <v>136</v>
      </c>
      <c r="AY281" t="s">
        <v>177</v>
      </c>
      <c r="AZ281" t="s">
        <v>138</v>
      </c>
      <c r="BA281" t="s">
        <v>2817</v>
      </c>
      <c r="BC281" t="s">
        <v>140</v>
      </c>
      <c r="BT281" s="7">
        <f t="shared" si="25"/>
        <v>239</v>
      </c>
      <c r="BU281" s="6">
        <f t="shared" si="26"/>
        <v>223.36448598130841</v>
      </c>
      <c r="BV281" s="6">
        <f t="shared" si="27"/>
        <v>15.635514018691588</v>
      </c>
      <c r="BW281" s="6">
        <f t="shared" si="28"/>
        <v>239</v>
      </c>
      <c r="BX281" s="6">
        <f t="shared" si="29"/>
        <v>0</v>
      </c>
    </row>
    <row r="282" spans="1:76" x14ac:dyDescent="0.35">
      <c r="A282" t="s">
        <v>2807</v>
      </c>
      <c r="B282" t="s">
        <v>107</v>
      </c>
      <c r="C282" t="s">
        <v>107</v>
      </c>
      <c r="E282" t="s">
        <v>108</v>
      </c>
      <c r="F282" t="s">
        <v>268</v>
      </c>
      <c r="G282" t="s">
        <v>269</v>
      </c>
      <c r="H282" t="s">
        <v>2268</v>
      </c>
      <c r="I282" t="s">
        <v>271</v>
      </c>
      <c r="J282" t="s">
        <v>113</v>
      </c>
      <c r="K282" s="8" t="s">
        <v>114</v>
      </c>
      <c r="L282" t="s">
        <v>114</v>
      </c>
      <c r="M282" s="6">
        <v>0</v>
      </c>
      <c r="N282" t="s">
        <v>114</v>
      </c>
      <c r="O282" s="6">
        <v>0</v>
      </c>
      <c r="P282" t="s">
        <v>114</v>
      </c>
      <c r="Q282" s="6">
        <v>0</v>
      </c>
      <c r="R282" s="7">
        <f t="shared" si="24"/>
        <v>0</v>
      </c>
      <c r="S282" t="s">
        <v>180</v>
      </c>
      <c r="T282" t="s">
        <v>114</v>
      </c>
      <c r="U282" t="s">
        <v>180</v>
      </c>
      <c r="W282" t="s">
        <v>114</v>
      </c>
      <c r="X282" t="s">
        <v>1111</v>
      </c>
      <c r="Z282" t="s">
        <v>2808</v>
      </c>
      <c r="AA282" t="s">
        <v>2809</v>
      </c>
      <c r="AB282" s="1" t="s">
        <v>2810</v>
      </c>
      <c r="AC282" t="s">
        <v>2811</v>
      </c>
      <c r="AD282" t="s">
        <v>2809</v>
      </c>
      <c r="AH282" t="s">
        <v>123</v>
      </c>
      <c r="AI282" t="s">
        <v>124</v>
      </c>
      <c r="AJ282" t="s">
        <v>2812</v>
      </c>
      <c r="AK282" t="s">
        <v>126</v>
      </c>
      <c r="AL282" t="s">
        <v>127</v>
      </c>
      <c r="AN282" t="s">
        <v>2813</v>
      </c>
      <c r="AO282" t="s">
        <v>2814</v>
      </c>
      <c r="AP282" t="s">
        <v>2815</v>
      </c>
      <c r="AQ282" t="s">
        <v>131</v>
      </c>
      <c r="AR282" t="s">
        <v>132</v>
      </c>
      <c r="AS282" t="s">
        <v>432</v>
      </c>
      <c r="AT282" t="s">
        <v>2816</v>
      </c>
      <c r="AV282" t="s">
        <v>299</v>
      </c>
      <c r="AW282" t="s">
        <v>918</v>
      </c>
      <c r="AX282" t="s">
        <v>136</v>
      </c>
      <c r="AY282" t="s">
        <v>272</v>
      </c>
      <c r="AZ282" t="s">
        <v>273</v>
      </c>
      <c r="BA282" t="s">
        <v>2817</v>
      </c>
      <c r="BC282" t="s">
        <v>140</v>
      </c>
      <c r="BT282" s="7">
        <f t="shared" si="25"/>
        <v>0</v>
      </c>
      <c r="BU282" s="6">
        <f t="shared" si="26"/>
        <v>0</v>
      </c>
      <c r="BV282" s="6">
        <f t="shared" si="27"/>
        <v>0</v>
      </c>
      <c r="BW282" s="6">
        <f t="shared" si="28"/>
        <v>0</v>
      </c>
      <c r="BX282" s="6">
        <f t="shared" si="29"/>
        <v>0</v>
      </c>
    </row>
    <row r="283" spans="1:76" x14ac:dyDescent="0.35">
      <c r="A283" t="s">
        <v>2818</v>
      </c>
      <c r="B283" t="s">
        <v>107</v>
      </c>
      <c r="C283" t="s">
        <v>107</v>
      </c>
      <c r="E283" t="s">
        <v>108</v>
      </c>
      <c r="F283" t="s">
        <v>499</v>
      </c>
      <c r="G283" t="s">
        <v>500</v>
      </c>
      <c r="H283" t="s">
        <v>501</v>
      </c>
      <c r="I283" t="s">
        <v>341</v>
      </c>
      <c r="J283" t="s">
        <v>113</v>
      </c>
      <c r="K283" s="8" t="s">
        <v>114</v>
      </c>
      <c r="L283" t="s">
        <v>502</v>
      </c>
      <c r="M283" s="6">
        <v>348</v>
      </c>
      <c r="N283" t="s">
        <v>114</v>
      </c>
      <c r="O283" s="6">
        <v>209</v>
      </c>
      <c r="P283" t="s">
        <v>895</v>
      </c>
      <c r="Q283" s="6">
        <v>0</v>
      </c>
      <c r="R283" s="7">
        <f t="shared" si="24"/>
        <v>139</v>
      </c>
      <c r="S283" t="s">
        <v>180</v>
      </c>
      <c r="T283" t="s">
        <v>114</v>
      </c>
      <c r="U283" t="s">
        <v>180</v>
      </c>
      <c r="W283" t="s">
        <v>114</v>
      </c>
      <c r="X283" t="s">
        <v>895</v>
      </c>
      <c r="Z283" t="s">
        <v>2819</v>
      </c>
      <c r="AA283" t="s">
        <v>2820</v>
      </c>
      <c r="AB283" s="1" t="s">
        <v>2821</v>
      </c>
      <c r="AC283" t="s">
        <v>2822</v>
      </c>
      <c r="AD283" t="s">
        <v>2820</v>
      </c>
      <c r="AH283" t="s">
        <v>123</v>
      </c>
      <c r="AI283" t="s">
        <v>124</v>
      </c>
      <c r="AJ283" t="s">
        <v>2823</v>
      </c>
      <c r="AK283" t="s">
        <v>126</v>
      </c>
      <c r="AL283" t="s">
        <v>127</v>
      </c>
      <c r="AN283" t="s">
        <v>2824</v>
      </c>
      <c r="AO283" t="s">
        <v>2825</v>
      </c>
      <c r="AP283" t="s">
        <v>2826</v>
      </c>
      <c r="AQ283" t="s">
        <v>131</v>
      </c>
      <c r="AR283" t="s">
        <v>132</v>
      </c>
      <c r="AS283" t="s">
        <v>133</v>
      </c>
      <c r="AT283" t="s">
        <v>2827</v>
      </c>
      <c r="AV283" t="s">
        <v>389</v>
      </c>
      <c r="AW283" t="s">
        <v>654</v>
      </c>
      <c r="AX283" t="s">
        <v>136</v>
      </c>
      <c r="AY283" t="s">
        <v>177</v>
      </c>
      <c r="AZ283" t="s">
        <v>517</v>
      </c>
      <c r="BA283" t="s">
        <v>2828</v>
      </c>
      <c r="BC283" t="s">
        <v>140</v>
      </c>
      <c r="BT283" s="7">
        <f t="shared" si="25"/>
        <v>139</v>
      </c>
      <c r="BU283" s="6">
        <f t="shared" si="26"/>
        <v>129.90654205607476</v>
      </c>
      <c r="BV283" s="6">
        <f t="shared" si="27"/>
        <v>9.0934579439252339</v>
      </c>
      <c r="BW283" s="6">
        <f t="shared" si="28"/>
        <v>139</v>
      </c>
      <c r="BX283" s="6">
        <f t="shared" si="29"/>
        <v>0</v>
      </c>
    </row>
    <row r="284" spans="1:76" x14ac:dyDescent="0.35">
      <c r="A284" t="s">
        <v>2829</v>
      </c>
      <c r="B284" t="s">
        <v>107</v>
      </c>
      <c r="C284" t="s">
        <v>107</v>
      </c>
      <c r="E284" t="s">
        <v>108</v>
      </c>
      <c r="F284" t="s">
        <v>158</v>
      </c>
      <c r="G284" t="s">
        <v>159</v>
      </c>
      <c r="H284" t="s">
        <v>111</v>
      </c>
      <c r="I284" t="s">
        <v>341</v>
      </c>
      <c r="J284" t="s">
        <v>113</v>
      </c>
      <c r="K284" s="8" t="s">
        <v>114</v>
      </c>
      <c r="L284" t="s">
        <v>161</v>
      </c>
      <c r="M284" s="6">
        <v>459</v>
      </c>
      <c r="N284" t="s">
        <v>114</v>
      </c>
      <c r="O284" s="6">
        <v>220</v>
      </c>
      <c r="P284" t="s">
        <v>1111</v>
      </c>
      <c r="Q284" s="6">
        <v>0</v>
      </c>
      <c r="R284" s="7">
        <f t="shared" si="24"/>
        <v>239</v>
      </c>
      <c r="S284" t="s">
        <v>180</v>
      </c>
      <c r="T284" t="s">
        <v>114</v>
      </c>
      <c r="U284" t="s">
        <v>180</v>
      </c>
      <c r="W284" t="s">
        <v>114</v>
      </c>
      <c r="X284" t="s">
        <v>1111</v>
      </c>
      <c r="Z284" t="s">
        <v>2830</v>
      </c>
      <c r="AA284" t="s">
        <v>2831</v>
      </c>
      <c r="AB284" s="1" t="s">
        <v>2832</v>
      </c>
      <c r="AC284" t="s">
        <v>2833</v>
      </c>
      <c r="AD284" t="s">
        <v>2831</v>
      </c>
      <c r="AH284" t="s">
        <v>123</v>
      </c>
      <c r="AI284" t="s">
        <v>124</v>
      </c>
      <c r="AJ284" t="s">
        <v>2834</v>
      </c>
      <c r="AK284" t="s">
        <v>126</v>
      </c>
      <c r="AL284" t="s">
        <v>127</v>
      </c>
      <c r="AN284" t="s">
        <v>2835</v>
      </c>
      <c r="AO284" t="s">
        <v>2836</v>
      </c>
      <c r="AP284" t="s">
        <v>2837</v>
      </c>
      <c r="AQ284" t="s">
        <v>131</v>
      </c>
      <c r="AR284" t="s">
        <v>132</v>
      </c>
      <c r="AS284" t="s">
        <v>284</v>
      </c>
      <c r="AT284" t="s">
        <v>285</v>
      </c>
      <c r="AV284" t="s">
        <v>135</v>
      </c>
      <c r="AW284" t="s">
        <v>389</v>
      </c>
      <c r="AX284" t="s">
        <v>136</v>
      </c>
      <c r="AY284" t="s">
        <v>177</v>
      </c>
      <c r="AZ284" t="s">
        <v>138</v>
      </c>
      <c r="BA284" t="s">
        <v>2838</v>
      </c>
      <c r="BC284" t="s">
        <v>140</v>
      </c>
      <c r="BT284" s="7">
        <f t="shared" si="25"/>
        <v>239</v>
      </c>
      <c r="BU284" s="6">
        <f t="shared" si="26"/>
        <v>223.36448598130841</v>
      </c>
      <c r="BV284" s="6">
        <f t="shared" si="27"/>
        <v>15.635514018691588</v>
      </c>
      <c r="BW284" s="6">
        <f t="shared" si="28"/>
        <v>239</v>
      </c>
      <c r="BX284" s="6">
        <f t="shared" si="29"/>
        <v>0</v>
      </c>
    </row>
    <row r="285" spans="1:76" x14ac:dyDescent="0.35">
      <c r="A285" t="s">
        <v>2829</v>
      </c>
      <c r="B285" t="s">
        <v>107</v>
      </c>
      <c r="C285" t="s">
        <v>107</v>
      </c>
      <c r="E285" t="s">
        <v>108</v>
      </c>
      <c r="F285" t="s">
        <v>268</v>
      </c>
      <c r="G285" t="s">
        <v>269</v>
      </c>
      <c r="H285" t="s">
        <v>2268</v>
      </c>
      <c r="I285" t="s">
        <v>271</v>
      </c>
      <c r="J285" t="s">
        <v>113</v>
      </c>
      <c r="K285" s="8" t="s">
        <v>114</v>
      </c>
      <c r="L285" t="s">
        <v>114</v>
      </c>
      <c r="M285" s="6">
        <v>0</v>
      </c>
      <c r="N285" t="s">
        <v>114</v>
      </c>
      <c r="O285" s="6">
        <v>0</v>
      </c>
      <c r="P285" t="s">
        <v>114</v>
      </c>
      <c r="Q285" s="6">
        <v>0</v>
      </c>
      <c r="R285" s="7">
        <f t="shared" si="24"/>
        <v>0</v>
      </c>
      <c r="S285" t="s">
        <v>180</v>
      </c>
      <c r="T285" t="s">
        <v>114</v>
      </c>
      <c r="U285" t="s">
        <v>180</v>
      </c>
      <c r="W285" t="s">
        <v>114</v>
      </c>
      <c r="X285" t="s">
        <v>1111</v>
      </c>
      <c r="Z285" t="s">
        <v>2830</v>
      </c>
      <c r="AA285" t="s">
        <v>2831</v>
      </c>
      <c r="AB285" s="1" t="s">
        <v>2832</v>
      </c>
      <c r="AC285" t="s">
        <v>2833</v>
      </c>
      <c r="AD285" t="s">
        <v>2831</v>
      </c>
      <c r="AH285" t="s">
        <v>123</v>
      </c>
      <c r="AI285" t="s">
        <v>124</v>
      </c>
      <c r="AJ285" t="s">
        <v>2834</v>
      </c>
      <c r="AK285" t="s">
        <v>126</v>
      </c>
      <c r="AL285" t="s">
        <v>127</v>
      </c>
      <c r="AN285" t="s">
        <v>2835</v>
      </c>
      <c r="AO285" t="s">
        <v>2836</v>
      </c>
      <c r="AP285" t="s">
        <v>2837</v>
      </c>
      <c r="AQ285" t="s">
        <v>131</v>
      </c>
      <c r="AR285" t="s">
        <v>132</v>
      </c>
      <c r="AS285" t="s">
        <v>284</v>
      </c>
      <c r="AT285" t="s">
        <v>285</v>
      </c>
      <c r="AV285" t="s">
        <v>135</v>
      </c>
      <c r="AW285" t="s">
        <v>389</v>
      </c>
      <c r="AX285" t="s">
        <v>136</v>
      </c>
      <c r="AY285" t="s">
        <v>272</v>
      </c>
      <c r="AZ285" t="s">
        <v>273</v>
      </c>
      <c r="BA285" t="s">
        <v>2838</v>
      </c>
      <c r="BC285" t="s">
        <v>140</v>
      </c>
      <c r="BT285" s="7">
        <f t="shared" si="25"/>
        <v>0</v>
      </c>
      <c r="BU285" s="6">
        <f t="shared" si="26"/>
        <v>0</v>
      </c>
      <c r="BV285" s="6">
        <f t="shared" si="27"/>
        <v>0</v>
      </c>
      <c r="BW285" s="6">
        <f t="shared" si="28"/>
        <v>0</v>
      </c>
      <c r="BX285" s="6">
        <f t="shared" si="29"/>
        <v>0</v>
      </c>
    </row>
    <row r="286" spans="1:76" x14ac:dyDescent="0.35">
      <c r="A286" t="s">
        <v>2839</v>
      </c>
      <c r="B286" t="s">
        <v>336</v>
      </c>
      <c r="C286" t="s">
        <v>336</v>
      </c>
      <c r="D286" t="s">
        <v>337</v>
      </c>
      <c r="E286" t="s">
        <v>108</v>
      </c>
      <c r="F286" t="s">
        <v>499</v>
      </c>
      <c r="G286" t="s">
        <v>500</v>
      </c>
      <c r="H286" t="s">
        <v>501</v>
      </c>
      <c r="I286" t="s">
        <v>341</v>
      </c>
      <c r="J286" t="s">
        <v>113</v>
      </c>
      <c r="K286" s="8" t="s">
        <v>113</v>
      </c>
      <c r="L286" t="s">
        <v>502</v>
      </c>
      <c r="M286" s="6">
        <v>348</v>
      </c>
      <c r="N286" t="s">
        <v>114</v>
      </c>
      <c r="O286" s="6">
        <v>167</v>
      </c>
      <c r="P286" t="s">
        <v>2840</v>
      </c>
      <c r="Q286" s="6">
        <v>38</v>
      </c>
      <c r="R286" s="7">
        <f t="shared" si="24"/>
        <v>219</v>
      </c>
      <c r="S286" t="s">
        <v>180</v>
      </c>
      <c r="T286" t="s">
        <v>114</v>
      </c>
      <c r="U286" t="s">
        <v>114</v>
      </c>
      <c r="W286" t="s">
        <v>114</v>
      </c>
      <c r="X286" t="s">
        <v>1151</v>
      </c>
      <c r="Y286" t="s">
        <v>2840</v>
      </c>
      <c r="Z286" t="s">
        <v>2841</v>
      </c>
      <c r="AB286" s="1" t="s">
        <v>2842</v>
      </c>
      <c r="AE286" t="s">
        <v>2843</v>
      </c>
      <c r="AF286" t="s">
        <v>346</v>
      </c>
      <c r="AG286" t="s">
        <v>347</v>
      </c>
      <c r="AH286" t="s">
        <v>123</v>
      </c>
      <c r="AI286" t="s">
        <v>124</v>
      </c>
      <c r="AJ286" t="s">
        <v>2844</v>
      </c>
      <c r="AK286" t="s">
        <v>126</v>
      </c>
      <c r="AL286" t="s">
        <v>127</v>
      </c>
      <c r="AN286" t="s">
        <v>2845</v>
      </c>
      <c r="AO286" t="s">
        <v>2846</v>
      </c>
      <c r="AP286" t="s">
        <v>2847</v>
      </c>
      <c r="AQ286" t="s">
        <v>131</v>
      </c>
      <c r="AR286" t="s">
        <v>132</v>
      </c>
      <c r="AS286" t="s">
        <v>2848</v>
      </c>
      <c r="AT286" t="s">
        <v>2849</v>
      </c>
      <c r="AV286" t="s">
        <v>2850</v>
      </c>
      <c r="AW286" t="s">
        <v>798</v>
      </c>
      <c r="AX286" t="s">
        <v>136</v>
      </c>
      <c r="AY286" t="s">
        <v>177</v>
      </c>
      <c r="AZ286" t="s">
        <v>517</v>
      </c>
      <c r="BA286" t="s">
        <v>2851</v>
      </c>
      <c r="BC286" t="s">
        <v>140</v>
      </c>
      <c r="BT286" s="7">
        <f t="shared" si="25"/>
        <v>219</v>
      </c>
      <c r="BU286" s="6">
        <f t="shared" si="26"/>
        <v>204.67289719626166</v>
      </c>
      <c r="BV286" s="6">
        <f t="shared" si="27"/>
        <v>14.327102803738317</v>
      </c>
      <c r="BW286" s="6">
        <f t="shared" si="28"/>
        <v>218.99999999999997</v>
      </c>
      <c r="BX286" s="6">
        <f t="shared" si="29"/>
        <v>0</v>
      </c>
    </row>
    <row r="287" spans="1:76" x14ac:dyDescent="0.35">
      <c r="A287" t="s">
        <v>2852</v>
      </c>
      <c r="B287" t="s">
        <v>107</v>
      </c>
      <c r="C287" t="s">
        <v>107</v>
      </c>
      <c r="E287" t="s">
        <v>108</v>
      </c>
      <c r="F287" t="s">
        <v>158</v>
      </c>
      <c r="G287" t="s">
        <v>159</v>
      </c>
      <c r="H287" t="s">
        <v>111</v>
      </c>
      <c r="I287" t="s">
        <v>341</v>
      </c>
      <c r="J287" t="s">
        <v>113</v>
      </c>
      <c r="K287" s="8" t="s">
        <v>114</v>
      </c>
      <c r="L287" t="s">
        <v>161</v>
      </c>
      <c r="M287" s="6">
        <v>459</v>
      </c>
      <c r="N287" t="s">
        <v>114</v>
      </c>
      <c r="O287" s="6">
        <v>220</v>
      </c>
      <c r="P287" t="s">
        <v>1111</v>
      </c>
      <c r="Q287" s="6">
        <v>0</v>
      </c>
      <c r="R287" s="7">
        <f t="shared" si="24"/>
        <v>239</v>
      </c>
      <c r="S287" t="s">
        <v>180</v>
      </c>
      <c r="T287" t="s">
        <v>114</v>
      </c>
      <c r="U287" t="s">
        <v>180</v>
      </c>
      <c r="W287" t="s">
        <v>114</v>
      </c>
      <c r="X287" t="s">
        <v>1111</v>
      </c>
      <c r="Z287" t="s">
        <v>2853</v>
      </c>
      <c r="AA287" t="s">
        <v>2854</v>
      </c>
      <c r="AB287" s="1" t="s">
        <v>2855</v>
      </c>
      <c r="AC287" t="s">
        <v>2856</v>
      </c>
      <c r="AD287" t="s">
        <v>2857</v>
      </c>
      <c r="AH287" t="s">
        <v>123</v>
      </c>
      <c r="AI287" t="s">
        <v>124</v>
      </c>
      <c r="AJ287" t="s">
        <v>2858</v>
      </c>
      <c r="AK287" t="s">
        <v>126</v>
      </c>
      <c r="AL287" t="s">
        <v>127</v>
      </c>
      <c r="AN287" t="s">
        <v>2859</v>
      </c>
      <c r="AO287" t="s">
        <v>2860</v>
      </c>
      <c r="AP287" t="s">
        <v>2861</v>
      </c>
      <c r="AQ287" t="s">
        <v>131</v>
      </c>
      <c r="AR287" t="s">
        <v>132</v>
      </c>
      <c r="AS287" t="s">
        <v>432</v>
      </c>
      <c r="AT287" t="s">
        <v>2862</v>
      </c>
      <c r="AV287" t="s">
        <v>758</v>
      </c>
      <c r="AX287" t="s">
        <v>155</v>
      </c>
      <c r="AY287" t="s">
        <v>177</v>
      </c>
      <c r="AZ287" t="s">
        <v>138</v>
      </c>
      <c r="BA287" t="s">
        <v>2863</v>
      </c>
      <c r="BC287" t="s">
        <v>140</v>
      </c>
      <c r="BT287" s="7">
        <f t="shared" si="25"/>
        <v>239</v>
      </c>
      <c r="BU287" s="6">
        <f t="shared" si="26"/>
        <v>223.36448598130841</v>
      </c>
      <c r="BV287" s="6">
        <f t="shared" si="27"/>
        <v>15.635514018691588</v>
      </c>
      <c r="BW287" s="6">
        <f t="shared" si="28"/>
        <v>239</v>
      </c>
      <c r="BX287" s="6">
        <f t="shared" si="29"/>
        <v>0</v>
      </c>
    </row>
    <row r="288" spans="1:76" x14ac:dyDescent="0.35">
      <c r="A288" t="s">
        <v>2852</v>
      </c>
      <c r="B288" t="s">
        <v>107</v>
      </c>
      <c r="C288" t="s">
        <v>107</v>
      </c>
      <c r="E288" t="s">
        <v>108</v>
      </c>
      <c r="F288" t="s">
        <v>268</v>
      </c>
      <c r="G288" t="s">
        <v>269</v>
      </c>
      <c r="H288" t="s">
        <v>2268</v>
      </c>
      <c r="I288" t="s">
        <v>271</v>
      </c>
      <c r="J288" t="s">
        <v>113</v>
      </c>
      <c r="K288" s="8" t="s">
        <v>114</v>
      </c>
      <c r="L288" t="s">
        <v>114</v>
      </c>
      <c r="M288" s="6">
        <v>0</v>
      </c>
      <c r="N288" t="s">
        <v>114</v>
      </c>
      <c r="O288" s="6">
        <v>0</v>
      </c>
      <c r="P288" t="s">
        <v>114</v>
      </c>
      <c r="Q288" s="6">
        <v>0</v>
      </c>
      <c r="R288" s="7">
        <f t="shared" si="24"/>
        <v>0</v>
      </c>
      <c r="S288" t="s">
        <v>180</v>
      </c>
      <c r="T288" t="s">
        <v>114</v>
      </c>
      <c r="U288" t="s">
        <v>180</v>
      </c>
      <c r="W288" t="s">
        <v>114</v>
      </c>
      <c r="X288" t="s">
        <v>1111</v>
      </c>
      <c r="Z288" t="s">
        <v>2853</v>
      </c>
      <c r="AA288" t="s">
        <v>2854</v>
      </c>
      <c r="AB288" s="1" t="s">
        <v>2855</v>
      </c>
      <c r="AC288" t="s">
        <v>2856</v>
      </c>
      <c r="AD288" t="s">
        <v>2857</v>
      </c>
      <c r="AH288" t="s">
        <v>123</v>
      </c>
      <c r="AI288" t="s">
        <v>124</v>
      </c>
      <c r="AJ288" t="s">
        <v>2858</v>
      </c>
      <c r="AK288" t="s">
        <v>126</v>
      </c>
      <c r="AL288" t="s">
        <v>127</v>
      </c>
      <c r="AN288" t="s">
        <v>2859</v>
      </c>
      <c r="AO288" t="s">
        <v>2860</v>
      </c>
      <c r="AP288" t="s">
        <v>2861</v>
      </c>
      <c r="AQ288" t="s">
        <v>131</v>
      </c>
      <c r="AR288" t="s">
        <v>132</v>
      </c>
      <c r="AS288" t="s">
        <v>432</v>
      </c>
      <c r="AT288" t="s">
        <v>2862</v>
      </c>
      <c r="AV288" t="s">
        <v>758</v>
      </c>
      <c r="AX288" t="s">
        <v>155</v>
      </c>
      <c r="AY288" t="s">
        <v>272</v>
      </c>
      <c r="AZ288" t="s">
        <v>273</v>
      </c>
      <c r="BA288" t="s">
        <v>2863</v>
      </c>
      <c r="BC288" t="s">
        <v>140</v>
      </c>
      <c r="BT288" s="7">
        <f t="shared" si="25"/>
        <v>0</v>
      </c>
      <c r="BU288" s="6">
        <f t="shared" si="26"/>
        <v>0</v>
      </c>
      <c r="BV288" s="6">
        <f t="shared" si="27"/>
        <v>0</v>
      </c>
      <c r="BW288" s="6">
        <f t="shared" si="28"/>
        <v>0</v>
      </c>
      <c r="BX288" s="6">
        <f t="shared" si="29"/>
        <v>0</v>
      </c>
    </row>
    <row r="289" spans="1:76" x14ac:dyDescent="0.35">
      <c r="A289" t="s">
        <v>2864</v>
      </c>
      <c r="B289" t="s">
        <v>107</v>
      </c>
      <c r="C289" t="s">
        <v>107</v>
      </c>
      <c r="E289" t="s">
        <v>108</v>
      </c>
      <c r="F289" t="s">
        <v>268</v>
      </c>
      <c r="G289" t="s">
        <v>269</v>
      </c>
      <c r="H289" t="s">
        <v>2268</v>
      </c>
      <c r="I289" t="s">
        <v>271</v>
      </c>
      <c r="J289" t="s">
        <v>113</v>
      </c>
      <c r="K289" s="8" t="s">
        <v>114</v>
      </c>
      <c r="L289" t="s">
        <v>114</v>
      </c>
      <c r="M289" s="6">
        <v>0</v>
      </c>
      <c r="N289" t="s">
        <v>114</v>
      </c>
      <c r="O289" s="6">
        <v>0</v>
      </c>
      <c r="P289" t="s">
        <v>114</v>
      </c>
      <c r="Q289" s="6">
        <v>0</v>
      </c>
      <c r="R289" s="7">
        <f t="shared" si="24"/>
        <v>0</v>
      </c>
      <c r="S289" t="s">
        <v>142</v>
      </c>
      <c r="T289" t="s">
        <v>114</v>
      </c>
      <c r="U289" t="s">
        <v>142</v>
      </c>
      <c r="W289" t="s">
        <v>114</v>
      </c>
      <c r="X289" t="s">
        <v>1111</v>
      </c>
      <c r="Z289" t="s">
        <v>2865</v>
      </c>
      <c r="AA289" t="s">
        <v>2866</v>
      </c>
      <c r="AB289" s="1" t="s">
        <v>2867</v>
      </c>
      <c r="AC289" t="s">
        <v>2868</v>
      </c>
      <c r="AD289" t="s">
        <v>2866</v>
      </c>
      <c r="AH289" t="s">
        <v>123</v>
      </c>
      <c r="AI289" t="s">
        <v>124</v>
      </c>
      <c r="AJ289" t="s">
        <v>2869</v>
      </c>
      <c r="AK289" t="s">
        <v>126</v>
      </c>
      <c r="AL289" t="s">
        <v>127</v>
      </c>
      <c r="AN289" t="s">
        <v>2870</v>
      </c>
      <c r="AO289" t="s">
        <v>2871</v>
      </c>
      <c r="AP289" t="s">
        <v>2872</v>
      </c>
      <c r="AQ289" t="s">
        <v>131</v>
      </c>
      <c r="AR289" t="s">
        <v>403</v>
      </c>
      <c r="AS289" t="s">
        <v>466</v>
      </c>
      <c r="AT289" t="s">
        <v>467</v>
      </c>
      <c r="AV289" t="s">
        <v>175</v>
      </c>
      <c r="AX289" t="s">
        <v>136</v>
      </c>
      <c r="AY289" t="s">
        <v>272</v>
      </c>
      <c r="AZ289" t="s">
        <v>273</v>
      </c>
      <c r="BA289" t="s">
        <v>2873</v>
      </c>
      <c r="BC289" t="s">
        <v>140</v>
      </c>
      <c r="BT289" s="7">
        <f t="shared" si="25"/>
        <v>0</v>
      </c>
      <c r="BU289" s="6">
        <f t="shared" si="26"/>
        <v>0</v>
      </c>
      <c r="BV289" s="6">
        <f t="shared" si="27"/>
        <v>0</v>
      </c>
      <c r="BW289" s="6">
        <f t="shared" si="28"/>
        <v>0</v>
      </c>
      <c r="BX289" s="6">
        <f t="shared" si="29"/>
        <v>0</v>
      </c>
    </row>
    <row r="290" spans="1:76" x14ac:dyDescent="0.35">
      <c r="A290" t="s">
        <v>2864</v>
      </c>
      <c r="B290" t="s">
        <v>107</v>
      </c>
      <c r="C290" t="s">
        <v>107</v>
      </c>
      <c r="E290" t="s">
        <v>108</v>
      </c>
      <c r="F290" t="s">
        <v>158</v>
      </c>
      <c r="G290" t="s">
        <v>159</v>
      </c>
      <c r="H290" t="s">
        <v>111</v>
      </c>
      <c r="I290" t="s">
        <v>341</v>
      </c>
      <c r="J290" t="s">
        <v>113</v>
      </c>
      <c r="K290" s="8" t="s">
        <v>114</v>
      </c>
      <c r="L290" t="s">
        <v>161</v>
      </c>
      <c r="M290" s="6">
        <v>459</v>
      </c>
      <c r="N290" t="s">
        <v>114</v>
      </c>
      <c r="O290" s="6">
        <v>220</v>
      </c>
      <c r="P290" t="s">
        <v>1111</v>
      </c>
      <c r="Q290" s="6">
        <v>0</v>
      </c>
      <c r="R290" s="7">
        <f t="shared" si="24"/>
        <v>239</v>
      </c>
      <c r="S290" t="s">
        <v>142</v>
      </c>
      <c r="T290" t="s">
        <v>114</v>
      </c>
      <c r="U290" t="s">
        <v>142</v>
      </c>
      <c r="W290" t="s">
        <v>114</v>
      </c>
      <c r="X290" t="s">
        <v>1111</v>
      </c>
      <c r="Z290" t="s">
        <v>2865</v>
      </c>
      <c r="AA290" t="s">
        <v>2866</v>
      </c>
      <c r="AB290" s="1" t="s">
        <v>2867</v>
      </c>
      <c r="AC290" t="s">
        <v>2868</v>
      </c>
      <c r="AD290" t="s">
        <v>2866</v>
      </c>
      <c r="AH290" t="s">
        <v>123</v>
      </c>
      <c r="AI290" t="s">
        <v>124</v>
      </c>
      <c r="AJ290" t="s">
        <v>2869</v>
      </c>
      <c r="AK290" t="s">
        <v>126</v>
      </c>
      <c r="AL290" t="s">
        <v>127</v>
      </c>
      <c r="AN290" t="s">
        <v>2870</v>
      </c>
      <c r="AO290" t="s">
        <v>2871</v>
      </c>
      <c r="AP290" t="s">
        <v>2872</v>
      </c>
      <c r="AQ290" t="s">
        <v>131</v>
      </c>
      <c r="AR290" t="s">
        <v>403</v>
      </c>
      <c r="AS290" t="s">
        <v>466</v>
      </c>
      <c r="AT290" t="s">
        <v>467</v>
      </c>
      <c r="AV290" t="s">
        <v>175</v>
      </c>
      <c r="AX290" t="s">
        <v>136</v>
      </c>
      <c r="AY290" t="s">
        <v>177</v>
      </c>
      <c r="AZ290" t="s">
        <v>138</v>
      </c>
      <c r="BA290" t="s">
        <v>2873</v>
      </c>
      <c r="BC290" t="s">
        <v>140</v>
      </c>
      <c r="BT290" s="7">
        <f t="shared" si="25"/>
        <v>239</v>
      </c>
      <c r="BU290" s="6">
        <f t="shared" si="26"/>
        <v>223.36448598130841</v>
      </c>
      <c r="BV290" s="6">
        <f t="shared" si="27"/>
        <v>15.635514018691588</v>
      </c>
      <c r="BW290" s="6">
        <f t="shared" si="28"/>
        <v>239</v>
      </c>
      <c r="BX290" s="6">
        <f t="shared" si="29"/>
        <v>0</v>
      </c>
    </row>
    <row r="291" spans="1:76" x14ac:dyDescent="0.35">
      <c r="A291" t="s">
        <v>2874</v>
      </c>
      <c r="B291" t="s">
        <v>107</v>
      </c>
      <c r="C291" t="s">
        <v>107</v>
      </c>
      <c r="E291" t="s">
        <v>108</v>
      </c>
      <c r="F291" t="s">
        <v>158</v>
      </c>
      <c r="G291" t="s">
        <v>159</v>
      </c>
      <c r="H291" t="s">
        <v>111</v>
      </c>
      <c r="I291" t="s">
        <v>341</v>
      </c>
      <c r="J291" t="s">
        <v>113</v>
      </c>
      <c r="K291" s="8" t="s">
        <v>114</v>
      </c>
      <c r="L291" t="s">
        <v>161</v>
      </c>
      <c r="M291" s="6">
        <v>459</v>
      </c>
      <c r="N291" t="s">
        <v>1679</v>
      </c>
      <c r="O291" s="6">
        <v>220</v>
      </c>
      <c r="P291" t="s">
        <v>1680</v>
      </c>
      <c r="Q291" s="6">
        <v>0</v>
      </c>
      <c r="R291" s="7">
        <f t="shared" si="24"/>
        <v>239</v>
      </c>
      <c r="S291" t="s">
        <v>180</v>
      </c>
      <c r="T291" t="s">
        <v>114</v>
      </c>
      <c r="U291" t="s">
        <v>180</v>
      </c>
      <c r="W291" t="s">
        <v>114</v>
      </c>
      <c r="X291" t="s">
        <v>1680</v>
      </c>
      <c r="Z291" t="s">
        <v>2875</v>
      </c>
      <c r="AA291" t="s">
        <v>2876</v>
      </c>
      <c r="AB291" s="1" t="s">
        <v>2877</v>
      </c>
      <c r="AC291" t="s">
        <v>2878</v>
      </c>
      <c r="AD291" t="s">
        <v>2879</v>
      </c>
      <c r="AH291" t="s">
        <v>123</v>
      </c>
      <c r="AI291" t="s">
        <v>124</v>
      </c>
      <c r="AJ291" t="s">
        <v>2880</v>
      </c>
      <c r="AK291" t="s">
        <v>126</v>
      </c>
      <c r="AL291" t="s">
        <v>127</v>
      </c>
      <c r="AN291" t="s">
        <v>2881</v>
      </c>
      <c r="AO291" t="s">
        <v>2882</v>
      </c>
      <c r="AP291" t="s">
        <v>2883</v>
      </c>
      <c r="AQ291" t="s">
        <v>131</v>
      </c>
      <c r="AR291" t="s">
        <v>132</v>
      </c>
      <c r="AS291" t="s">
        <v>352</v>
      </c>
      <c r="AT291" t="s">
        <v>667</v>
      </c>
      <c r="AV291" t="s">
        <v>1478</v>
      </c>
      <c r="AX291" t="s">
        <v>655</v>
      </c>
      <c r="AY291" t="s">
        <v>177</v>
      </c>
      <c r="AZ291" t="s">
        <v>138</v>
      </c>
      <c r="BA291" t="s">
        <v>2884</v>
      </c>
      <c r="BC291" t="s">
        <v>140</v>
      </c>
      <c r="BT291" s="7">
        <f t="shared" si="25"/>
        <v>239</v>
      </c>
      <c r="BU291" s="6">
        <f t="shared" si="26"/>
        <v>223.36448598130841</v>
      </c>
      <c r="BV291" s="6">
        <f t="shared" si="27"/>
        <v>15.635514018691588</v>
      </c>
      <c r="BW291" s="6">
        <f t="shared" si="28"/>
        <v>239</v>
      </c>
      <c r="BX291" s="6">
        <f t="shared" si="29"/>
        <v>0</v>
      </c>
    </row>
    <row r="292" spans="1:76" x14ac:dyDescent="0.35">
      <c r="A292" t="s">
        <v>2874</v>
      </c>
      <c r="B292" t="s">
        <v>107</v>
      </c>
      <c r="C292" t="s">
        <v>107</v>
      </c>
      <c r="E292" t="s">
        <v>108</v>
      </c>
      <c r="F292" t="s">
        <v>268</v>
      </c>
      <c r="G292" t="s">
        <v>269</v>
      </c>
      <c r="H292" t="s">
        <v>2268</v>
      </c>
      <c r="I292" t="s">
        <v>271</v>
      </c>
      <c r="J292" t="s">
        <v>113</v>
      </c>
      <c r="K292" s="8" t="s">
        <v>114</v>
      </c>
      <c r="L292" t="s">
        <v>114</v>
      </c>
      <c r="M292" s="6">
        <v>0</v>
      </c>
      <c r="N292" t="s">
        <v>114</v>
      </c>
      <c r="O292" s="6">
        <v>0</v>
      </c>
      <c r="P292" t="s">
        <v>114</v>
      </c>
      <c r="Q292" s="6">
        <v>0</v>
      </c>
      <c r="R292" s="7">
        <f t="shared" si="24"/>
        <v>0</v>
      </c>
      <c r="S292" t="s">
        <v>180</v>
      </c>
      <c r="T292" t="s">
        <v>114</v>
      </c>
      <c r="U292" t="s">
        <v>180</v>
      </c>
      <c r="W292" t="s">
        <v>114</v>
      </c>
      <c r="X292" t="s">
        <v>1680</v>
      </c>
      <c r="Z292" t="s">
        <v>2875</v>
      </c>
      <c r="AA292" t="s">
        <v>2876</v>
      </c>
      <c r="AB292" s="1" t="s">
        <v>2877</v>
      </c>
      <c r="AC292" t="s">
        <v>2878</v>
      </c>
      <c r="AD292" t="s">
        <v>2879</v>
      </c>
      <c r="AH292" t="s">
        <v>123</v>
      </c>
      <c r="AI292" t="s">
        <v>124</v>
      </c>
      <c r="AJ292" t="s">
        <v>2880</v>
      </c>
      <c r="AK292" t="s">
        <v>126</v>
      </c>
      <c r="AL292" t="s">
        <v>127</v>
      </c>
      <c r="AN292" t="s">
        <v>2881</v>
      </c>
      <c r="AO292" t="s">
        <v>2882</v>
      </c>
      <c r="AP292" t="s">
        <v>2883</v>
      </c>
      <c r="AQ292" t="s">
        <v>131</v>
      </c>
      <c r="AR292" t="s">
        <v>132</v>
      </c>
      <c r="AS292" t="s">
        <v>352</v>
      </c>
      <c r="AT292" t="s">
        <v>667</v>
      </c>
      <c r="AV292" t="s">
        <v>1478</v>
      </c>
      <c r="AX292" t="s">
        <v>655</v>
      </c>
      <c r="AY292" t="s">
        <v>272</v>
      </c>
      <c r="AZ292" t="s">
        <v>273</v>
      </c>
      <c r="BA292" t="s">
        <v>2884</v>
      </c>
      <c r="BC292" t="s">
        <v>140</v>
      </c>
      <c r="BT292" s="7">
        <f t="shared" si="25"/>
        <v>0</v>
      </c>
      <c r="BU292" s="6">
        <f t="shared" si="26"/>
        <v>0</v>
      </c>
      <c r="BV292" s="6">
        <f t="shared" si="27"/>
        <v>0</v>
      </c>
      <c r="BW292" s="6">
        <f t="shared" si="28"/>
        <v>0</v>
      </c>
      <c r="BX292" s="6">
        <f t="shared" si="29"/>
        <v>0</v>
      </c>
    </row>
    <row r="293" spans="1:76" x14ac:dyDescent="0.35">
      <c r="A293" t="s">
        <v>2885</v>
      </c>
      <c r="B293" t="s">
        <v>107</v>
      </c>
      <c r="C293" t="s">
        <v>107</v>
      </c>
      <c r="E293" t="s">
        <v>108</v>
      </c>
      <c r="F293" t="s">
        <v>158</v>
      </c>
      <c r="G293" t="s">
        <v>159</v>
      </c>
      <c r="H293" t="s">
        <v>111</v>
      </c>
      <c r="I293" t="s">
        <v>341</v>
      </c>
      <c r="J293" t="s">
        <v>1548</v>
      </c>
      <c r="K293" s="8" t="s">
        <v>114</v>
      </c>
      <c r="L293" t="s">
        <v>161</v>
      </c>
      <c r="M293" s="6">
        <v>918</v>
      </c>
      <c r="N293" t="s">
        <v>114</v>
      </c>
      <c r="O293" s="6">
        <v>440</v>
      </c>
      <c r="P293" t="s">
        <v>2886</v>
      </c>
      <c r="Q293" s="6">
        <v>0</v>
      </c>
      <c r="R293" s="7">
        <f t="shared" si="24"/>
        <v>478</v>
      </c>
      <c r="S293" t="s">
        <v>180</v>
      </c>
      <c r="T293" t="s">
        <v>114</v>
      </c>
      <c r="U293" t="s">
        <v>180</v>
      </c>
      <c r="W293" t="s">
        <v>114</v>
      </c>
      <c r="X293" t="s">
        <v>2886</v>
      </c>
      <c r="Z293" t="s">
        <v>2887</v>
      </c>
      <c r="AA293" t="s">
        <v>2888</v>
      </c>
      <c r="AB293" s="1" t="s">
        <v>2889</v>
      </c>
      <c r="AC293" t="s">
        <v>2890</v>
      </c>
      <c r="AD293" t="s">
        <v>2888</v>
      </c>
      <c r="AH293" t="s">
        <v>123</v>
      </c>
      <c r="AI293" t="s">
        <v>124</v>
      </c>
      <c r="AJ293" t="s">
        <v>2891</v>
      </c>
      <c r="AK293" t="s">
        <v>126</v>
      </c>
      <c r="AL293" t="s">
        <v>127</v>
      </c>
      <c r="AN293" t="s">
        <v>2892</v>
      </c>
      <c r="AO293" t="s">
        <v>2893</v>
      </c>
      <c r="AP293" t="s">
        <v>2894</v>
      </c>
      <c r="AQ293" t="s">
        <v>131</v>
      </c>
      <c r="AR293" t="s">
        <v>132</v>
      </c>
      <c r="AS293" t="s">
        <v>989</v>
      </c>
      <c r="AT293" t="s">
        <v>2895</v>
      </c>
      <c r="AV293" t="s">
        <v>1072</v>
      </c>
      <c r="AX293" t="s">
        <v>136</v>
      </c>
      <c r="AY293" t="s">
        <v>1562</v>
      </c>
      <c r="AZ293" t="s">
        <v>138</v>
      </c>
      <c r="BA293" t="s">
        <v>2896</v>
      </c>
      <c r="BC293" t="s">
        <v>140</v>
      </c>
      <c r="BT293" s="7">
        <f t="shared" si="25"/>
        <v>478</v>
      </c>
      <c r="BU293" s="6">
        <f t="shared" si="26"/>
        <v>446.72897196261681</v>
      </c>
      <c r="BV293" s="6">
        <f t="shared" si="27"/>
        <v>31.271028037383175</v>
      </c>
      <c r="BW293" s="6">
        <f t="shared" si="28"/>
        <v>478</v>
      </c>
      <c r="BX293" s="6">
        <f t="shared" si="29"/>
        <v>0</v>
      </c>
    </row>
    <row r="294" spans="1:76" x14ac:dyDescent="0.35">
      <c r="A294" t="s">
        <v>2885</v>
      </c>
      <c r="B294" t="s">
        <v>107</v>
      </c>
      <c r="C294" t="s">
        <v>107</v>
      </c>
      <c r="E294" t="s">
        <v>108</v>
      </c>
      <c r="F294" t="s">
        <v>268</v>
      </c>
      <c r="G294" t="s">
        <v>269</v>
      </c>
      <c r="H294" t="s">
        <v>2268</v>
      </c>
      <c r="I294" t="s">
        <v>271</v>
      </c>
      <c r="J294" t="s">
        <v>113</v>
      </c>
      <c r="K294" s="8" t="s">
        <v>114</v>
      </c>
      <c r="L294" t="s">
        <v>114</v>
      </c>
      <c r="M294" s="6">
        <v>0</v>
      </c>
      <c r="N294" t="s">
        <v>114</v>
      </c>
      <c r="O294" s="6">
        <v>0</v>
      </c>
      <c r="P294" t="s">
        <v>114</v>
      </c>
      <c r="Q294" s="6">
        <v>0</v>
      </c>
      <c r="R294" s="7">
        <f t="shared" si="24"/>
        <v>0</v>
      </c>
      <c r="S294" t="s">
        <v>180</v>
      </c>
      <c r="T294" t="s">
        <v>114</v>
      </c>
      <c r="U294" t="s">
        <v>180</v>
      </c>
      <c r="W294" t="s">
        <v>114</v>
      </c>
      <c r="X294" t="s">
        <v>2886</v>
      </c>
      <c r="Z294" t="s">
        <v>2887</v>
      </c>
      <c r="AA294" t="s">
        <v>2888</v>
      </c>
      <c r="AB294" s="1" t="s">
        <v>2889</v>
      </c>
      <c r="AC294" t="s">
        <v>2890</v>
      </c>
      <c r="AD294" t="s">
        <v>2888</v>
      </c>
      <c r="AH294" t="s">
        <v>123</v>
      </c>
      <c r="AI294" t="s">
        <v>124</v>
      </c>
      <c r="AJ294" t="s">
        <v>2891</v>
      </c>
      <c r="AK294" t="s">
        <v>126</v>
      </c>
      <c r="AL294" t="s">
        <v>127</v>
      </c>
      <c r="AN294" t="s">
        <v>2892</v>
      </c>
      <c r="AO294" t="s">
        <v>2893</v>
      </c>
      <c r="AP294" t="s">
        <v>2894</v>
      </c>
      <c r="AQ294" t="s">
        <v>131</v>
      </c>
      <c r="AR294" t="s">
        <v>132</v>
      </c>
      <c r="AS294" t="s">
        <v>989</v>
      </c>
      <c r="AT294" t="s">
        <v>2895</v>
      </c>
      <c r="AV294" t="s">
        <v>1072</v>
      </c>
      <c r="AX294" t="s">
        <v>136</v>
      </c>
      <c r="AY294" t="s">
        <v>272</v>
      </c>
      <c r="AZ294" t="s">
        <v>273</v>
      </c>
      <c r="BA294" t="s">
        <v>2896</v>
      </c>
      <c r="BC294" t="s">
        <v>140</v>
      </c>
      <c r="BT294" s="7">
        <f t="shared" si="25"/>
        <v>0</v>
      </c>
      <c r="BU294" s="6">
        <f t="shared" si="26"/>
        <v>0</v>
      </c>
      <c r="BV294" s="6">
        <f t="shared" si="27"/>
        <v>0</v>
      </c>
      <c r="BW294" s="6">
        <f t="shared" si="28"/>
        <v>0</v>
      </c>
      <c r="BX294" s="6">
        <f t="shared" si="29"/>
        <v>0</v>
      </c>
    </row>
    <row r="295" spans="1:76" x14ac:dyDescent="0.35">
      <c r="A295" t="s">
        <v>2897</v>
      </c>
      <c r="B295" t="s">
        <v>107</v>
      </c>
      <c r="C295" t="s">
        <v>107</v>
      </c>
      <c r="E295" t="s">
        <v>108</v>
      </c>
      <c r="F295" t="s">
        <v>158</v>
      </c>
      <c r="G295" t="s">
        <v>159</v>
      </c>
      <c r="H295" t="s">
        <v>111</v>
      </c>
      <c r="I295" t="s">
        <v>341</v>
      </c>
      <c r="J295" t="s">
        <v>113</v>
      </c>
      <c r="K295" s="8" t="s">
        <v>114</v>
      </c>
      <c r="L295" t="s">
        <v>161</v>
      </c>
      <c r="M295" s="6">
        <v>459</v>
      </c>
      <c r="N295" t="s">
        <v>114</v>
      </c>
      <c r="O295" s="6">
        <v>220</v>
      </c>
      <c r="P295" t="s">
        <v>1111</v>
      </c>
      <c r="Q295" s="6">
        <v>0</v>
      </c>
      <c r="R295" s="7">
        <f t="shared" si="24"/>
        <v>239</v>
      </c>
      <c r="S295" t="s">
        <v>180</v>
      </c>
      <c r="T295" t="s">
        <v>114</v>
      </c>
      <c r="U295" t="s">
        <v>180</v>
      </c>
      <c r="W295" t="s">
        <v>114</v>
      </c>
      <c r="X295" t="s">
        <v>1111</v>
      </c>
      <c r="Z295" t="s">
        <v>2898</v>
      </c>
      <c r="AA295" t="s">
        <v>2899</v>
      </c>
      <c r="AB295" s="1" t="s">
        <v>2900</v>
      </c>
      <c r="AC295" t="s">
        <v>2901</v>
      </c>
      <c r="AD295" t="s">
        <v>2899</v>
      </c>
      <c r="AH295" t="s">
        <v>123</v>
      </c>
      <c r="AI295" t="s">
        <v>124</v>
      </c>
      <c r="AJ295" t="s">
        <v>2902</v>
      </c>
      <c r="AK295" t="s">
        <v>126</v>
      </c>
      <c r="AL295" t="s">
        <v>127</v>
      </c>
      <c r="AN295" t="s">
        <v>2903</v>
      </c>
      <c r="AO295" t="s">
        <v>2904</v>
      </c>
      <c r="AP295" t="s">
        <v>2905</v>
      </c>
      <c r="AQ295" t="s">
        <v>131</v>
      </c>
      <c r="AR295" t="s">
        <v>132</v>
      </c>
      <c r="AS295" t="s">
        <v>2906</v>
      </c>
      <c r="AT295" t="s">
        <v>2907</v>
      </c>
      <c r="AV295" t="s">
        <v>654</v>
      </c>
      <c r="AX295" t="s">
        <v>136</v>
      </c>
      <c r="AY295" t="s">
        <v>177</v>
      </c>
      <c r="AZ295" t="s">
        <v>138</v>
      </c>
      <c r="BA295" t="s">
        <v>2908</v>
      </c>
      <c r="BC295" t="s">
        <v>140</v>
      </c>
      <c r="BT295" s="7">
        <f t="shared" si="25"/>
        <v>239</v>
      </c>
      <c r="BU295" s="6">
        <f t="shared" si="26"/>
        <v>223.36448598130841</v>
      </c>
      <c r="BV295" s="6">
        <f t="shared" si="27"/>
        <v>15.635514018691588</v>
      </c>
      <c r="BW295" s="6">
        <f t="shared" si="28"/>
        <v>239</v>
      </c>
      <c r="BX295" s="6">
        <f t="shared" si="29"/>
        <v>0</v>
      </c>
    </row>
    <row r="296" spans="1:76" x14ac:dyDescent="0.35">
      <c r="A296" t="s">
        <v>2897</v>
      </c>
      <c r="B296" t="s">
        <v>107</v>
      </c>
      <c r="C296" t="s">
        <v>107</v>
      </c>
      <c r="E296" t="s">
        <v>108</v>
      </c>
      <c r="F296" t="s">
        <v>268</v>
      </c>
      <c r="G296" t="s">
        <v>269</v>
      </c>
      <c r="H296" t="s">
        <v>2268</v>
      </c>
      <c r="I296" t="s">
        <v>271</v>
      </c>
      <c r="J296" t="s">
        <v>113</v>
      </c>
      <c r="K296" s="8" t="s">
        <v>114</v>
      </c>
      <c r="L296" t="s">
        <v>114</v>
      </c>
      <c r="M296" s="6">
        <v>0</v>
      </c>
      <c r="N296" t="s">
        <v>114</v>
      </c>
      <c r="O296" s="6">
        <v>0</v>
      </c>
      <c r="P296" t="s">
        <v>114</v>
      </c>
      <c r="Q296" s="6">
        <v>0</v>
      </c>
      <c r="R296" s="7">
        <f t="shared" si="24"/>
        <v>0</v>
      </c>
      <c r="S296" t="s">
        <v>180</v>
      </c>
      <c r="T296" t="s">
        <v>114</v>
      </c>
      <c r="U296" t="s">
        <v>180</v>
      </c>
      <c r="W296" t="s">
        <v>114</v>
      </c>
      <c r="X296" t="s">
        <v>1111</v>
      </c>
      <c r="Z296" t="s">
        <v>2898</v>
      </c>
      <c r="AA296" t="s">
        <v>2899</v>
      </c>
      <c r="AB296" s="1" t="s">
        <v>2900</v>
      </c>
      <c r="AC296" t="s">
        <v>2901</v>
      </c>
      <c r="AD296" t="s">
        <v>2899</v>
      </c>
      <c r="AH296" t="s">
        <v>123</v>
      </c>
      <c r="AI296" t="s">
        <v>124</v>
      </c>
      <c r="AJ296" t="s">
        <v>2902</v>
      </c>
      <c r="AK296" t="s">
        <v>126</v>
      </c>
      <c r="AL296" t="s">
        <v>127</v>
      </c>
      <c r="AN296" t="s">
        <v>2903</v>
      </c>
      <c r="AO296" t="s">
        <v>2904</v>
      </c>
      <c r="AP296" t="s">
        <v>2905</v>
      </c>
      <c r="AQ296" t="s">
        <v>131</v>
      </c>
      <c r="AR296" t="s">
        <v>132</v>
      </c>
      <c r="AS296" t="s">
        <v>2906</v>
      </c>
      <c r="AT296" t="s">
        <v>2907</v>
      </c>
      <c r="AV296" t="s">
        <v>654</v>
      </c>
      <c r="AX296" t="s">
        <v>136</v>
      </c>
      <c r="AY296" t="s">
        <v>272</v>
      </c>
      <c r="AZ296" t="s">
        <v>273</v>
      </c>
      <c r="BA296" t="s">
        <v>2908</v>
      </c>
      <c r="BC296" t="s">
        <v>140</v>
      </c>
      <c r="BT296" s="7">
        <f t="shared" si="25"/>
        <v>0</v>
      </c>
      <c r="BU296" s="6">
        <f t="shared" si="26"/>
        <v>0</v>
      </c>
      <c r="BV296" s="6">
        <f t="shared" si="27"/>
        <v>0</v>
      </c>
      <c r="BW296" s="6">
        <f t="shared" si="28"/>
        <v>0</v>
      </c>
      <c r="BX296" s="6">
        <f t="shared" si="29"/>
        <v>0</v>
      </c>
    </row>
    <row r="297" spans="1:76" x14ac:dyDescent="0.35">
      <c r="A297" t="s">
        <v>2909</v>
      </c>
      <c r="B297" t="s">
        <v>107</v>
      </c>
      <c r="C297" t="s">
        <v>107</v>
      </c>
      <c r="E297" t="s">
        <v>108</v>
      </c>
      <c r="F297" t="s">
        <v>268</v>
      </c>
      <c r="G297" t="s">
        <v>269</v>
      </c>
      <c r="H297" t="s">
        <v>2268</v>
      </c>
      <c r="I297" t="s">
        <v>271</v>
      </c>
      <c r="J297" t="s">
        <v>113</v>
      </c>
      <c r="K297" s="8" t="s">
        <v>114</v>
      </c>
      <c r="L297" t="s">
        <v>114</v>
      </c>
      <c r="M297" s="6">
        <v>0</v>
      </c>
      <c r="N297" t="s">
        <v>114</v>
      </c>
      <c r="O297" s="6">
        <v>0</v>
      </c>
      <c r="P297" t="s">
        <v>114</v>
      </c>
      <c r="Q297" s="6">
        <v>0</v>
      </c>
      <c r="R297" s="7">
        <f t="shared" si="24"/>
        <v>0</v>
      </c>
      <c r="S297" t="s">
        <v>180</v>
      </c>
      <c r="T297" t="s">
        <v>114</v>
      </c>
      <c r="U297" t="s">
        <v>180</v>
      </c>
      <c r="W297" t="s">
        <v>114</v>
      </c>
      <c r="X297" t="s">
        <v>2886</v>
      </c>
      <c r="Z297" t="s">
        <v>2910</v>
      </c>
      <c r="AA297" t="s">
        <v>2911</v>
      </c>
      <c r="AB297" s="1" t="s">
        <v>2912</v>
      </c>
      <c r="AC297" t="s">
        <v>2913</v>
      </c>
      <c r="AD297" t="s">
        <v>2914</v>
      </c>
      <c r="AH297" t="s">
        <v>123</v>
      </c>
      <c r="AI297" t="s">
        <v>124</v>
      </c>
      <c r="AJ297" t="s">
        <v>2915</v>
      </c>
      <c r="AK297" t="s">
        <v>126</v>
      </c>
      <c r="AL297" t="s">
        <v>127</v>
      </c>
      <c r="AN297" t="s">
        <v>2916</v>
      </c>
      <c r="AO297" t="s">
        <v>2917</v>
      </c>
      <c r="AP297" t="s">
        <v>2918</v>
      </c>
      <c r="AQ297" t="s">
        <v>131</v>
      </c>
      <c r="AR297" t="s">
        <v>233</v>
      </c>
      <c r="AS297" t="s">
        <v>2919</v>
      </c>
      <c r="AT297" t="s">
        <v>2920</v>
      </c>
      <c r="AV297" t="s">
        <v>1490</v>
      </c>
      <c r="AX297" t="s">
        <v>176</v>
      </c>
      <c r="AY297" t="s">
        <v>272</v>
      </c>
      <c r="AZ297" t="s">
        <v>273</v>
      </c>
      <c r="BA297" t="s">
        <v>2921</v>
      </c>
      <c r="BC297" t="s">
        <v>140</v>
      </c>
      <c r="BT297" s="7">
        <f t="shared" si="25"/>
        <v>0</v>
      </c>
      <c r="BU297" s="6">
        <f t="shared" si="26"/>
        <v>0</v>
      </c>
      <c r="BV297" s="6">
        <f t="shared" si="27"/>
        <v>0</v>
      </c>
      <c r="BW297" s="6">
        <f t="shared" si="28"/>
        <v>0</v>
      </c>
      <c r="BX297" s="6">
        <f t="shared" si="29"/>
        <v>0</v>
      </c>
    </row>
    <row r="298" spans="1:76" x14ac:dyDescent="0.35">
      <c r="A298" t="s">
        <v>2909</v>
      </c>
      <c r="B298" t="s">
        <v>107</v>
      </c>
      <c r="C298" t="s">
        <v>107</v>
      </c>
      <c r="E298" t="s">
        <v>108</v>
      </c>
      <c r="F298" t="s">
        <v>158</v>
      </c>
      <c r="G298" t="s">
        <v>159</v>
      </c>
      <c r="H298" t="s">
        <v>111</v>
      </c>
      <c r="I298" t="s">
        <v>341</v>
      </c>
      <c r="J298" t="s">
        <v>1548</v>
      </c>
      <c r="K298" s="8" t="s">
        <v>114</v>
      </c>
      <c r="L298" t="s">
        <v>161</v>
      </c>
      <c r="M298" s="6">
        <v>918</v>
      </c>
      <c r="N298" t="s">
        <v>114</v>
      </c>
      <c r="O298" s="6">
        <v>440</v>
      </c>
      <c r="P298" t="s">
        <v>2886</v>
      </c>
      <c r="Q298" s="6">
        <v>0</v>
      </c>
      <c r="R298" s="7">
        <f t="shared" si="24"/>
        <v>478</v>
      </c>
      <c r="S298" t="s">
        <v>180</v>
      </c>
      <c r="T298" t="s">
        <v>114</v>
      </c>
      <c r="U298" t="s">
        <v>180</v>
      </c>
      <c r="W298" t="s">
        <v>114</v>
      </c>
      <c r="X298" t="s">
        <v>2886</v>
      </c>
      <c r="Z298" t="s">
        <v>2910</v>
      </c>
      <c r="AA298" t="s">
        <v>2911</v>
      </c>
      <c r="AB298" s="1" t="s">
        <v>2912</v>
      </c>
      <c r="AC298" t="s">
        <v>2913</v>
      </c>
      <c r="AD298" t="s">
        <v>2914</v>
      </c>
      <c r="AH298" t="s">
        <v>123</v>
      </c>
      <c r="AI298" t="s">
        <v>124</v>
      </c>
      <c r="AJ298" t="s">
        <v>2915</v>
      </c>
      <c r="AK298" t="s">
        <v>126</v>
      </c>
      <c r="AL298" t="s">
        <v>127</v>
      </c>
      <c r="AN298" t="s">
        <v>2916</v>
      </c>
      <c r="AO298" t="s">
        <v>2917</v>
      </c>
      <c r="AP298" t="s">
        <v>2918</v>
      </c>
      <c r="AQ298" t="s">
        <v>131</v>
      </c>
      <c r="AR298" t="s">
        <v>233</v>
      </c>
      <c r="AS298" t="s">
        <v>2919</v>
      </c>
      <c r="AT298" t="s">
        <v>2920</v>
      </c>
      <c r="AV298" t="s">
        <v>1490</v>
      </c>
      <c r="AX298" t="s">
        <v>176</v>
      </c>
      <c r="AY298" t="s">
        <v>1562</v>
      </c>
      <c r="AZ298" t="s">
        <v>138</v>
      </c>
      <c r="BA298" t="s">
        <v>2921</v>
      </c>
      <c r="BC298" t="s">
        <v>140</v>
      </c>
      <c r="BT298" s="7">
        <f t="shared" si="25"/>
        <v>478</v>
      </c>
      <c r="BU298" s="6">
        <f t="shared" si="26"/>
        <v>446.72897196261681</v>
      </c>
      <c r="BV298" s="6">
        <f t="shared" si="27"/>
        <v>31.271028037383175</v>
      </c>
      <c r="BW298" s="6">
        <f t="shared" si="28"/>
        <v>478</v>
      </c>
      <c r="BX298" s="6">
        <f t="shared" si="29"/>
        <v>0</v>
      </c>
    </row>
    <row r="299" spans="1:76" x14ac:dyDescent="0.35">
      <c r="A299" t="s">
        <v>2922</v>
      </c>
      <c r="B299" t="s">
        <v>336</v>
      </c>
      <c r="C299" t="s">
        <v>336</v>
      </c>
      <c r="D299" t="s">
        <v>337</v>
      </c>
      <c r="E299" t="s">
        <v>108</v>
      </c>
      <c r="F299" t="s">
        <v>158</v>
      </c>
      <c r="G299" t="s">
        <v>159</v>
      </c>
      <c r="H299" t="s">
        <v>111</v>
      </c>
      <c r="I299" t="s">
        <v>341</v>
      </c>
      <c r="J299" t="s">
        <v>113</v>
      </c>
      <c r="K299" s="8" t="s">
        <v>113</v>
      </c>
      <c r="L299" t="s">
        <v>161</v>
      </c>
      <c r="M299" s="6">
        <v>459</v>
      </c>
      <c r="N299" t="s">
        <v>114</v>
      </c>
      <c r="O299" s="6">
        <v>220</v>
      </c>
      <c r="P299" t="s">
        <v>1111</v>
      </c>
      <c r="Q299" s="6">
        <v>0</v>
      </c>
      <c r="R299" s="7">
        <f t="shared" si="24"/>
        <v>239</v>
      </c>
      <c r="S299" t="s">
        <v>180</v>
      </c>
      <c r="T299" t="s">
        <v>114</v>
      </c>
      <c r="U299" t="s">
        <v>180</v>
      </c>
      <c r="W299" t="s">
        <v>114</v>
      </c>
      <c r="X299" t="s">
        <v>1111</v>
      </c>
      <c r="Y299" t="s">
        <v>1111</v>
      </c>
      <c r="Z299" t="s">
        <v>2923</v>
      </c>
      <c r="AA299" t="s">
        <v>2924</v>
      </c>
      <c r="AE299" t="s">
        <v>2925</v>
      </c>
      <c r="AF299" t="s">
        <v>346</v>
      </c>
      <c r="AG299" t="s">
        <v>1881</v>
      </c>
      <c r="AH299" t="s">
        <v>123</v>
      </c>
      <c r="AI299" t="s">
        <v>124</v>
      </c>
      <c r="AK299" t="s">
        <v>126</v>
      </c>
      <c r="AN299" t="s">
        <v>2881</v>
      </c>
      <c r="AO299" t="s">
        <v>2882</v>
      </c>
      <c r="AP299" t="s">
        <v>2883</v>
      </c>
      <c r="AQ299" t="s">
        <v>131</v>
      </c>
      <c r="AR299" t="s">
        <v>132</v>
      </c>
      <c r="AS299" t="s">
        <v>352</v>
      </c>
      <c r="AT299" t="s">
        <v>667</v>
      </c>
      <c r="AV299" t="s">
        <v>1478</v>
      </c>
      <c r="AX299" t="s">
        <v>655</v>
      </c>
      <c r="AY299" t="s">
        <v>177</v>
      </c>
      <c r="AZ299" t="s">
        <v>138</v>
      </c>
      <c r="BA299" t="s">
        <v>2926</v>
      </c>
      <c r="BC299" t="s">
        <v>140</v>
      </c>
      <c r="BT299" s="7">
        <f t="shared" si="25"/>
        <v>239</v>
      </c>
      <c r="BU299" s="6">
        <f t="shared" si="26"/>
        <v>223.36448598130841</v>
      </c>
      <c r="BV299" s="6">
        <f t="shared" si="27"/>
        <v>15.635514018691588</v>
      </c>
      <c r="BW299" s="6">
        <f t="shared" si="28"/>
        <v>239</v>
      </c>
      <c r="BX299" s="6">
        <f t="shared" si="29"/>
        <v>0</v>
      </c>
    </row>
    <row r="300" spans="1:76" x14ac:dyDescent="0.35">
      <c r="A300" t="s">
        <v>2922</v>
      </c>
      <c r="B300" t="s">
        <v>336</v>
      </c>
      <c r="C300" t="s">
        <v>336</v>
      </c>
      <c r="D300" t="s">
        <v>337</v>
      </c>
      <c r="E300" t="s">
        <v>108</v>
      </c>
      <c r="F300" t="s">
        <v>268</v>
      </c>
      <c r="G300" t="s">
        <v>269</v>
      </c>
      <c r="H300" t="s">
        <v>2268</v>
      </c>
      <c r="I300" t="s">
        <v>271</v>
      </c>
      <c r="J300" t="s">
        <v>113</v>
      </c>
      <c r="K300" s="8" t="s">
        <v>113</v>
      </c>
      <c r="L300" t="s">
        <v>114</v>
      </c>
      <c r="M300" s="6">
        <v>0</v>
      </c>
      <c r="N300" t="s">
        <v>114</v>
      </c>
      <c r="O300" s="6">
        <v>0</v>
      </c>
      <c r="P300" t="s">
        <v>114</v>
      </c>
      <c r="Q300" s="6">
        <v>0</v>
      </c>
      <c r="R300" s="7">
        <f t="shared" si="24"/>
        <v>0</v>
      </c>
      <c r="S300" t="s">
        <v>180</v>
      </c>
      <c r="T300" t="s">
        <v>114</v>
      </c>
      <c r="U300" t="s">
        <v>180</v>
      </c>
      <c r="W300" t="s">
        <v>114</v>
      </c>
      <c r="X300" t="s">
        <v>1111</v>
      </c>
      <c r="Y300" t="s">
        <v>114</v>
      </c>
      <c r="Z300" t="s">
        <v>2923</v>
      </c>
      <c r="AA300" t="s">
        <v>2924</v>
      </c>
      <c r="AE300" t="s">
        <v>2925</v>
      </c>
      <c r="AF300" t="s">
        <v>346</v>
      </c>
      <c r="AG300" t="s">
        <v>1881</v>
      </c>
      <c r="AH300" t="s">
        <v>123</v>
      </c>
      <c r="AI300" t="s">
        <v>124</v>
      </c>
      <c r="AK300" t="s">
        <v>126</v>
      </c>
      <c r="AN300" t="s">
        <v>2881</v>
      </c>
      <c r="AO300" t="s">
        <v>2882</v>
      </c>
      <c r="AP300" t="s">
        <v>2883</v>
      </c>
      <c r="AQ300" t="s">
        <v>131</v>
      </c>
      <c r="AR300" t="s">
        <v>132</v>
      </c>
      <c r="AS300" t="s">
        <v>352</v>
      </c>
      <c r="AT300" t="s">
        <v>667</v>
      </c>
      <c r="AV300" t="s">
        <v>1478</v>
      </c>
      <c r="AX300" t="s">
        <v>655</v>
      </c>
      <c r="AY300" t="s">
        <v>272</v>
      </c>
      <c r="AZ300" t="s">
        <v>273</v>
      </c>
      <c r="BA300" t="s">
        <v>2926</v>
      </c>
      <c r="BC300" t="s">
        <v>140</v>
      </c>
      <c r="BT300" s="7">
        <f t="shared" si="25"/>
        <v>0</v>
      </c>
      <c r="BU300" s="6">
        <f t="shared" si="26"/>
        <v>0</v>
      </c>
      <c r="BV300" s="6">
        <f t="shared" si="27"/>
        <v>0</v>
      </c>
      <c r="BW300" s="6">
        <f t="shared" si="28"/>
        <v>0</v>
      </c>
      <c r="BX300" s="6">
        <f t="shared" si="29"/>
        <v>0</v>
      </c>
    </row>
    <row r="301" spans="1:76" x14ac:dyDescent="0.35">
      <c r="A301" t="s">
        <v>2927</v>
      </c>
      <c r="B301" t="s">
        <v>107</v>
      </c>
      <c r="C301" t="s">
        <v>107</v>
      </c>
      <c r="E301" t="s">
        <v>108</v>
      </c>
      <c r="F301" t="s">
        <v>158</v>
      </c>
      <c r="G301" t="s">
        <v>159</v>
      </c>
      <c r="H301" t="s">
        <v>111</v>
      </c>
      <c r="I301" t="s">
        <v>341</v>
      </c>
      <c r="J301" t="s">
        <v>113</v>
      </c>
      <c r="K301" s="8" t="s">
        <v>114</v>
      </c>
      <c r="L301" t="s">
        <v>161</v>
      </c>
      <c r="M301" s="6">
        <v>459</v>
      </c>
      <c r="N301" t="s">
        <v>2928</v>
      </c>
      <c r="O301" s="6">
        <v>220</v>
      </c>
      <c r="P301" t="s">
        <v>895</v>
      </c>
      <c r="Q301" s="6">
        <v>0</v>
      </c>
      <c r="R301" s="7">
        <f t="shared" si="24"/>
        <v>239</v>
      </c>
      <c r="S301" t="s">
        <v>142</v>
      </c>
      <c r="T301" t="s">
        <v>114</v>
      </c>
      <c r="U301" t="s">
        <v>142</v>
      </c>
      <c r="W301" t="s">
        <v>114</v>
      </c>
      <c r="X301" t="s">
        <v>895</v>
      </c>
      <c r="Z301" t="s">
        <v>2929</v>
      </c>
      <c r="AA301" t="s">
        <v>2930</v>
      </c>
      <c r="AB301" s="1" t="s">
        <v>2931</v>
      </c>
      <c r="AC301" t="s">
        <v>2932</v>
      </c>
      <c r="AD301" t="s">
        <v>2930</v>
      </c>
      <c r="AH301" t="s">
        <v>123</v>
      </c>
      <c r="AI301" t="s">
        <v>124</v>
      </c>
      <c r="AJ301" t="s">
        <v>2933</v>
      </c>
      <c r="AK301" t="s">
        <v>126</v>
      </c>
      <c r="AL301" t="s">
        <v>127</v>
      </c>
      <c r="AN301" t="s">
        <v>2934</v>
      </c>
      <c r="AO301" t="s">
        <v>2935</v>
      </c>
      <c r="AP301" t="s">
        <v>2936</v>
      </c>
      <c r="AQ301" t="s">
        <v>131</v>
      </c>
      <c r="AR301" t="s">
        <v>132</v>
      </c>
      <c r="AS301" t="s">
        <v>387</v>
      </c>
      <c r="AT301" t="s">
        <v>2019</v>
      </c>
      <c r="AV301" t="s">
        <v>668</v>
      </c>
      <c r="AX301" t="s">
        <v>136</v>
      </c>
      <c r="AY301" t="s">
        <v>177</v>
      </c>
      <c r="AZ301" t="s">
        <v>138</v>
      </c>
      <c r="BA301" t="s">
        <v>2937</v>
      </c>
      <c r="BC301" t="s">
        <v>140</v>
      </c>
      <c r="BT301" s="7">
        <f t="shared" si="25"/>
        <v>239</v>
      </c>
      <c r="BU301" s="6">
        <f t="shared" si="26"/>
        <v>223.36448598130841</v>
      </c>
      <c r="BV301" s="6">
        <f t="shared" si="27"/>
        <v>15.635514018691588</v>
      </c>
      <c r="BW301" s="6">
        <f t="shared" si="28"/>
        <v>239</v>
      </c>
      <c r="BX301" s="6">
        <f t="shared" si="29"/>
        <v>0</v>
      </c>
    </row>
    <row r="302" spans="1:76" x14ac:dyDescent="0.35">
      <c r="A302" t="s">
        <v>2927</v>
      </c>
      <c r="B302" t="s">
        <v>107</v>
      </c>
      <c r="C302" t="s">
        <v>107</v>
      </c>
      <c r="E302" t="s">
        <v>108</v>
      </c>
      <c r="F302" t="s">
        <v>268</v>
      </c>
      <c r="G302" t="s">
        <v>269</v>
      </c>
      <c r="H302" t="s">
        <v>2268</v>
      </c>
      <c r="I302" t="s">
        <v>271</v>
      </c>
      <c r="J302" t="s">
        <v>113</v>
      </c>
      <c r="K302" s="8" t="s">
        <v>114</v>
      </c>
      <c r="L302" t="s">
        <v>114</v>
      </c>
      <c r="M302" s="6">
        <v>0</v>
      </c>
      <c r="N302" t="s">
        <v>114</v>
      </c>
      <c r="O302" s="6">
        <v>0</v>
      </c>
      <c r="P302" t="s">
        <v>114</v>
      </c>
      <c r="Q302" s="6">
        <v>0</v>
      </c>
      <c r="R302" s="7">
        <f t="shared" si="24"/>
        <v>0</v>
      </c>
      <c r="S302" t="s">
        <v>142</v>
      </c>
      <c r="T302" t="s">
        <v>114</v>
      </c>
      <c r="U302" t="s">
        <v>142</v>
      </c>
      <c r="W302" t="s">
        <v>114</v>
      </c>
      <c r="X302" t="s">
        <v>895</v>
      </c>
      <c r="Z302" t="s">
        <v>2929</v>
      </c>
      <c r="AA302" t="s">
        <v>2930</v>
      </c>
      <c r="AB302" s="1" t="s">
        <v>2931</v>
      </c>
      <c r="AC302" t="s">
        <v>2932</v>
      </c>
      <c r="AD302" t="s">
        <v>2930</v>
      </c>
      <c r="AH302" t="s">
        <v>123</v>
      </c>
      <c r="AI302" t="s">
        <v>124</v>
      </c>
      <c r="AJ302" t="s">
        <v>2933</v>
      </c>
      <c r="AK302" t="s">
        <v>126</v>
      </c>
      <c r="AL302" t="s">
        <v>127</v>
      </c>
      <c r="AN302" t="s">
        <v>2934</v>
      </c>
      <c r="AO302" t="s">
        <v>2935</v>
      </c>
      <c r="AP302" t="s">
        <v>2936</v>
      </c>
      <c r="AQ302" t="s">
        <v>131</v>
      </c>
      <c r="AR302" t="s">
        <v>132</v>
      </c>
      <c r="AS302" t="s">
        <v>387</v>
      </c>
      <c r="AT302" t="s">
        <v>2019</v>
      </c>
      <c r="AV302" t="s">
        <v>668</v>
      </c>
      <c r="AX302" t="s">
        <v>136</v>
      </c>
      <c r="AY302" t="s">
        <v>272</v>
      </c>
      <c r="AZ302" t="s">
        <v>273</v>
      </c>
      <c r="BA302" t="s">
        <v>2937</v>
      </c>
      <c r="BC302" t="s">
        <v>140</v>
      </c>
      <c r="BT302" s="7">
        <f t="shared" si="25"/>
        <v>0</v>
      </c>
      <c r="BU302" s="6">
        <f t="shared" si="26"/>
        <v>0</v>
      </c>
      <c r="BV302" s="6">
        <f t="shared" si="27"/>
        <v>0</v>
      </c>
      <c r="BW302" s="6">
        <f t="shared" si="28"/>
        <v>0</v>
      </c>
      <c r="BX302" s="6">
        <f t="shared" si="29"/>
        <v>0</v>
      </c>
    </row>
    <row r="303" spans="1:76" x14ac:dyDescent="0.35">
      <c r="A303" t="s">
        <v>2938</v>
      </c>
      <c r="B303" t="s">
        <v>107</v>
      </c>
      <c r="C303" t="s">
        <v>107</v>
      </c>
      <c r="E303" t="s">
        <v>108</v>
      </c>
      <c r="F303" t="s">
        <v>158</v>
      </c>
      <c r="G303" t="s">
        <v>159</v>
      </c>
      <c r="H303" t="s">
        <v>111</v>
      </c>
      <c r="I303" t="s">
        <v>341</v>
      </c>
      <c r="J303" t="s">
        <v>113</v>
      </c>
      <c r="K303" s="8" t="s">
        <v>114</v>
      </c>
      <c r="L303" t="s">
        <v>161</v>
      </c>
      <c r="M303" s="6">
        <v>459</v>
      </c>
      <c r="N303" t="s">
        <v>436</v>
      </c>
      <c r="O303" s="6">
        <v>220</v>
      </c>
      <c r="P303" t="s">
        <v>1876</v>
      </c>
      <c r="Q303" s="6">
        <v>15</v>
      </c>
      <c r="R303" s="7">
        <f t="shared" si="24"/>
        <v>254</v>
      </c>
      <c r="S303" t="s">
        <v>2939</v>
      </c>
      <c r="T303" t="s">
        <v>114</v>
      </c>
      <c r="U303" t="s">
        <v>114</v>
      </c>
      <c r="W303" t="s">
        <v>114</v>
      </c>
      <c r="X303" t="s">
        <v>2940</v>
      </c>
      <c r="Z303" t="s">
        <v>2941</v>
      </c>
      <c r="AA303" t="s">
        <v>2942</v>
      </c>
      <c r="AB303" s="1" t="s">
        <v>2943</v>
      </c>
      <c r="AC303" t="s">
        <v>2944</v>
      </c>
      <c r="AD303" t="s">
        <v>2942</v>
      </c>
      <c r="AH303" t="s">
        <v>123</v>
      </c>
      <c r="AI303" t="s">
        <v>124</v>
      </c>
      <c r="AJ303" t="s">
        <v>2945</v>
      </c>
      <c r="AK303" t="s">
        <v>126</v>
      </c>
      <c r="AL303" t="s">
        <v>127</v>
      </c>
      <c r="AN303" t="s">
        <v>2946</v>
      </c>
      <c r="AO303" t="s">
        <v>2947</v>
      </c>
      <c r="AP303" t="s">
        <v>2948</v>
      </c>
      <c r="AQ303" t="s">
        <v>131</v>
      </c>
      <c r="AR303" t="s">
        <v>132</v>
      </c>
      <c r="AS303" t="s">
        <v>152</v>
      </c>
      <c r="AT303" t="s">
        <v>2949</v>
      </c>
      <c r="AV303" t="s">
        <v>2195</v>
      </c>
      <c r="AW303" t="s">
        <v>2195</v>
      </c>
      <c r="AX303" t="s">
        <v>136</v>
      </c>
      <c r="AY303" t="s">
        <v>177</v>
      </c>
      <c r="AZ303" t="s">
        <v>138</v>
      </c>
      <c r="BA303" t="s">
        <v>2950</v>
      </c>
      <c r="BC303" t="s">
        <v>140</v>
      </c>
      <c r="BT303" s="7">
        <f t="shared" si="25"/>
        <v>254</v>
      </c>
      <c r="BU303" s="6">
        <f t="shared" si="26"/>
        <v>237.38317757009344</v>
      </c>
      <c r="BV303" s="6">
        <f t="shared" si="27"/>
        <v>16.616822429906541</v>
      </c>
      <c r="BW303" s="6">
        <f t="shared" si="28"/>
        <v>253.99999999999997</v>
      </c>
      <c r="BX303" s="6">
        <f t="shared" si="29"/>
        <v>0</v>
      </c>
    </row>
    <row r="304" spans="1:76" x14ac:dyDescent="0.35">
      <c r="A304" t="s">
        <v>2938</v>
      </c>
      <c r="B304" t="s">
        <v>107</v>
      </c>
      <c r="C304" t="s">
        <v>107</v>
      </c>
      <c r="E304" t="s">
        <v>108</v>
      </c>
      <c r="F304" t="s">
        <v>268</v>
      </c>
      <c r="G304" t="s">
        <v>269</v>
      </c>
      <c r="H304" t="s">
        <v>2268</v>
      </c>
      <c r="I304" t="s">
        <v>271</v>
      </c>
      <c r="J304" t="s">
        <v>113</v>
      </c>
      <c r="K304" s="8" t="s">
        <v>114</v>
      </c>
      <c r="L304" t="s">
        <v>114</v>
      </c>
      <c r="M304" s="6">
        <v>0</v>
      </c>
      <c r="N304" t="s">
        <v>114</v>
      </c>
      <c r="O304" s="6">
        <v>0</v>
      </c>
      <c r="P304" t="s">
        <v>114</v>
      </c>
      <c r="Q304" s="6">
        <v>15</v>
      </c>
      <c r="R304" s="7">
        <f t="shared" si="24"/>
        <v>15</v>
      </c>
      <c r="S304" t="s">
        <v>2939</v>
      </c>
      <c r="T304" t="s">
        <v>114</v>
      </c>
      <c r="U304" t="s">
        <v>114</v>
      </c>
      <c r="W304" t="s">
        <v>114</v>
      </c>
      <c r="X304" t="s">
        <v>2940</v>
      </c>
      <c r="Z304" t="s">
        <v>2941</v>
      </c>
      <c r="AA304" t="s">
        <v>2942</v>
      </c>
      <c r="AB304" s="1" t="s">
        <v>2943</v>
      </c>
      <c r="AC304" t="s">
        <v>2944</v>
      </c>
      <c r="AD304" t="s">
        <v>2942</v>
      </c>
      <c r="AH304" t="s">
        <v>123</v>
      </c>
      <c r="AI304" t="s">
        <v>124</v>
      </c>
      <c r="AJ304" t="s">
        <v>2945</v>
      </c>
      <c r="AK304" t="s">
        <v>126</v>
      </c>
      <c r="AL304" t="s">
        <v>127</v>
      </c>
      <c r="AN304" t="s">
        <v>2946</v>
      </c>
      <c r="AO304" t="s">
        <v>2947</v>
      </c>
      <c r="AP304" t="s">
        <v>2948</v>
      </c>
      <c r="AQ304" t="s">
        <v>131</v>
      </c>
      <c r="AR304" t="s">
        <v>132</v>
      </c>
      <c r="AS304" t="s">
        <v>152</v>
      </c>
      <c r="AT304" t="s">
        <v>2949</v>
      </c>
      <c r="AV304" t="s">
        <v>2195</v>
      </c>
      <c r="AW304" t="s">
        <v>2195</v>
      </c>
      <c r="AX304" t="s">
        <v>136</v>
      </c>
      <c r="AY304" t="s">
        <v>272</v>
      </c>
      <c r="AZ304" t="s">
        <v>273</v>
      </c>
      <c r="BA304" t="s">
        <v>2950</v>
      </c>
      <c r="BC304" t="s">
        <v>140</v>
      </c>
      <c r="BT304" s="7">
        <f t="shared" si="25"/>
        <v>15</v>
      </c>
      <c r="BU304" s="6">
        <f t="shared" si="26"/>
        <v>14.018691588785046</v>
      </c>
      <c r="BV304" s="6">
        <f t="shared" si="27"/>
        <v>0.98130841121495327</v>
      </c>
      <c r="BW304" s="6">
        <f t="shared" si="28"/>
        <v>15</v>
      </c>
      <c r="BX304" s="6">
        <f t="shared" si="29"/>
        <v>0</v>
      </c>
    </row>
    <row r="305" spans="1:76" x14ac:dyDescent="0.35">
      <c r="A305" t="s">
        <v>2951</v>
      </c>
      <c r="B305" t="s">
        <v>107</v>
      </c>
      <c r="C305" t="s">
        <v>107</v>
      </c>
      <c r="E305" t="s">
        <v>108</v>
      </c>
      <c r="F305" t="s">
        <v>158</v>
      </c>
      <c r="G305" t="s">
        <v>159</v>
      </c>
      <c r="H305" t="s">
        <v>111</v>
      </c>
      <c r="I305" t="s">
        <v>341</v>
      </c>
      <c r="J305" t="s">
        <v>113</v>
      </c>
      <c r="K305" s="8" t="s">
        <v>114</v>
      </c>
      <c r="L305" t="s">
        <v>161</v>
      </c>
      <c r="M305" s="6">
        <v>459</v>
      </c>
      <c r="N305" t="s">
        <v>2928</v>
      </c>
      <c r="O305" s="6">
        <v>220</v>
      </c>
      <c r="P305" t="s">
        <v>895</v>
      </c>
      <c r="Q305" s="6">
        <v>0</v>
      </c>
      <c r="R305" s="7">
        <f t="shared" si="24"/>
        <v>239</v>
      </c>
      <c r="S305" t="s">
        <v>180</v>
      </c>
      <c r="T305" t="s">
        <v>114</v>
      </c>
      <c r="U305" t="s">
        <v>180</v>
      </c>
      <c r="W305" t="s">
        <v>114</v>
      </c>
      <c r="X305" t="s">
        <v>895</v>
      </c>
      <c r="Z305" t="s">
        <v>2952</v>
      </c>
      <c r="AA305" t="s">
        <v>2953</v>
      </c>
      <c r="AB305" s="1" t="s">
        <v>2954</v>
      </c>
      <c r="AC305" t="s">
        <v>2955</v>
      </c>
      <c r="AD305" t="s">
        <v>2953</v>
      </c>
      <c r="AH305" t="s">
        <v>123</v>
      </c>
      <c r="AI305" t="s">
        <v>124</v>
      </c>
      <c r="AJ305" t="s">
        <v>2956</v>
      </c>
      <c r="AK305" t="s">
        <v>126</v>
      </c>
      <c r="AL305" t="s">
        <v>127</v>
      </c>
      <c r="AN305" t="s">
        <v>2957</v>
      </c>
      <c r="AO305" t="s">
        <v>2958</v>
      </c>
      <c r="AP305" t="s">
        <v>2959</v>
      </c>
      <c r="AQ305" t="s">
        <v>131</v>
      </c>
      <c r="AR305" t="s">
        <v>132</v>
      </c>
      <c r="AS305" t="s">
        <v>352</v>
      </c>
      <c r="AT305" t="s">
        <v>353</v>
      </c>
      <c r="AV305" t="s">
        <v>1490</v>
      </c>
      <c r="AX305" t="s">
        <v>136</v>
      </c>
      <c r="AY305" t="s">
        <v>177</v>
      </c>
      <c r="AZ305" t="s">
        <v>138</v>
      </c>
      <c r="BA305" t="s">
        <v>2960</v>
      </c>
      <c r="BC305" t="s">
        <v>140</v>
      </c>
      <c r="BT305" s="7">
        <f t="shared" si="25"/>
        <v>239</v>
      </c>
      <c r="BU305" s="6">
        <f t="shared" si="26"/>
        <v>223.36448598130841</v>
      </c>
      <c r="BV305" s="6">
        <f t="shared" si="27"/>
        <v>15.635514018691588</v>
      </c>
      <c r="BW305" s="6">
        <f t="shared" si="28"/>
        <v>239</v>
      </c>
      <c r="BX305" s="6">
        <f t="shared" si="29"/>
        <v>0</v>
      </c>
    </row>
    <row r="306" spans="1:76" x14ac:dyDescent="0.35">
      <c r="A306" t="s">
        <v>2951</v>
      </c>
      <c r="B306" t="s">
        <v>107</v>
      </c>
      <c r="C306" t="s">
        <v>107</v>
      </c>
      <c r="E306" t="s">
        <v>108</v>
      </c>
      <c r="F306" t="s">
        <v>268</v>
      </c>
      <c r="G306" t="s">
        <v>269</v>
      </c>
      <c r="H306" t="s">
        <v>2268</v>
      </c>
      <c r="I306" t="s">
        <v>271</v>
      </c>
      <c r="J306" t="s">
        <v>113</v>
      </c>
      <c r="K306" s="8" t="s">
        <v>114</v>
      </c>
      <c r="L306" t="s">
        <v>114</v>
      </c>
      <c r="M306" s="6">
        <v>0</v>
      </c>
      <c r="N306" t="s">
        <v>114</v>
      </c>
      <c r="O306" s="6">
        <v>0</v>
      </c>
      <c r="P306" t="s">
        <v>114</v>
      </c>
      <c r="Q306" s="6">
        <v>0</v>
      </c>
      <c r="R306" s="7">
        <f t="shared" si="24"/>
        <v>0</v>
      </c>
      <c r="S306" t="s">
        <v>180</v>
      </c>
      <c r="T306" t="s">
        <v>114</v>
      </c>
      <c r="U306" t="s">
        <v>180</v>
      </c>
      <c r="W306" t="s">
        <v>114</v>
      </c>
      <c r="X306" t="s">
        <v>895</v>
      </c>
      <c r="Z306" t="s">
        <v>2952</v>
      </c>
      <c r="AA306" t="s">
        <v>2953</v>
      </c>
      <c r="AB306" s="1" t="s">
        <v>2954</v>
      </c>
      <c r="AC306" t="s">
        <v>2955</v>
      </c>
      <c r="AD306" t="s">
        <v>2953</v>
      </c>
      <c r="AH306" t="s">
        <v>123</v>
      </c>
      <c r="AI306" t="s">
        <v>124</v>
      </c>
      <c r="AJ306" t="s">
        <v>2956</v>
      </c>
      <c r="AK306" t="s">
        <v>126</v>
      </c>
      <c r="AL306" t="s">
        <v>127</v>
      </c>
      <c r="AN306" t="s">
        <v>2957</v>
      </c>
      <c r="AO306" t="s">
        <v>2958</v>
      </c>
      <c r="AP306" t="s">
        <v>2959</v>
      </c>
      <c r="AQ306" t="s">
        <v>131</v>
      </c>
      <c r="AR306" t="s">
        <v>132</v>
      </c>
      <c r="AS306" t="s">
        <v>352</v>
      </c>
      <c r="AT306" t="s">
        <v>353</v>
      </c>
      <c r="AV306" t="s">
        <v>1490</v>
      </c>
      <c r="AX306" t="s">
        <v>136</v>
      </c>
      <c r="AY306" t="s">
        <v>272</v>
      </c>
      <c r="AZ306" t="s">
        <v>273</v>
      </c>
      <c r="BA306" t="s">
        <v>2960</v>
      </c>
      <c r="BC306" t="s">
        <v>140</v>
      </c>
      <c r="BT306" s="7">
        <f t="shared" si="25"/>
        <v>0</v>
      </c>
      <c r="BU306" s="6">
        <f t="shared" si="26"/>
        <v>0</v>
      </c>
      <c r="BV306" s="6">
        <f t="shared" si="27"/>
        <v>0</v>
      </c>
      <c r="BW306" s="6">
        <f t="shared" si="28"/>
        <v>0</v>
      </c>
      <c r="BX306" s="6">
        <f t="shared" si="29"/>
        <v>0</v>
      </c>
    </row>
    <row r="307" spans="1:76" x14ac:dyDescent="0.35">
      <c r="A307" t="s">
        <v>2961</v>
      </c>
      <c r="B307" t="s">
        <v>107</v>
      </c>
      <c r="C307" t="s">
        <v>107</v>
      </c>
      <c r="E307" t="s">
        <v>108</v>
      </c>
      <c r="F307" t="s">
        <v>158</v>
      </c>
      <c r="G307" t="s">
        <v>159</v>
      </c>
      <c r="H307" t="s">
        <v>111</v>
      </c>
      <c r="I307" t="s">
        <v>341</v>
      </c>
      <c r="J307" t="s">
        <v>113</v>
      </c>
      <c r="K307" s="8" t="s">
        <v>114</v>
      </c>
      <c r="L307" t="s">
        <v>161</v>
      </c>
      <c r="M307" s="6">
        <v>459</v>
      </c>
      <c r="N307" t="s">
        <v>114</v>
      </c>
      <c r="O307" s="6">
        <v>220</v>
      </c>
      <c r="P307" t="s">
        <v>1111</v>
      </c>
      <c r="Q307" s="6">
        <v>0</v>
      </c>
      <c r="R307" s="7">
        <f t="shared" si="24"/>
        <v>239</v>
      </c>
      <c r="S307" t="s">
        <v>180</v>
      </c>
      <c r="T307" t="s">
        <v>114</v>
      </c>
      <c r="U307" t="s">
        <v>180</v>
      </c>
      <c r="W307" t="s">
        <v>114</v>
      </c>
      <c r="X307" t="s">
        <v>1111</v>
      </c>
      <c r="Z307" t="s">
        <v>2962</v>
      </c>
      <c r="AA307" t="s">
        <v>2963</v>
      </c>
      <c r="AB307" s="1" t="s">
        <v>2964</v>
      </c>
      <c r="AC307" t="s">
        <v>2965</v>
      </c>
      <c r="AD307" t="s">
        <v>2963</v>
      </c>
      <c r="AH307" t="s">
        <v>123</v>
      </c>
      <c r="AI307" t="s">
        <v>124</v>
      </c>
      <c r="AJ307" t="s">
        <v>2966</v>
      </c>
      <c r="AK307" t="s">
        <v>126</v>
      </c>
      <c r="AL307" t="s">
        <v>127</v>
      </c>
      <c r="AN307" t="s">
        <v>2967</v>
      </c>
      <c r="AO307" t="s">
        <v>2968</v>
      </c>
      <c r="AP307" t="s">
        <v>2969</v>
      </c>
      <c r="AQ307" t="s">
        <v>131</v>
      </c>
      <c r="AR307" t="s">
        <v>132</v>
      </c>
      <c r="AS307" t="s">
        <v>2970</v>
      </c>
      <c r="AT307" t="s">
        <v>2971</v>
      </c>
      <c r="AV307" t="s">
        <v>965</v>
      </c>
      <c r="AW307" t="s">
        <v>389</v>
      </c>
      <c r="AX307" t="s">
        <v>136</v>
      </c>
      <c r="AY307" t="s">
        <v>177</v>
      </c>
      <c r="AZ307" t="s">
        <v>138</v>
      </c>
      <c r="BA307" t="s">
        <v>2972</v>
      </c>
      <c r="BC307" t="s">
        <v>140</v>
      </c>
      <c r="BT307" s="7">
        <f t="shared" si="25"/>
        <v>239</v>
      </c>
      <c r="BU307" s="6">
        <f t="shared" si="26"/>
        <v>223.36448598130841</v>
      </c>
      <c r="BV307" s="6">
        <f t="shared" si="27"/>
        <v>15.635514018691588</v>
      </c>
      <c r="BW307" s="6">
        <f t="shared" si="28"/>
        <v>239</v>
      </c>
      <c r="BX307" s="6">
        <f t="shared" si="29"/>
        <v>0</v>
      </c>
    </row>
    <row r="308" spans="1:76" x14ac:dyDescent="0.35">
      <c r="A308" t="s">
        <v>2961</v>
      </c>
      <c r="B308" t="s">
        <v>107</v>
      </c>
      <c r="C308" t="s">
        <v>107</v>
      </c>
      <c r="E308" t="s">
        <v>108</v>
      </c>
      <c r="F308" t="s">
        <v>268</v>
      </c>
      <c r="G308" t="s">
        <v>269</v>
      </c>
      <c r="H308" t="s">
        <v>2268</v>
      </c>
      <c r="I308" t="s">
        <v>271</v>
      </c>
      <c r="J308" t="s">
        <v>113</v>
      </c>
      <c r="K308" s="8" t="s">
        <v>114</v>
      </c>
      <c r="L308" t="s">
        <v>114</v>
      </c>
      <c r="M308" s="6">
        <v>0</v>
      </c>
      <c r="N308" t="s">
        <v>114</v>
      </c>
      <c r="O308" s="6">
        <v>0</v>
      </c>
      <c r="P308" t="s">
        <v>114</v>
      </c>
      <c r="Q308" s="6">
        <v>0</v>
      </c>
      <c r="R308" s="7">
        <f t="shared" si="24"/>
        <v>0</v>
      </c>
      <c r="S308" t="s">
        <v>180</v>
      </c>
      <c r="T308" t="s">
        <v>114</v>
      </c>
      <c r="U308" t="s">
        <v>180</v>
      </c>
      <c r="W308" t="s">
        <v>114</v>
      </c>
      <c r="X308" t="s">
        <v>1111</v>
      </c>
      <c r="Z308" t="s">
        <v>2962</v>
      </c>
      <c r="AA308" t="s">
        <v>2963</v>
      </c>
      <c r="AB308" s="1" t="s">
        <v>2964</v>
      </c>
      <c r="AC308" t="s">
        <v>2965</v>
      </c>
      <c r="AD308" t="s">
        <v>2963</v>
      </c>
      <c r="AH308" t="s">
        <v>123</v>
      </c>
      <c r="AI308" t="s">
        <v>124</v>
      </c>
      <c r="AJ308" t="s">
        <v>2966</v>
      </c>
      <c r="AK308" t="s">
        <v>126</v>
      </c>
      <c r="AL308" t="s">
        <v>127</v>
      </c>
      <c r="AN308" t="s">
        <v>2967</v>
      </c>
      <c r="AO308" t="s">
        <v>2968</v>
      </c>
      <c r="AP308" t="s">
        <v>2969</v>
      </c>
      <c r="AQ308" t="s">
        <v>131</v>
      </c>
      <c r="AR308" t="s">
        <v>132</v>
      </c>
      <c r="AS308" t="s">
        <v>2970</v>
      </c>
      <c r="AT308" t="s">
        <v>2971</v>
      </c>
      <c r="AV308" t="s">
        <v>965</v>
      </c>
      <c r="AW308" t="s">
        <v>389</v>
      </c>
      <c r="AX308" t="s">
        <v>136</v>
      </c>
      <c r="AY308" t="s">
        <v>272</v>
      </c>
      <c r="AZ308" t="s">
        <v>273</v>
      </c>
      <c r="BA308" t="s">
        <v>2972</v>
      </c>
      <c r="BC308" t="s">
        <v>140</v>
      </c>
      <c r="BT308" s="7">
        <f t="shared" si="25"/>
        <v>0</v>
      </c>
      <c r="BU308" s="6">
        <f t="shared" si="26"/>
        <v>0</v>
      </c>
      <c r="BV308" s="6">
        <f t="shared" si="27"/>
        <v>0</v>
      </c>
      <c r="BW308" s="6">
        <f t="shared" si="28"/>
        <v>0</v>
      </c>
      <c r="BX308" s="6">
        <f t="shared" si="29"/>
        <v>0</v>
      </c>
    </row>
    <row r="309" spans="1:76" x14ac:dyDescent="0.35">
      <c r="A309" t="s">
        <v>2973</v>
      </c>
      <c r="B309" t="s">
        <v>107</v>
      </c>
      <c r="C309" t="s">
        <v>107</v>
      </c>
      <c r="E309" t="s">
        <v>108</v>
      </c>
      <c r="F309" t="s">
        <v>268</v>
      </c>
      <c r="G309" t="s">
        <v>269</v>
      </c>
      <c r="H309" t="s">
        <v>2268</v>
      </c>
      <c r="I309" t="s">
        <v>271</v>
      </c>
      <c r="J309" t="s">
        <v>113</v>
      </c>
      <c r="K309" s="8" t="s">
        <v>114</v>
      </c>
      <c r="L309" t="s">
        <v>114</v>
      </c>
      <c r="M309" s="6">
        <v>0</v>
      </c>
      <c r="N309" t="s">
        <v>114</v>
      </c>
      <c r="O309" s="6">
        <v>0</v>
      </c>
      <c r="P309" t="s">
        <v>114</v>
      </c>
      <c r="Q309" s="6">
        <v>0</v>
      </c>
      <c r="R309" s="7">
        <f t="shared" si="24"/>
        <v>0</v>
      </c>
      <c r="S309" t="s">
        <v>180</v>
      </c>
      <c r="T309" t="s">
        <v>114</v>
      </c>
      <c r="U309" t="s">
        <v>180</v>
      </c>
      <c r="W309" t="s">
        <v>114</v>
      </c>
      <c r="X309" t="s">
        <v>1876</v>
      </c>
      <c r="Z309" t="s">
        <v>2974</v>
      </c>
      <c r="AA309" t="s">
        <v>2975</v>
      </c>
      <c r="AB309" s="1" t="s">
        <v>2976</v>
      </c>
      <c r="AC309" t="s">
        <v>2977</v>
      </c>
      <c r="AD309" t="s">
        <v>2978</v>
      </c>
      <c r="AH309" t="s">
        <v>123</v>
      </c>
      <c r="AI309" t="s">
        <v>124</v>
      </c>
      <c r="AJ309" t="s">
        <v>2979</v>
      </c>
      <c r="AK309" t="s">
        <v>126</v>
      </c>
      <c r="AL309" t="s">
        <v>127</v>
      </c>
      <c r="AN309" t="s">
        <v>2980</v>
      </c>
      <c r="AO309" t="s">
        <v>2981</v>
      </c>
      <c r="AP309" t="s">
        <v>2982</v>
      </c>
      <c r="AQ309" t="s">
        <v>131</v>
      </c>
      <c r="AR309" t="s">
        <v>132</v>
      </c>
      <c r="AS309" t="s">
        <v>284</v>
      </c>
      <c r="AT309" t="s">
        <v>285</v>
      </c>
      <c r="AV309" t="s">
        <v>219</v>
      </c>
      <c r="AX309" t="s">
        <v>655</v>
      </c>
      <c r="AY309" t="s">
        <v>272</v>
      </c>
      <c r="AZ309" t="s">
        <v>273</v>
      </c>
      <c r="BA309" t="s">
        <v>2983</v>
      </c>
      <c r="BC309" t="s">
        <v>140</v>
      </c>
      <c r="BT309" s="7">
        <f t="shared" si="25"/>
        <v>0</v>
      </c>
      <c r="BU309" s="6">
        <f t="shared" si="26"/>
        <v>0</v>
      </c>
      <c r="BV309" s="6">
        <f t="shared" si="27"/>
        <v>0</v>
      </c>
      <c r="BW309" s="6">
        <f t="shared" si="28"/>
        <v>0</v>
      </c>
      <c r="BX309" s="6">
        <f t="shared" si="29"/>
        <v>0</v>
      </c>
    </row>
    <row r="310" spans="1:76" x14ac:dyDescent="0.35">
      <c r="A310" t="s">
        <v>2973</v>
      </c>
      <c r="B310" t="s">
        <v>107</v>
      </c>
      <c r="C310" t="s">
        <v>107</v>
      </c>
      <c r="E310" t="s">
        <v>108</v>
      </c>
      <c r="F310" t="s">
        <v>158</v>
      </c>
      <c r="G310" t="s">
        <v>159</v>
      </c>
      <c r="H310" t="s">
        <v>111</v>
      </c>
      <c r="I310" t="s">
        <v>341</v>
      </c>
      <c r="J310" t="s">
        <v>113</v>
      </c>
      <c r="K310" s="8" t="s">
        <v>114</v>
      </c>
      <c r="L310" t="s">
        <v>161</v>
      </c>
      <c r="M310" s="6">
        <v>459</v>
      </c>
      <c r="N310" t="s">
        <v>436</v>
      </c>
      <c r="O310" s="6">
        <v>220</v>
      </c>
      <c r="P310" t="s">
        <v>1876</v>
      </c>
      <c r="Q310" s="6">
        <v>0</v>
      </c>
      <c r="R310" s="7">
        <f t="shared" si="24"/>
        <v>239</v>
      </c>
      <c r="S310" t="s">
        <v>180</v>
      </c>
      <c r="T310" t="s">
        <v>114</v>
      </c>
      <c r="U310" t="s">
        <v>180</v>
      </c>
      <c r="W310" t="s">
        <v>114</v>
      </c>
      <c r="X310" t="s">
        <v>1876</v>
      </c>
      <c r="Z310" t="s">
        <v>2974</v>
      </c>
      <c r="AA310" t="s">
        <v>2975</v>
      </c>
      <c r="AB310" s="1" t="s">
        <v>2976</v>
      </c>
      <c r="AC310" t="s">
        <v>2977</v>
      </c>
      <c r="AD310" t="s">
        <v>2978</v>
      </c>
      <c r="AH310" t="s">
        <v>123</v>
      </c>
      <c r="AI310" t="s">
        <v>124</v>
      </c>
      <c r="AJ310" t="s">
        <v>2979</v>
      </c>
      <c r="AK310" t="s">
        <v>126</v>
      </c>
      <c r="AL310" t="s">
        <v>127</v>
      </c>
      <c r="AN310" t="s">
        <v>2980</v>
      </c>
      <c r="AO310" t="s">
        <v>2981</v>
      </c>
      <c r="AP310" t="s">
        <v>2982</v>
      </c>
      <c r="AQ310" t="s">
        <v>131</v>
      </c>
      <c r="AR310" t="s">
        <v>132</v>
      </c>
      <c r="AS310" t="s">
        <v>284</v>
      </c>
      <c r="AT310" t="s">
        <v>285</v>
      </c>
      <c r="AV310" t="s">
        <v>219</v>
      </c>
      <c r="AX310" t="s">
        <v>655</v>
      </c>
      <c r="AY310" t="s">
        <v>177</v>
      </c>
      <c r="AZ310" t="s">
        <v>138</v>
      </c>
      <c r="BA310" t="s">
        <v>2983</v>
      </c>
      <c r="BC310" t="s">
        <v>140</v>
      </c>
      <c r="BT310" s="7">
        <f t="shared" si="25"/>
        <v>239</v>
      </c>
      <c r="BU310" s="6">
        <f t="shared" si="26"/>
        <v>223.36448598130841</v>
      </c>
      <c r="BV310" s="6">
        <f t="shared" si="27"/>
        <v>15.635514018691588</v>
      </c>
      <c r="BW310" s="6">
        <f t="shared" si="28"/>
        <v>239</v>
      </c>
      <c r="BX310" s="6">
        <f t="shared" si="29"/>
        <v>0</v>
      </c>
    </row>
    <row r="311" spans="1:76" x14ac:dyDescent="0.35">
      <c r="A311" t="s">
        <v>2984</v>
      </c>
      <c r="B311" t="s">
        <v>107</v>
      </c>
      <c r="C311" t="s">
        <v>107</v>
      </c>
      <c r="F311" t="s">
        <v>358</v>
      </c>
      <c r="G311" t="s">
        <v>359</v>
      </c>
      <c r="H311" t="s">
        <v>360</v>
      </c>
      <c r="I311" t="s">
        <v>341</v>
      </c>
      <c r="J311" t="s">
        <v>113</v>
      </c>
      <c r="K311" s="8" t="s">
        <v>114</v>
      </c>
      <c r="L311" t="s">
        <v>114</v>
      </c>
      <c r="M311" s="6">
        <v>0</v>
      </c>
      <c r="N311" t="s">
        <v>114</v>
      </c>
      <c r="O311" s="6">
        <v>0</v>
      </c>
      <c r="P311" t="s">
        <v>114</v>
      </c>
      <c r="Q311" s="6">
        <v>0</v>
      </c>
      <c r="R311" s="7">
        <f t="shared" si="24"/>
        <v>0</v>
      </c>
      <c r="S311" t="s">
        <v>114</v>
      </c>
      <c r="T311" t="s">
        <v>114</v>
      </c>
      <c r="U311" t="s">
        <v>114</v>
      </c>
      <c r="W311" t="s">
        <v>114</v>
      </c>
      <c r="X311" t="s">
        <v>114</v>
      </c>
      <c r="Z311" t="s">
        <v>2985</v>
      </c>
      <c r="AA311" t="s">
        <v>2985</v>
      </c>
      <c r="AB311" s="1" t="s">
        <v>2986</v>
      </c>
      <c r="AC311" t="s">
        <v>2987</v>
      </c>
      <c r="AD311" t="s">
        <v>2988</v>
      </c>
      <c r="AH311" t="s">
        <v>123</v>
      </c>
      <c r="AI311" t="s">
        <v>124</v>
      </c>
      <c r="AJ311" t="s">
        <v>2989</v>
      </c>
      <c r="AK311" t="s">
        <v>126</v>
      </c>
      <c r="AL311" t="s">
        <v>127</v>
      </c>
      <c r="AN311" t="s">
        <v>2990</v>
      </c>
      <c r="AO311" t="s">
        <v>2991</v>
      </c>
      <c r="AP311" t="s">
        <v>2992</v>
      </c>
      <c r="AQ311" t="s">
        <v>131</v>
      </c>
      <c r="AR311" t="s">
        <v>132</v>
      </c>
      <c r="AS311" t="s">
        <v>1146</v>
      </c>
      <c r="AT311" t="s">
        <v>2993</v>
      </c>
      <c r="AV311" t="s">
        <v>354</v>
      </c>
      <c r="AY311" t="s">
        <v>177</v>
      </c>
      <c r="AZ311" t="s">
        <v>364</v>
      </c>
      <c r="BA311" t="s">
        <v>2994</v>
      </c>
      <c r="BC311" t="s">
        <v>140</v>
      </c>
      <c r="BT311" s="7">
        <f t="shared" si="25"/>
        <v>0</v>
      </c>
      <c r="BU311" s="6">
        <f t="shared" si="26"/>
        <v>0</v>
      </c>
      <c r="BV311" s="6">
        <f t="shared" si="27"/>
        <v>0</v>
      </c>
      <c r="BW311" s="6">
        <f t="shared" si="28"/>
        <v>0</v>
      </c>
      <c r="BX311" s="6">
        <f t="shared" si="29"/>
        <v>0</v>
      </c>
    </row>
    <row r="312" spans="1:76" x14ac:dyDescent="0.35">
      <c r="A312" t="s">
        <v>2995</v>
      </c>
      <c r="B312" t="s">
        <v>107</v>
      </c>
      <c r="C312" t="s">
        <v>107</v>
      </c>
      <c r="E312" t="s">
        <v>108</v>
      </c>
      <c r="F312" t="s">
        <v>158</v>
      </c>
      <c r="G312" t="s">
        <v>159</v>
      </c>
      <c r="H312" t="s">
        <v>111</v>
      </c>
      <c r="I312" t="s">
        <v>341</v>
      </c>
      <c r="J312" t="s">
        <v>113</v>
      </c>
      <c r="K312" s="8" t="s">
        <v>114</v>
      </c>
      <c r="L312" t="s">
        <v>161</v>
      </c>
      <c r="M312" s="6">
        <v>459</v>
      </c>
      <c r="N312" t="s">
        <v>114</v>
      </c>
      <c r="O312" s="6">
        <v>220</v>
      </c>
      <c r="P312" t="s">
        <v>1111</v>
      </c>
      <c r="Q312" s="6">
        <v>0</v>
      </c>
      <c r="R312" s="7">
        <f t="shared" si="24"/>
        <v>239</v>
      </c>
      <c r="S312" t="s">
        <v>180</v>
      </c>
      <c r="T312" t="s">
        <v>114</v>
      </c>
      <c r="U312" t="s">
        <v>180</v>
      </c>
      <c r="W312" t="s">
        <v>114</v>
      </c>
      <c r="X312" t="s">
        <v>1111</v>
      </c>
      <c r="Z312" t="s">
        <v>2996</v>
      </c>
      <c r="AA312" t="s">
        <v>2997</v>
      </c>
      <c r="AB312" s="1" t="s">
        <v>2998</v>
      </c>
      <c r="AC312" t="s">
        <v>2999</v>
      </c>
      <c r="AD312" t="s">
        <v>3000</v>
      </c>
      <c r="AH312" t="s">
        <v>123</v>
      </c>
      <c r="AI312" t="s">
        <v>124</v>
      </c>
      <c r="AJ312" t="s">
        <v>3001</v>
      </c>
      <c r="AK312" t="s">
        <v>126</v>
      </c>
      <c r="AL312" t="s">
        <v>127</v>
      </c>
      <c r="AN312" t="s">
        <v>3002</v>
      </c>
      <c r="AO312" t="s">
        <v>3003</v>
      </c>
      <c r="AP312" t="s">
        <v>3004</v>
      </c>
      <c r="AQ312" t="s">
        <v>131</v>
      </c>
      <c r="AR312" t="s">
        <v>132</v>
      </c>
      <c r="AS312" t="s">
        <v>1056</v>
      </c>
      <c r="AT312" t="s">
        <v>3005</v>
      </c>
      <c r="AV312" t="s">
        <v>1403</v>
      </c>
      <c r="AX312" t="s">
        <v>176</v>
      </c>
      <c r="AY312" t="s">
        <v>177</v>
      </c>
      <c r="AZ312" t="s">
        <v>138</v>
      </c>
      <c r="BA312" t="s">
        <v>3006</v>
      </c>
      <c r="BC312" t="s">
        <v>140</v>
      </c>
      <c r="BT312" s="7">
        <f t="shared" si="25"/>
        <v>239</v>
      </c>
      <c r="BU312" s="6">
        <f t="shared" si="26"/>
        <v>223.36448598130841</v>
      </c>
      <c r="BV312" s="6">
        <f t="shared" si="27"/>
        <v>15.635514018691588</v>
      </c>
      <c r="BW312" s="6">
        <f t="shared" si="28"/>
        <v>239</v>
      </c>
      <c r="BX312" s="6">
        <f t="shared" si="29"/>
        <v>0</v>
      </c>
    </row>
    <row r="313" spans="1:76" x14ac:dyDescent="0.35">
      <c r="A313" t="s">
        <v>2995</v>
      </c>
      <c r="B313" t="s">
        <v>107</v>
      </c>
      <c r="C313" t="s">
        <v>107</v>
      </c>
      <c r="E313" t="s">
        <v>108</v>
      </c>
      <c r="F313" t="s">
        <v>268</v>
      </c>
      <c r="G313" t="s">
        <v>269</v>
      </c>
      <c r="H313" t="s">
        <v>2268</v>
      </c>
      <c r="I313" t="s">
        <v>271</v>
      </c>
      <c r="J313" t="s">
        <v>113</v>
      </c>
      <c r="K313" s="8" t="s">
        <v>114</v>
      </c>
      <c r="L313" t="s">
        <v>114</v>
      </c>
      <c r="M313" s="6">
        <v>0</v>
      </c>
      <c r="N313" t="s">
        <v>114</v>
      </c>
      <c r="O313" s="6">
        <v>0</v>
      </c>
      <c r="P313" t="s">
        <v>114</v>
      </c>
      <c r="Q313" s="6">
        <v>0</v>
      </c>
      <c r="R313" s="7">
        <f t="shared" si="24"/>
        <v>0</v>
      </c>
      <c r="S313" t="s">
        <v>180</v>
      </c>
      <c r="T313" t="s">
        <v>114</v>
      </c>
      <c r="U313" t="s">
        <v>180</v>
      </c>
      <c r="W313" t="s">
        <v>114</v>
      </c>
      <c r="X313" t="s">
        <v>1111</v>
      </c>
      <c r="Z313" t="s">
        <v>2996</v>
      </c>
      <c r="AA313" t="s">
        <v>2997</v>
      </c>
      <c r="AB313" s="1" t="s">
        <v>2998</v>
      </c>
      <c r="AC313" t="s">
        <v>2999</v>
      </c>
      <c r="AD313" t="s">
        <v>3000</v>
      </c>
      <c r="AH313" t="s">
        <v>123</v>
      </c>
      <c r="AI313" t="s">
        <v>124</v>
      </c>
      <c r="AJ313" t="s">
        <v>3001</v>
      </c>
      <c r="AK313" t="s">
        <v>126</v>
      </c>
      <c r="AL313" t="s">
        <v>127</v>
      </c>
      <c r="AN313" t="s">
        <v>3002</v>
      </c>
      <c r="AO313" t="s">
        <v>3003</v>
      </c>
      <c r="AP313" t="s">
        <v>3004</v>
      </c>
      <c r="AQ313" t="s">
        <v>131</v>
      </c>
      <c r="AR313" t="s">
        <v>132</v>
      </c>
      <c r="AS313" t="s">
        <v>1056</v>
      </c>
      <c r="AT313" t="s">
        <v>3005</v>
      </c>
      <c r="AV313" t="s">
        <v>1403</v>
      </c>
      <c r="AX313" t="s">
        <v>176</v>
      </c>
      <c r="AY313" t="s">
        <v>272</v>
      </c>
      <c r="AZ313" t="s">
        <v>273</v>
      </c>
      <c r="BA313" t="s">
        <v>3006</v>
      </c>
      <c r="BC313" t="s">
        <v>140</v>
      </c>
      <c r="BT313" s="7">
        <f t="shared" si="25"/>
        <v>0</v>
      </c>
      <c r="BU313" s="6">
        <f t="shared" si="26"/>
        <v>0</v>
      </c>
      <c r="BV313" s="6">
        <f t="shared" si="27"/>
        <v>0</v>
      </c>
      <c r="BW313" s="6">
        <f t="shared" si="28"/>
        <v>0</v>
      </c>
      <c r="BX313" s="6">
        <f t="shared" si="29"/>
        <v>0</v>
      </c>
    </row>
    <row r="314" spans="1:76" x14ac:dyDescent="0.35">
      <c r="A314" t="s">
        <v>3007</v>
      </c>
      <c r="B314" t="s">
        <v>107</v>
      </c>
      <c r="C314" t="s">
        <v>107</v>
      </c>
      <c r="E314" t="s">
        <v>108</v>
      </c>
      <c r="F314" t="s">
        <v>268</v>
      </c>
      <c r="G314" t="s">
        <v>269</v>
      </c>
      <c r="H314" t="s">
        <v>2268</v>
      </c>
      <c r="I314" t="s">
        <v>271</v>
      </c>
      <c r="J314" t="s">
        <v>113</v>
      </c>
      <c r="K314" s="8" t="s">
        <v>114</v>
      </c>
      <c r="L314" t="s">
        <v>114</v>
      </c>
      <c r="M314" s="6">
        <v>0</v>
      </c>
      <c r="N314" t="s">
        <v>114</v>
      </c>
      <c r="O314" s="6">
        <v>0</v>
      </c>
      <c r="P314" t="s">
        <v>114</v>
      </c>
      <c r="Q314" s="6">
        <v>0</v>
      </c>
      <c r="R314" s="7">
        <f t="shared" si="24"/>
        <v>0</v>
      </c>
      <c r="S314" t="s">
        <v>142</v>
      </c>
      <c r="T314" t="s">
        <v>114</v>
      </c>
      <c r="U314" t="s">
        <v>142</v>
      </c>
      <c r="W314" t="s">
        <v>114</v>
      </c>
      <c r="X314" t="s">
        <v>1575</v>
      </c>
      <c r="Z314" t="s">
        <v>3008</v>
      </c>
      <c r="AA314" t="s">
        <v>3009</v>
      </c>
      <c r="AB314" s="1" t="s">
        <v>3010</v>
      </c>
      <c r="AC314" t="s">
        <v>3011</v>
      </c>
      <c r="AD314" t="s">
        <v>3012</v>
      </c>
      <c r="AH314" t="s">
        <v>123</v>
      </c>
      <c r="AI314" t="s">
        <v>124</v>
      </c>
      <c r="AJ314" t="s">
        <v>3013</v>
      </c>
      <c r="AK314" t="s">
        <v>126</v>
      </c>
      <c r="AL314" t="s">
        <v>127</v>
      </c>
      <c r="AN314" t="s">
        <v>3014</v>
      </c>
      <c r="AO314" t="s">
        <v>3015</v>
      </c>
      <c r="AP314" t="s">
        <v>3016</v>
      </c>
      <c r="AQ314" t="s">
        <v>131</v>
      </c>
      <c r="AR314" t="s">
        <v>132</v>
      </c>
      <c r="AS314" t="s">
        <v>466</v>
      </c>
      <c r="AT314" t="s">
        <v>584</v>
      </c>
      <c r="AV314" t="s">
        <v>204</v>
      </c>
      <c r="AX314" t="s">
        <v>155</v>
      </c>
      <c r="AY314" t="s">
        <v>272</v>
      </c>
      <c r="AZ314" t="s">
        <v>273</v>
      </c>
      <c r="BA314" t="s">
        <v>3017</v>
      </c>
      <c r="BC314" t="s">
        <v>140</v>
      </c>
      <c r="BT314" s="7">
        <f t="shared" si="25"/>
        <v>0</v>
      </c>
      <c r="BU314" s="6">
        <f t="shared" si="26"/>
        <v>0</v>
      </c>
      <c r="BV314" s="6">
        <f t="shared" si="27"/>
        <v>0</v>
      </c>
      <c r="BW314" s="6">
        <f t="shared" si="28"/>
        <v>0</v>
      </c>
      <c r="BX314" s="6">
        <f t="shared" si="29"/>
        <v>0</v>
      </c>
    </row>
    <row r="315" spans="1:76" x14ac:dyDescent="0.35">
      <c r="A315" t="s">
        <v>3007</v>
      </c>
      <c r="B315" t="s">
        <v>107</v>
      </c>
      <c r="C315" t="s">
        <v>107</v>
      </c>
      <c r="E315" t="s">
        <v>108</v>
      </c>
      <c r="F315" t="s">
        <v>158</v>
      </c>
      <c r="G315" t="s">
        <v>159</v>
      </c>
      <c r="H315" t="s">
        <v>111</v>
      </c>
      <c r="I315" t="s">
        <v>341</v>
      </c>
      <c r="J315" t="s">
        <v>113</v>
      </c>
      <c r="K315" s="8" t="s">
        <v>114</v>
      </c>
      <c r="L315" t="s">
        <v>161</v>
      </c>
      <c r="M315" s="6">
        <v>459</v>
      </c>
      <c r="N315" t="s">
        <v>762</v>
      </c>
      <c r="O315" s="6">
        <v>220</v>
      </c>
      <c r="P315" t="s">
        <v>1575</v>
      </c>
      <c r="Q315" s="6">
        <v>0</v>
      </c>
      <c r="R315" s="7">
        <f t="shared" si="24"/>
        <v>239</v>
      </c>
      <c r="S315" t="s">
        <v>142</v>
      </c>
      <c r="T315" t="s">
        <v>114</v>
      </c>
      <c r="U315" t="s">
        <v>142</v>
      </c>
      <c r="W315" t="s">
        <v>114</v>
      </c>
      <c r="X315" t="s">
        <v>1575</v>
      </c>
      <c r="Z315" t="s">
        <v>3008</v>
      </c>
      <c r="AA315" t="s">
        <v>3009</v>
      </c>
      <c r="AB315" s="1" t="s">
        <v>3010</v>
      </c>
      <c r="AC315" t="s">
        <v>3011</v>
      </c>
      <c r="AD315" t="s">
        <v>3012</v>
      </c>
      <c r="AH315" t="s">
        <v>123</v>
      </c>
      <c r="AI315" t="s">
        <v>124</v>
      </c>
      <c r="AJ315" t="s">
        <v>3013</v>
      </c>
      <c r="AK315" t="s">
        <v>126</v>
      </c>
      <c r="AL315" t="s">
        <v>127</v>
      </c>
      <c r="AN315" t="s">
        <v>3014</v>
      </c>
      <c r="AO315" t="s">
        <v>3015</v>
      </c>
      <c r="AP315" t="s">
        <v>3016</v>
      </c>
      <c r="AQ315" t="s">
        <v>131</v>
      </c>
      <c r="AR315" t="s">
        <v>132</v>
      </c>
      <c r="AS315" t="s">
        <v>466</v>
      </c>
      <c r="AT315" t="s">
        <v>584</v>
      </c>
      <c r="AV315" t="s">
        <v>204</v>
      </c>
      <c r="AX315" t="s">
        <v>155</v>
      </c>
      <c r="AY315" t="s">
        <v>177</v>
      </c>
      <c r="AZ315" t="s">
        <v>138</v>
      </c>
      <c r="BA315" t="s">
        <v>3017</v>
      </c>
      <c r="BC315" t="s">
        <v>140</v>
      </c>
      <c r="BT315" s="7">
        <f t="shared" si="25"/>
        <v>239</v>
      </c>
      <c r="BU315" s="6">
        <f t="shared" si="26"/>
        <v>223.36448598130841</v>
      </c>
      <c r="BV315" s="6">
        <f t="shared" si="27"/>
        <v>15.635514018691588</v>
      </c>
      <c r="BW315" s="6">
        <f t="shared" si="28"/>
        <v>239</v>
      </c>
      <c r="BX315" s="6">
        <f t="shared" si="29"/>
        <v>0</v>
      </c>
    </row>
    <row r="316" spans="1:76" x14ac:dyDescent="0.35">
      <c r="A316" t="s">
        <v>3018</v>
      </c>
      <c r="B316" t="s">
        <v>107</v>
      </c>
      <c r="C316" t="s">
        <v>107</v>
      </c>
      <c r="F316" t="s">
        <v>358</v>
      </c>
      <c r="G316" t="s">
        <v>359</v>
      </c>
      <c r="H316" t="s">
        <v>360</v>
      </c>
      <c r="I316" t="s">
        <v>341</v>
      </c>
      <c r="J316" t="s">
        <v>113</v>
      </c>
      <c r="K316" s="8" t="s">
        <v>114</v>
      </c>
      <c r="L316" t="s">
        <v>114</v>
      </c>
      <c r="M316" s="6">
        <v>0</v>
      </c>
      <c r="N316" t="s">
        <v>114</v>
      </c>
      <c r="O316" s="6">
        <v>0</v>
      </c>
      <c r="P316" t="s">
        <v>114</v>
      </c>
      <c r="Q316" s="6">
        <v>0</v>
      </c>
      <c r="R316" s="7">
        <f t="shared" si="24"/>
        <v>0</v>
      </c>
      <c r="S316" t="s">
        <v>114</v>
      </c>
      <c r="T316" t="s">
        <v>114</v>
      </c>
      <c r="U316" t="s">
        <v>114</v>
      </c>
      <c r="W316" t="s">
        <v>114</v>
      </c>
      <c r="X316" t="s">
        <v>114</v>
      </c>
      <c r="Z316" t="s">
        <v>3019</v>
      </c>
      <c r="AA316" t="s">
        <v>3019</v>
      </c>
      <c r="AB316" s="1" t="s">
        <v>3020</v>
      </c>
      <c r="AC316" t="s">
        <v>3021</v>
      </c>
      <c r="AD316" t="s">
        <v>3022</v>
      </c>
      <c r="AH316" t="s">
        <v>123</v>
      </c>
      <c r="AI316" t="s">
        <v>124</v>
      </c>
      <c r="AJ316" t="s">
        <v>3023</v>
      </c>
      <c r="AK316" t="s">
        <v>126</v>
      </c>
      <c r="AL316" t="s">
        <v>127</v>
      </c>
      <c r="AN316" t="s">
        <v>3024</v>
      </c>
      <c r="AO316" t="s">
        <v>3025</v>
      </c>
      <c r="AP316" t="s">
        <v>3026</v>
      </c>
      <c r="AQ316" t="s">
        <v>131</v>
      </c>
      <c r="AR316" t="s">
        <v>132</v>
      </c>
      <c r="AS316" t="s">
        <v>152</v>
      </c>
      <c r="AT316" t="s">
        <v>3027</v>
      </c>
      <c r="AV316" t="s">
        <v>906</v>
      </c>
      <c r="AY316" t="s">
        <v>177</v>
      </c>
      <c r="AZ316" t="s">
        <v>364</v>
      </c>
      <c r="BA316" t="s">
        <v>3028</v>
      </c>
      <c r="BC316" t="s">
        <v>140</v>
      </c>
      <c r="BT316" s="7">
        <f t="shared" si="25"/>
        <v>0</v>
      </c>
      <c r="BU316" s="6">
        <f t="shared" si="26"/>
        <v>0</v>
      </c>
      <c r="BV316" s="6">
        <f t="shared" si="27"/>
        <v>0</v>
      </c>
      <c r="BW316" s="6">
        <f t="shared" si="28"/>
        <v>0</v>
      </c>
      <c r="BX316" s="6">
        <f t="shared" si="29"/>
        <v>0</v>
      </c>
    </row>
    <row r="317" spans="1:76" x14ac:dyDescent="0.35">
      <c r="A317" t="s">
        <v>3029</v>
      </c>
      <c r="B317" t="s">
        <v>107</v>
      </c>
      <c r="C317" t="s">
        <v>107</v>
      </c>
      <c r="F317" t="s">
        <v>613</v>
      </c>
      <c r="G317" t="s">
        <v>614</v>
      </c>
      <c r="H317" t="s">
        <v>615</v>
      </c>
      <c r="I317" t="s">
        <v>271</v>
      </c>
      <c r="J317" t="s">
        <v>113</v>
      </c>
      <c r="K317" s="8" t="s">
        <v>114</v>
      </c>
      <c r="L317" t="s">
        <v>114</v>
      </c>
      <c r="M317" s="6">
        <v>0</v>
      </c>
      <c r="N317" t="s">
        <v>114</v>
      </c>
      <c r="O317" s="6">
        <v>0</v>
      </c>
      <c r="P317" t="s">
        <v>114</v>
      </c>
      <c r="Q317" s="6">
        <v>0</v>
      </c>
      <c r="R317" s="7">
        <f t="shared" si="24"/>
        <v>0</v>
      </c>
      <c r="S317" t="s">
        <v>114</v>
      </c>
      <c r="T317" t="s">
        <v>114</v>
      </c>
      <c r="U317" t="s">
        <v>114</v>
      </c>
      <c r="W317" t="s">
        <v>114</v>
      </c>
      <c r="X317" t="s">
        <v>114</v>
      </c>
      <c r="Z317" t="s">
        <v>3030</v>
      </c>
      <c r="AA317" t="s">
        <v>3030</v>
      </c>
      <c r="AB317" s="1" t="s">
        <v>3031</v>
      </c>
      <c r="AC317" t="s">
        <v>3032</v>
      </c>
      <c r="AD317" t="s">
        <v>3033</v>
      </c>
      <c r="AH317" t="s">
        <v>123</v>
      </c>
      <c r="AI317" t="s">
        <v>124</v>
      </c>
      <c r="AJ317" t="s">
        <v>3034</v>
      </c>
      <c r="AK317" t="s">
        <v>126</v>
      </c>
      <c r="AL317" t="s">
        <v>127</v>
      </c>
      <c r="AN317" t="s">
        <v>3035</v>
      </c>
      <c r="AO317" t="s">
        <v>3036</v>
      </c>
      <c r="AP317" t="s">
        <v>3037</v>
      </c>
      <c r="AQ317" t="s">
        <v>131</v>
      </c>
      <c r="AR317" t="s">
        <v>132</v>
      </c>
      <c r="AS317" t="s">
        <v>387</v>
      </c>
      <c r="AT317" t="s">
        <v>3038</v>
      </c>
      <c r="AV317" t="s">
        <v>2008</v>
      </c>
      <c r="AW317" t="s">
        <v>300</v>
      </c>
      <c r="AY317" t="s">
        <v>177</v>
      </c>
      <c r="AZ317" t="s">
        <v>627</v>
      </c>
      <c r="BA317" t="s">
        <v>3039</v>
      </c>
      <c r="BC317" t="s">
        <v>140</v>
      </c>
      <c r="BT317" s="7">
        <f t="shared" si="25"/>
        <v>0</v>
      </c>
      <c r="BU317" s="6">
        <f t="shared" si="26"/>
        <v>0</v>
      </c>
      <c r="BV317" s="6">
        <f t="shared" si="27"/>
        <v>0</v>
      </c>
      <c r="BW317" s="6">
        <f t="shared" si="28"/>
        <v>0</v>
      </c>
      <c r="BX317" s="6">
        <f t="shared" si="29"/>
        <v>0</v>
      </c>
    </row>
    <row r="318" spans="1:76" x14ac:dyDescent="0.35">
      <c r="A318" t="s">
        <v>3040</v>
      </c>
      <c r="B318" t="s">
        <v>107</v>
      </c>
      <c r="C318" t="s">
        <v>107</v>
      </c>
      <c r="F318" t="s">
        <v>358</v>
      </c>
      <c r="G318" t="s">
        <v>359</v>
      </c>
      <c r="H318" t="s">
        <v>360</v>
      </c>
      <c r="I318" t="s">
        <v>341</v>
      </c>
      <c r="J318" t="s">
        <v>113</v>
      </c>
      <c r="K318" s="8" t="s">
        <v>114</v>
      </c>
      <c r="L318" t="s">
        <v>114</v>
      </c>
      <c r="M318" s="6">
        <v>0</v>
      </c>
      <c r="N318" t="s">
        <v>114</v>
      </c>
      <c r="O318" s="6">
        <v>0</v>
      </c>
      <c r="P318" t="s">
        <v>114</v>
      </c>
      <c r="Q318" s="6">
        <v>0</v>
      </c>
      <c r="R318" s="7">
        <f t="shared" si="24"/>
        <v>0</v>
      </c>
      <c r="S318" t="s">
        <v>114</v>
      </c>
      <c r="T318" t="s">
        <v>114</v>
      </c>
      <c r="U318" t="s">
        <v>114</v>
      </c>
      <c r="W318" t="s">
        <v>114</v>
      </c>
      <c r="X318" t="s">
        <v>114</v>
      </c>
      <c r="Z318" t="s">
        <v>3041</v>
      </c>
      <c r="AA318" t="s">
        <v>3041</v>
      </c>
      <c r="AB318" s="1" t="s">
        <v>3042</v>
      </c>
      <c r="AC318" t="s">
        <v>3043</v>
      </c>
      <c r="AD318" t="s">
        <v>3044</v>
      </c>
      <c r="AH318" t="s">
        <v>123</v>
      </c>
      <c r="AI318" t="s">
        <v>124</v>
      </c>
      <c r="AJ318" t="s">
        <v>3045</v>
      </c>
      <c r="AK318" t="s">
        <v>126</v>
      </c>
      <c r="AL318" t="s">
        <v>127</v>
      </c>
      <c r="AN318" t="s">
        <v>3046</v>
      </c>
      <c r="AO318" t="s">
        <v>3047</v>
      </c>
      <c r="AP318" t="s">
        <v>3048</v>
      </c>
      <c r="AQ318" t="s">
        <v>131</v>
      </c>
      <c r="AR318" t="s">
        <v>132</v>
      </c>
      <c r="AS318" t="s">
        <v>2134</v>
      </c>
      <c r="AT318" t="s">
        <v>2135</v>
      </c>
      <c r="AV318" t="s">
        <v>3049</v>
      </c>
      <c r="AY318" t="s">
        <v>177</v>
      </c>
      <c r="AZ318" t="s">
        <v>364</v>
      </c>
      <c r="BA318" t="s">
        <v>3050</v>
      </c>
      <c r="BC318" t="s">
        <v>140</v>
      </c>
      <c r="BT318" s="7">
        <f t="shared" si="25"/>
        <v>0</v>
      </c>
      <c r="BU318" s="6">
        <f t="shared" si="26"/>
        <v>0</v>
      </c>
      <c r="BV318" s="6">
        <f t="shared" si="27"/>
        <v>0</v>
      </c>
      <c r="BW318" s="6">
        <f t="shared" si="28"/>
        <v>0</v>
      </c>
      <c r="BX318" s="6">
        <f t="shared" si="29"/>
        <v>0</v>
      </c>
    </row>
    <row r="319" spans="1:76" x14ac:dyDescent="0.35">
      <c r="A319" t="s">
        <v>3040</v>
      </c>
      <c r="B319" t="s">
        <v>107</v>
      </c>
      <c r="C319" t="s">
        <v>107</v>
      </c>
      <c r="F319" t="s">
        <v>533</v>
      </c>
      <c r="G319" t="s">
        <v>534</v>
      </c>
      <c r="H319" t="s">
        <v>2360</v>
      </c>
      <c r="I319" t="s">
        <v>536</v>
      </c>
      <c r="J319" t="s">
        <v>113</v>
      </c>
      <c r="K319" s="8" t="s">
        <v>114</v>
      </c>
      <c r="L319" t="s">
        <v>114</v>
      </c>
      <c r="M319" s="6">
        <v>0</v>
      </c>
      <c r="N319" t="s">
        <v>114</v>
      </c>
      <c r="O319" s="6">
        <v>0</v>
      </c>
      <c r="P319" t="s">
        <v>114</v>
      </c>
      <c r="Q319" s="6">
        <v>0</v>
      </c>
      <c r="R319" s="7">
        <f t="shared" si="24"/>
        <v>0</v>
      </c>
      <c r="S319" t="s">
        <v>114</v>
      </c>
      <c r="T319" t="s">
        <v>114</v>
      </c>
      <c r="U319" t="s">
        <v>114</v>
      </c>
      <c r="W319" t="s">
        <v>114</v>
      </c>
      <c r="X319" t="s">
        <v>114</v>
      </c>
      <c r="Z319" t="s">
        <v>3041</v>
      </c>
      <c r="AA319" t="s">
        <v>3041</v>
      </c>
      <c r="AB319" s="1" t="s">
        <v>3042</v>
      </c>
      <c r="AC319" t="s">
        <v>3043</v>
      </c>
      <c r="AD319" t="s">
        <v>3044</v>
      </c>
      <c r="AH319" t="s">
        <v>123</v>
      </c>
      <c r="AI319" t="s">
        <v>124</v>
      </c>
      <c r="AJ319" t="s">
        <v>3045</v>
      </c>
      <c r="AK319" t="s">
        <v>126</v>
      </c>
      <c r="AL319" t="s">
        <v>127</v>
      </c>
      <c r="AN319" t="s">
        <v>3046</v>
      </c>
      <c r="AO319" t="s">
        <v>3047</v>
      </c>
      <c r="AP319" t="s">
        <v>3048</v>
      </c>
      <c r="AQ319" t="s">
        <v>131</v>
      </c>
      <c r="AR319" t="s">
        <v>132</v>
      </c>
      <c r="AS319" t="s">
        <v>2134</v>
      </c>
      <c r="AT319" t="s">
        <v>2135</v>
      </c>
      <c r="AV319" t="s">
        <v>3049</v>
      </c>
      <c r="AY319" t="s">
        <v>547</v>
      </c>
      <c r="AZ319" t="s">
        <v>364</v>
      </c>
      <c r="BA319" t="s">
        <v>3050</v>
      </c>
      <c r="BC319" t="s">
        <v>140</v>
      </c>
      <c r="BT319" s="7">
        <f t="shared" si="25"/>
        <v>0</v>
      </c>
      <c r="BU319" s="6">
        <f t="shared" si="26"/>
        <v>0</v>
      </c>
      <c r="BV319" s="6">
        <f t="shared" si="27"/>
        <v>0</v>
      </c>
      <c r="BW319" s="6">
        <f t="shared" si="28"/>
        <v>0</v>
      </c>
      <c r="BX319" s="6">
        <f t="shared" si="29"/>
        <v>0</v>
      </c>
    </row>
    <row r="320" spans="1:76" x14ac:dyDescent="0.35">
      <c r="A320" t="s">
        <v>3051</v>
      </c>
      <c r="B320" t="s">
        <v>107</v>
      </c>
      <c r="C320" t="s">
        <v>107</v>
      </c>
      <c r="E320" t="s">
        <v>108</v>
      </c>
      <c r="F320" t="s">
        <v>158</v>
      </c>
      <c r="G320" t="s">
        <v>159</v>
      </c>
      <c r="H320" t="s">
        <v>111</v>
      </c>
      <c r="I320" t="s">
        <v>341</v>
      </c>
      <c r="J320" t="s">
        <v>113</v>
      </c>
      <c r="K320" s="8" t="s">
        <v>114</v>
      </c>
      <c r="L320" t="s">
        <v>161</v>
      </c>
      <c r="M320" s="6">
        <v>459</v>
      </c>
      <c r="N320" t="s">
        <v>114</v>
      </c>
      <c r="O320" s="6">
        <v>220</v>
      </c>
      <c r="P320" t="s">
        <v>1111</v>
      </c>
      <c r="Q320" s="6">
        <v>0</v>
      </c>
      <c r="R320" s="7">
        <f t="shared" si="24"/>
        <v>239</v>
      </c>
      <c r="S320" t="s">
        <v>180</v>
      </c>
      <c r="T320" t="s">
        <v>114</v>
      </c>
      <c r="U320" t="s">
        <v>180</v>
      </c>
      <c r="W320" t="s">
        <v>114</v>
      </c>
      <c r="X320" t="s">
        <v>1111</v>
      </c>
      <c r="Z320" t="s">
        <v>3052</v>
      </c>
      <c r="AA320" t="s">
        <v>3053</v>
      </c>
      <c r="AB320" s="1" t="s">
        <v>3054</v>
      </c>
      <c r="AC320" t="s">
        <v>3055</v>
      </c>
      <c r="AD320" t="s">
        <v>3053</v>
      </c>
      <c r="AH320" t="s">
        <v>123</v>
      </c>
      <c r="AI320" t="s">
        <v>124</v>
      </c>
      <c r="AJ320" t="s">
        <v>3056</v>
      </c>
      <c r="AK320" t="s">
        <v>126</v>
      </c>
      <c r="AL320" t="s">
        <v>127</v>
      </c>
      <c r="AN320" t="s">
        <v>3057</v>
      </c>
      <c r="AO320" t="s">
        <v>3058</v>
      </c>
      <c r="AP320" t="s">
        <v>3059</v>
      </c>
      <c r="AQ320" t="s">
        <v>131</v>
      </c>
      <c r="AR320" t="s">
        <v>132</v>
      </c>
      <c r="AS320" t="s">
        <v>352</v>
      </c>
      <c r="AT320" t="s">
        <v>667</v>
      </c>
      <c r="AV320" t="s">
        <v>1135</v>
      </c>
      <c r="AX320" t="s">
        <v>136</v>
      </c>
      <c r="AY320" t="s">
        <v>177</v>
      </c>
      <c r="AZ320" t="s">
        <v>138</v>
      </c>
      <c r="BA320" t="s">
        <v>3060</v>
      </c>
      <c r="BC320" t="s">
        <v>140</v>
      </c>
      <c r="BT320" s="7">
        <f t="shared" si="25"/>
        <v>239</v>
      </c>
      <c r="BU320" s="6">
        <f t="shared" si="26"/>
        <v>223.36448598130841</v>
      </c>
      <c r="BV320" s="6">
        <f t="shared" si="27"/>
        <v>15.635514018691588</v>
      </c>
      <c r="BW320" s="6">
        <f t="shared" si="28"/>
        <v>239</v>
      </c>
      <c r="BX320" s="6">
        <f t="shared" si="29"/>
        <v>0</v>
      </c>
    </row>
    <row r="321" spans="1:76" x14ac:dyDescent="0.35">
      <c r="A321" t="s">
        <v>3051</v>
      </c>
      <c r="B321" t="s">
        <v>107</v>
      </c>
      <c r="C321" t="s">
        <v>107</v>
      </c>
      <c r="E321" t="s">
        <v>108</v>
      </c>
      <c r="F321" t="s">
        <v>268</v>
      </c>
      <c r="G321" t="s">
        <v>269</v>
      </c>
      <c r="H321" t="s">
        <v>2268</v>
      </c>
      <c r="I321" t="s">
        <v>271</v>
      </c>
      <c r="J321" t="s">
        <v>113</v>
      </c>
      <c r="K321" s="8" t="s">
        <v>114</v>
      </c>
      <c r="L321" t="s">
        <v>114</v>
      </c>
      <c r="M321" s="6">
        <v>0</v>
      </c>
      <c r="N321" t="s">
        <v>114</v>
      </c>
      <c r="O321" s="6">
        <v>0</v>
      </c>
      <c r="P321" t="s">
        <v>114</v>
      </c>
      <c r="Q321" s="6">
        <v>0</v>
      </c>
      <c r="R321" s="7">
        <f t="shared" si="24"/>
        <v>0</v>
      </c>
      <c r="S321" t="s">
        <v>180</v>
      </c>
      <c r="T321" t="s">
        <v>114</v>
      </c>
      <c r="U321" t="s">
        <v>180</v>
      </c>
      <c r="W321" t="s">
        <v>114</v>
      </c>
      <c r="X321" t="s">
        <v>1111</v>
      </c>
      <c r="Z321" t="s">
        <v>3052</v>
      </c>
      <c r="AA321" t="s">
        <v>3053</v>
      </c>
      <c r="AB321" s="1" t="s">
        <v>3054</v>
      </c>
      <c r="AC321" t="s">
        <v>3055</v>
      </c>
      <c r="AD321" t="s">
        <v>3053</v>
      </c>
      <c r="AH321" t="s">
        <v>123</v>
      </c>
      <c r="AI321" t="s">
        <v>124</v>
      </c>
      <c r="AJ321" t="s">
        <v>3056</v>
      </c>
      <c r="AK321" t="s">
        <v>126</v>
      </c>
      <c r="AL321" t="s">
        <v>127</v>
      </c>
      <c r="AN321" t="s">
        <v>3057</v>
      </c>
      <c r="AO321" t="s">
        <v>3058</v>
      </c>
      <c r="AP321" t="s">
        <v>3059</v>
      </c>
      <c r="AQ321" t="s">
        <v>131</v>
      </c>
      <c r="AR321" t="s">
        <v>132</v>
      </c>
      <c r="AS321" t="s">
        <v>352</v>
      </c>
      <c r="AT321" t="s">
        <v>667</v>
      </c>
      <c r="AV321" t="s">
        <v>1135</v>
      </c>
      <c r="AX321" t="s">
        <v>136</v>
      </c>
      <c r="AY321" t="s">
        <v>272</v>
      </c>
      <c r="AZ321" t="s">
        <v>273</v>
      </c>
      <c r="BA321" t="s">
        <v>3060</v>
      </c>
      <c r="BC321" t="s">
        <v>140</v>
      </c>
      <c r="BT321" s="7">
        <f t="shared" si="25"/>
        <v>0</v>
      </c>
      <c r="BU321" s="6">
        <f t="shared" si="26"/>
        <v>0</v>
      </c>
      <c r="BV321" s="6">
        <f t="shared" si="27"/>
        <v>0</v>
      </c>
      <c r="BW321" s="6">
        <f t="shared" si="28"/>
        <v>0</v>
      </c>
      <c r="BX321" s="6">
        <f t="shared" si="29"/>
        <v>0</v>
      </c>
    </row>
    <row r="322" spans="1:76" x14ac:dyDescent="0.35">
      <c r="A322" t="s">
        <v>3061</v>
      </c>
      <c r="B322" t="s">
        <v>107</v>
      </c>
      <c r="C322" t="s">
        <v>107</v>
      </c>
      <c r="E322" t="s">
        <v>108</v>
      </c>
      <c r="F322" t="s">
        <v>158</v>
      </c>
      <c r="G322" t="s">
        <v>159</v>
      </c>
      <c r="H322" t="s">
        <v>111</v>
      </c>
      <c r="I322" t="s">
        <v>341</v>
      </c>
      <c r="J322" t="s">
        <v>113</v>
      </c>
      <c r="K322" s="8" t="s">
        <v>114</v>
      </c>
      <c r="L322" t="s">
        <v>161</v>
      </c>
      <c r="M322" s="6">
        <v>459</v>
      </c>
      <c r="N322" t="s">
        <v>762</v>
      </c>
      <c r="O322" s="6">
        <v>220</v>
      </c>
      <c r="P322" t="s">
        <v>1575</v>
      </c>
      <c r="Q322" s="6">
        <v>0</v>
      </c>
      <c r="R322" s="7">
        <f t="shared" si="24"/>
        <v>239</v>
      </c>
      <c r="S322" t="s">
        <v>180</v>
      </c>
      <c r="T322" t="s">
        <v>114</v>
      </c>
      <c r="U322" t="s">
        <v>180</v>
      </c>
      <c r="W322" t="s">
        <v>114</v>
      </c>
      <c r="X322" t="s">
        <v>1575</v>
      </c>
      <c r="Z322" t="s">
        <v>3062</v>
      </c>
      <c r="AA322" t="s">
        <v>3063</v>
      </c>
      <c r="AB322" s="1" t="s">
        <v>3064</v>
      </c>
      <c r="AC322" t="s">
        <v>3065</v>
      </c>
      <c r="AD322" t="s">
        <v>3066</v>
      </c>
      <c r="AH322" t="s">
        <v>123</v>
      </c>
      <c r="AI322" t="s">
        <v>124</v>
      </c>
      <c r="AJ322" t="s">
        <v>3067</v>
      </c>
      <c r="AK322" t="s">
        <v>126</v>
      </c>
      <c r="AL322" t="s">
        <v>127</v>
      </c>
      <c r="AN322" t="s">
        <v>3068</v>
      </c>
      <c r="AO322" t="s">
        <v>3069</v>
      </c>
      <c r="AP322" t="s">
        <v>3070</v>
      </c>
      <c r="AQ322" t="s">
        <v>131</v>
      </c>
      <c r="AR322" t="s">
        <v>132</v>
      </c>
      <c r="AS322" t="s">
        <v>756</v>
      </c>
      <c r="AT322" t="s">
        <v>1832</v>
      </c>
      <c r="AV322" t="s">
        <v>572</v>
      </c>
      <c r="AX322" t="s">
        <v>176</v>
      </c>
      <c r="AY322" t="s">
        <v>177</v>
      </c>
      <c r="AZ322" t="s">
        <v>138</v>
      </c>
      <c r="BA322" t="s">
        <v>3071</v>
      </c>
      <c r="BC322" t="s">
        <v>140</v>
      </c>
      <c r="BT322" s="7">
        <f t="shared" si="25"/>
        <v>239</v>
      </c>
      <c r="BU322" s="6">
        <f t="shared" si="26"/>
        <v>223.36448598130841</v>
      </c>
      <c r="BV322" s="6">
        <f t="shared" si="27"/>
        <v>15.635514018691588</v>
      </c>
      <c r="BW322" s="6">
        <f t="shared" si="28"/>
        <v>239</v>
      </c>
      <c r="BX322" s="6">
        <f t="shared" si="29"/>
        <v>0</v>
      </c>
    </row>
    <row r="323" spans="1:76" x14ac:dyDescent="0.35">
      <c r="A323" t="s">
        <v>3061</v>
      </c>
      <c r="B323" t="s">
        <v>107</v>
      </c>
      <c r="C323" t="s">
        <v>107</v>
      </c>
      <c r="E323" t="s">
        <v>108</v>
      </c>
      <c r="F323" t="s">
        <v>268</v>
      </c>
      <c r="G323" t="s">
        <v>269</v>
      </c>
      <c r="H323" t="s">
        <v>2268</v>
      </c>
      <c r="I323" t="s">
        <v>271</v>
      </c>
      <c r="J323" t="s">
        <v>113</v>
      </c>
      <c r="K323" s="8" t="s">
        <v>114</v>
      </c>
      <c r="L323" t="s">
        <v>114</v>
      </c>
      <c r="M323" s="6">
        <v>0</v>
      </c>
      <c r="N323" t="s">
        <v>114</v>
      </c>
      <c r="O323" s="6">
        <v>0</v>
      </c>
      <c r="P323" t="s">
        <v>114</v>
      </c>
      <c r="Q323" s="6">
        <v>0</v>
      </c>
      <c r="R323" s="7">
        <f t="shared" si="24"/>
        <v>0</v>
      </c>
      <c r="S323" t="s">
        <v>180</v>
      </c>
      <c r="T323" t="s">
        <v>114</v>
      </c>
      <c r="U323" t="s">
        <v>180</v>
      </c>
      <c r="W323" t="s">
        <v>114</v>
      </c>
      <c r="X323" t="s">
        <v>1575</v>
      </c>
      <c r="Z323" t="s">
        <v>3062</v>
      </c>
      <c r="AA323" t="s">
        <v>3063</v>
      </c>
      <c r="AB323" s="1" t="s">
        <v>3064</v>
      </c>
      <c r="AC323" t="s">
        <v>3065</v>
      </c>
      <c r="AD323" t="s">
        <v>3066</v>
      </c>
      <c r="AH323" t="s">
        <v>123</v>
      </c>
      <c r="AI323" t="s">
        <v>124</v>
      </c>
      <c r="AJ323" t="s">
        <v>3067</v>
      </c>
      <c r="AK323" t="s">
        <v>126</v>
      </c>
      <c r="AL323" t="s">
        <v>127</v>
      </c>
      <c r="AN323" t="s">
        <v>3068</v>
      </c>
      <c r="AO323" t="s">
        <v>3069</v>
      </c>
      <c r="AP323" t="s">
        <v>3070</v>
      </c>
      <c r="AQ323" t="s">
        <v>131</v>
      </c>
      <c r="AR323" t="s">
        <v>132</v>
      </c>
      <c r="AS323" t="s">
        <v>756</v>
      </c>
      <c r="AT323" t="s">
        <v>1832</v>
      </c>
      <c r="AV323" t="s">
        <v>572</v>
      </c>
      <c r="AX323" t="s">
        <v>176</v>
      </c>
      <c r="AY323" t="s">
        <v>272</v>
      </c>
      <c r="AZ323" t="s">
        <v>273</v>
      </c>
      <c r="BA323" t="s">
        <v>3071</v>
      </c>
      <c r="BC323" t="s">
        <v>140</v>
      </c>
      <c r="BT323" s="7">
        <f t="shared" si="25"/>
        <v>0</v>
      </c>
      <c r="BU323" s="6">
        <f t="shared" si="26"/>
        <v>0</v>
      </c>
      <c r="BV323" s="6">
        <f t="shared" si="27"/>
        <v>0</v>
      </c>
      <c r="BW323" s="6">
        <f t="shared" si="28"/>
        <v>0</v>
      </c>
      <c r="BX323" s="6">
        <f t="shared" si="29"/>
        <v>0</v>
      </c>
    </row>
    <row r="324" spans="1:76" x14ac:dyDescent="0.35">
      <c r="A324" t="s">
        <v>3072</v>
      </c>
      <c r="B324" t="s">
        <v>107</v>
      </c>
      <c r="C324" t="s">
        <v>107</v>
      </c>
      <c r="E324" t="s">
        <v>108</v>
      </c>
      <c r="F324" t="s">
        <v>158</v>
      </c>
      <c r="G324" t="s">
        <v>159</v>
      </c>
      <c r="H324" t="s">
        <v>111</v>
      </c>
      <c r="I324" t="s">
        <v>341</v>
      </c>
      <c r="J324" t="s">
        <v>113</v>
      </c>
      <c r="K324" s="8" t="s">
        <v>114</v>
      </c>
      <c r="L324" t="s">
        <v>161</v>
      </c>
      <c r="M324" s="6">
        <v>459</v>
      </c>
      <c r="N324" t="s">
        <v>994</v>
      </c>
      <c r="O324" s="6">
        <v>220</v>
      </c>
      <c r="P324" t="s">
        <v>1151</v>
      </c>
      <c r="Q324" s="6">
        <v>38</v>
      </c>
      <c r="R324" s="7">
        <f t="shared" si="24"/>
        <v>277</v>
      </c>
      <c r="S324" t="s">
        <v>180</v>
      </c>
      <c r="T324" t="s">
        <v>114</v>
      </c>
      <c r="U324" t="s">
        <v>114</v>
      </c>
      <c r="W324" t="s">
        <v>114</v>
      </c>
      <c r="X324" t="s">
        <v>3073</v>
      </c>
      <c r="Z324" t="s">
        <v>3074</v>
      </c>
      <c r="AA324" t="s">
        <v>3075</v>
      </c>
      <c r="AB324" s="1" t="s">
        <v>3076</v>
      </c>
      <c r="AC324" t="s">
        <v>3077</v>
      </c>
      <c r="AD324" t="s">
        <v>3075</v>
      </c>
      <c r="AH324" t="s">
        <v>123</v>
      </c>
      <c r="AI324" t="s">
        <v>124</v>
      </c>
      <c r="AJ324" t="s">
        <v>3078</v>
      </c>
      <c r="AK324" t="s">
        <v>126</v>
      </c>
      <c r="AL324" t="s">
        <v>127</v>
      </c>
      <c r="AN324" t="s">
        <v>3079</v>
      </c>
      <c r="AO324" t="s">
        <v>3080</v>
      </c>
      <c r="AP324" t="s">
        <v>3081</v>
      </c>
      <c r="AQ324" t="s">
        <v>131</v>
      </c>
      <c r="AR324" t="s">
        <v>132</v>
      </c>
      <c r="AS324" t="s">
        <v>3082</v>
      </c>
      <c r="AT324" t="s">
        <v>3083</v>
      </c>
      <c r="AV324" t="s">
        <v>300</v>
      </c>
      <c r="AX324" t="s">
        <v>136</v>
      </c>
      <c r="AY324" t="s">
        <v>177</v>
      </c>
      <c r="AZ324" t="s">
        <v>138</v>
      </c>
      <c r="BA324" t="s">
        <v>3084</v>
      </c>
      <c r="BC324" t="s">
        <v>140</v>
      </c>
      <c r="BT324" s="7">
        <f t="shared" si="25"/>
        <v>277</v>
      </c>
      <c r="BU324" s="6">
        <f t="shared" si="26"/>
        <v>258.87850467289718</v>
      </c>
      <c r="BV324" s="6">
        <f t="shared" si="27"/>
        <v>18.121495327102803</v>
      </c>
      <c r="BW324" s="6">
        <f t="shared" si="28"/>
        <v>277</v>
      </c>
      <c r="BX324" s="6">
        <f t="shared" si="29"/>
        <v>0</v>
      </c>
    </row>
    <row r="325" spans="1:76" x14ac:dyDescent="0.35">
      <c r="A325" t="s">
        <v>3072</v>
      </c>
      <c r="B325" t="s">
        <v>107</v>
      </c>
      <c r="C325" t="s">
        <v>107</v>
      </c>
      <c r="E325" t="s">
        <v>108</v>
      </c>
      <c r="F325" t="s">
        <v>268</v>
      </c>
      <c r="G325" t="s">
        <v>269</v>
      </c>
      <c r="H325" t="s">
        <v>2268</v>
      </c>
      <c r="I325" t="s">
        <v>271</v>
      </c>
      <c r="J325" t="s">
        <v>113</v>
      </c>
      <c r="K325" s="8" t="s">
        <v>114</v>
      </c>
      <c r="L325" t="s">
        <v>114</v>
      </c>
      <c r="M325" s="6">
        <v>0</v>
      </c>
      <c r="N325" t="s">
        <v>114</v>
      </c>
      <c r="O325" s="6">
        <v>0</v>
      </c>
      <c r="P325" t="s">
        <v>114</v>
      </c>
      <c r="Q325" s="6">
        <v>38</v>
      </c>
      <c r="R325" s="7">
        <f t="shared" ref="R325:R388" si="30">M325-O325+Q325</f>
        <v>38</v>
      </c>
      <c r="S325" t="s">
        <v>180</v>
      </c>
      <c r="T325" t="s">
        <v>114</v>
      </c>
      <c r="U325" t="s">
        <v>114</v>
      </c>
      <c r="W325" t="s">
        <v>114</v>
      </c>
      <c r="X325" t="s">
        <v>3073</v>
      </c>
      <c r="Z325" t="s">
        <v>3074</v>
      </c>
      <c r="AA325" t="s">
        <v>3075</v>
      </c>
      <c r="AB325" s="1" t="s">
        <v>3076</v>
      </c>
      <c r="AC325" t="s">
        <v>3077</v>
      </c>
      <c r="AD325" t="s">
        <v>3075</v>
      </c>
      <c r="AH325" t="s">
        <v>123</v>
      </c>
      <c r="AI325" t="s">
        <v>124</v>
      </c>
      <c r="AJ325" t="s">
        <v>3078</v>
      </c>
      <c r="AK325" t="s">
        <v>126</v>
      </c>
      <c r="AL325" t="s">
        <v>127</v>
      </c>
      <c r="AN325" t="s">
        <v>3079</v>
      </c>
      <c r="AO325" t="s">
        <v>3080</v>
      </c>
      <c r="AP325" t="s">
        <v>3081</v>
      </c>
      <c r="AQ325" t="s">
        <v>131</v>
      </c>
      <c r="AR325" t="s">
        <v>132</v>
      </c>
      <c r="AS325" t="s">
        <v>3082</v>
      </c>
      <c r="AT325" t="s">
        <v>3083</v>
      </c>
      <c r="AV325" t="s">
        <v>300</v>
      </c>
      <c r="AX325" t="s">
        <v>136</v>
      </c>
      <c r="AY325" t="s">
        <v>272</v>
      </c>
      <c r="AZ325" t="s">
        <v>273</v>
      </c>
      <c r="BA325" t="s">
        <v>3084</v>
      </c>
      <c r="BC325" t="s">
        <v>140</v>
      </c>
      <c r="BT325" s="7">
        <f t="shared" ref="BT325:BT388" si="31">+R325</f>
        <v>38</v>
      </c>
      <c r="BU325" s="6">
        <f t="shared" ref="BU325:BU388" si="32">+BT325/1.07</f>
        <v>35.514018691588781</v>
      </c>
      <c r="BV325" s="6">
        <f t="shared" ref="BV325:BV388" si="33">+BU325*7/100</f>
        <v>2.4859813084112146</v>
      </c>
      <c r="BW325" s="6">
        <f t="shared" ref="BW325:BW388" si="34">+BU325+BV325</f>
        <v>37.999999999999993</v>
      </c>
      <c r="BX325" s="6">
        <f t="shared" ref="BX325:BX388" si="35">+BW325-BT325</f>
        <v>0</v>
      </c>
    </row>
    <row r="326" spans="1:76" x14ac:dyDescent="0.35">
      <c r="A326" t="s">
        <v>3085</v>
      </c>
      <c r="B326" t="s">
        <v>107</v>
      </c>
      <c r="C326" t="s">
        <v>107</v>
      </c>
      <c r="E326" t="s">
        <v>108</v>
      </c>
      <c r="F326" t="s">
        <v>158</v>
      </c>
      <c r="G326" t="s">
        <v>159</v>
      </c>
      <c r="H326" t="s">
        <v>111</v>
      </c>
      <c r="I326" t="s">
        <v>341</v>
      </c>
      <c r="J326" t="s">
        <v>113</v>
      </c>
      <c r="K326" s="8" t="s">
        <v>114</v>
      </c>
      <c r="L326" t="s">
        <v>161</v>
      </c>
      <c r="M326" s="6">
        <v>459</v>
      </c>
      <c r="N326" t="s">
        <v>994</v>
      </c>
      <c r="O326" s="6">
        <v>220</v>
      </c>
      <c r="P326" t="s">
        <v>1151</v>
      </c>
      <c r="Q326" s="6">
        <v>0</v>
      </c>
      <c r="R326" s="7">
        <f t="shared" si="30"/>
        <v>239</v>
      </c>
      <c r="S326" t="s">
        <v>142</v>
      </c>
      <c r="T326" t="s">
        <v>114</v>
      </c>
      <c r="U326" t="s">
        <v>142</v>
      </c>
      <c r="W326" t="s">
        <v>114</v>
      </c>
      <c r="X326" t="s">
        <v>1151</v>
      </c>
      <c r="Z326" t="s">
        <v>3086</v>
      </c>
      <c r="AA326" t="s">
        <v>3087</v>
      </c>
      <c r="AB326" s="1" t="s">
        <v>3088</v>
      </c>
      <c r="AC326" t="s">
        <v>3089</v>
      </c>
      <c r="AD326" t="s">
        <v>3087</v>
      </c>
      <c r="AH326" t="s">
        <v>123</v>
      </c>
      <c r="AI326" t="s">
        <v>124</v>
      </c>
      <c r="AJ326" t="s">
        <v>3090</v>
      </c>
      <c r="AK326" t="s">
        <v>126</v>
      </c>
      <c r="AL326" t="s">
        <v>127</v>
      </c>
      <c r="AN326" t="s">
        <v>3091</v>
      </c>
      <c r="AO326" t="s">
        <v>3092</v>
      </c>
      <c r="AP326" t="s">
        <v>3093</v>
      </c>
      <c r="AQ326" t="s">
        <v>131</v>
      </c>
      <c r="AR326" t="s">
        <v>132</v>
      </c>
      <c r="AS326" t="s">
        <v>152</v>
      </c>
      <c r="AT326" t="s">
        <v>494</v>
      </c>
      <c r="AV326" t="s">
        <v>572</v>
      </c>
      <c r="AX326" t="s">
        <v>136</v>
      </c>
      <c r="AY326" t="s">
        <v>177</v>
      </c>
      <c r="AZ326" t="s">
        <v>138</v>
      </c>
      <c r="BA326" t="s">
        <v>3094</v>
      </c>
      <c r="BC326" t="s">
        <v>140</v>
      </c>
      <c r="BT326" s="7">
        <f t="shared" si="31"/>
        <v>239</v>
      </c>
      <c r="BU326" s="6">
        <f t="shared" si="32"/>
        <v>223.36448598130841</v>
      </c>
      <c r="BV326" s="6">
        <f t="shared" si="33"/>
        <v>15.635514018691588</v>
      </c>
      <c r="BW326" s="6">
        <f t="shared" si="34"/>
        <v>239</v>
      </c>
      <c r="BX326" s="6">
        <f t="shared" si="35"/>
        <v>0</v>
      </c>
    </row>
    <row r="327" spans="1:76" x14ac:dyDescent="0.35">
      <c r="A327" t="s">
        <v>3085</v>
      </c>
      <c r="B327" t="s">
        <v>107</v>
      </c>
      <c r="C327" t="s">
        <v>107</v>
      </c>
      <c r="E327" t="s">
        <v>108</v>
      </c>
      <c r="F327" t="s">
        <v>268</v>
      </c>
      <c r="G327" t="s">
        <v>269</v>
      </c>
      <c r="H327" t="s">
        <v>2268</v>
      </c>
      <c r="I327" t="s">
        <v>271</v>
      </c>
      <c r="J327" t="s">
        <v>113</v>
      </c>
      <c r="K327" s="8" t="s">
        <v>114</v>
      </c>
      <c r="L327" t="s">
        <v>114</v>
      </c>
      <c r="M327" s="6">
        <v>0</v>
      </c>
      <c r="N327" t="s">
        <v>114</v>
      </c>
      <c r="O327" s="6">
        <v>0</v>
      </c>
      <c r="P327" t="s">
        <v>114</v>
      </c>
      <c r="Q327" s="6">
        <v>0</v>
      </c>
      <c r="R327" s="7">
        <f t="shared" si="30"/>
        <v>0</v>
      </c>
      <c r="S327" t="s">
        <v>142</v>
      </c>
      <c r="T327" t="s">
        <v>114</v>
      </c>
      <c r="U327" t="s">
        <v>142</v>
      </c>
      <c r="W327" t="s">
        <v>114</v>
      </c>
      <c r="X327" t="s">
        <v>1151</v>
      </c>
      <c r="Z327" t="s">
        <v>3086</v>
      </c>
      <c r="AA327" t="s">
        <v>3087</v>
      </c>
      <c r="AB327" s="1" t="s">
        <v>3088</v>
      </c>
      <c r="AC327" t="s">
        <v>3089</v>
      </c>
      <c r="AD327" t="s">
        <v>3087</v>
      </c>
      <c r="AH327" t="s">
        <v>123</v>
      </c>
      <c r="AI327" t="s">
        <v>124</v>
      </c>
      <c r="AJ327" t="s">
        <v>3090</v>
      </c>
      <c r="AK327" t="s">
        <v>126</v>
      </c>
      <c r="AL327" t="s">
        <v>127</v>
      </c>
      <c r="AN327" t="s">
        <v>3091</v>
      </c>
      <c r="AO327" t="s">
        <v>3092</v>
      </c>
      <c r="AP327" t="s">
        <v>3093</v>
      </c>
      <c r="AQ327" t="s">
        <v>131</v>
      </c>
      <c r="AR327" t="s">
        <v>132</v>
      </c>
      <c r="AS327" t="s">
        <v>152</v>
      </c>
      <c r="AT327" t="s">
        <v>494</v>
      </c>
      <c r="AV327" t="s">
        <v>572</v>
      </c>
      <c r="AX327" t="s">
        <v>136</v>
      </c>
      <c r="AY327" t="s">
        <v>272</v>
      </c>
      <c r="AZ327" t="s">
        <v>273</v>
      </c>
      <c r="BA327" t="s">
        <v>3094</v>
      </c>
      <c r="BC327" t="s">
        <v>140</v>
      </c>
      <c r="BT327" s="7">
        <f t="shared" si="31"/>
        <v>0</v>
      </c>
      <c r="BU327" s="6">
        <f t="shared" si="32"/>
        <v>0</v>
      </c>
      <c r="BV327" s="6">
        <f t="shared" si="33"/>
        <v>0</v>
      </c>
      <c r="BW327" s="6">
        <f t="shared" si="34"/>
        <v>0</v>
      </c>
      <c r="BX327" s="6">
        <f t="shared" si="35"/>
        <v>0</v>
      </c>
    </row>
    <row r="328" spans="1:76" x14ac:dyDescent="0.35">
      <c r="A328" t="s">
        <v>3095</v>
      </c>
      <c r="B328" t="s">
        <v>107</v>
      </c>
      <c r="C328" t="s">
        <v>107</v>
      </c>
      <c r="E328" t="s">
        <v>108</v>
      </c>
      <c r="F328" t="s">
        <v>158</v>
      </c>
      <c r="G328" t="s">
        <v>159</v>
      </c>
      <c r="H328" t="s">
        <v>111</v>
      </c>
      <c r="I328" t="s">
        <v>341</v>
      </c>
      <c r="J328" t="s">
        <v>113</v>
      </c>
      <c r="K328" s="8" t="s">
        <v>114</v>
      </c>
      <c r="L328" t="s">
        <v>161</v>
      </c>
      <c r="M328" s="6">
        <v>459</v>
      </c>
      <c r="N328" t="s">
        <v>994</v>
      </c>
      <c r="O328" s="6">
        <v>220</v>
      </c>
      <c r="P328" t="s">
        <v>1151</v>
      </c>
      <c r="Q328" s="6">
        <v>0</v>
      </c>
      <c r="R328" s="7">
        <f t="shared" si="30"/>
        <v>239</v>
      </c>
      <c r="S328" t="s">
        <v>180</v>
      </c>
      <c r="T328" t="s">
        <v>114</v>
      </c>
      <c r="U328" t="s">
        <v>180</v>
      </c>
      <c r="W328" t="s">
        <v>114</v>
      </c>
      <c r="X328" t="s">
        <v>1151</v>
      </c>
      <c r="Z328" t="s">
        <v>3096</v>
      </c>
      <c r="AA328" t="s">
        <v>3097</v>
      </c>
      <c r="AB328" s="1" t="s">
        <v>3098</v>
      </c>
      <c r="AC328" t="s">
        <v>3099</v>
      </c>
      <c r="AD328" t="s">
        <v>3097</v>
      </c>
      <c r="AH328" t="s">
        <v>123</v>
      </c>
      <c r="AI328" t="s">
        <v>124</v>
      </c>
      <c r="AJ328" t="s">
        <v>3100</v>
      </c>
      <c r="AK328" t="s">
        <v>126</v>
      </c>
      <c r="AL328" t="s">
        <v>127</v>
      </c>
      <c r="AN328" t="s">
        <v>3101</v>
      </c>
      <c r="AO328" t="s">
        <v>3102</v>
      </c>
      <c r="AP328" t="s">
        <v>3103</v>
      </c>
      <c r="AQ328" t="s">
        <v>131</v>
      </c>
      <c r="AR328" t="s">
        <v>132</v>
      </c>
      <c r="AS328" t="s">
        <v>743</v>
      </c>
      <c r="AT328" t="s">
        <v>3104</v>
      </c>
      <c r="AV328" t="s">
        <v>810</v>
      </c>
      <c r="AX328" t="s">
        <v>136</v>
      </c>
      <c r="AY328" t="s">
        <v>177</v>
      </c>
      <c r="AZ328" t="s">
        <v>138</v>
      </c>
      <c r="BA328" t="s">
        <v>3105</v>
      </c>
      <c r="BC328" t="s">
        <v>140</v>
      </c>
      <c r="BT328" s="7">
        <f t="shared" si="31"/>
        <v>239</v>
      </c>
      <c r="BU328" s="6">
        <f t="shared" si="32"/>
        <v>223.36448598130841</v>
      </c>
      <c r="BV328" s="6">
        <f t="shared" si="33"/>
        <v>15.635514018691588</v>
      </c>
      <c r="BW328" s="6">
        <f t="shared" si="34"/>
        <v>239</v>
      </c>
      <c r="BX328" s="6">
        <f t="shared" si="35"/>
        <v>0</v>
      </c>
    </row>
    <row r="329" spans="1:76" x14ac:dyDescent="0.35">
      <c r="A329" t="s">
        <v>3095</v>
      </c>
      <c r="B329" t="s">
        <v>107</v>
      </c>
      <c r="C329" t="s">
        <v>107</v>
      </c>
      <c r="E329" t="s">
        <v>108</v>
      </c>
      <c r="F329" t="s">
        <v>268</v>
      </c>
      <c r="G329" t="s">
        <v>269</v>
      </c>
      <c r="H329" t="s">
        <v>2268</v>
      </c>
      <c r="I329" t="s">
        <v>271</v>
      </c>
      <c r="J329" t="s">
        <v>113</v>
      </c>
      <c r="K329" s="8" t="s">
        <v>114</v>
      </c>
      <c r="L329" t="s">
        <v>114</v>
      </c>
      <c r="M329" s="6">
        <v>0</v>
      </c>
      <c r="N329" t="s">
        <v>114</v>
      </c>
      <c r="O329" s="6">
        <v>0</v>
      </c>
      <c r="P329" t="s">
        <v>114</v>
      </c>
      <c r="Q329" s="6">
        <v>0</v>
      </c>
      <c r="R329" s="7">
        <f t="shared" si="30"/>
        <v>0</v>
      </c>
      <c r="S329" t="s">
        <v>180</v>
      </c>
      <c r="T329" t="s">
        <v>114</v>
      </c>
      <c r="U329" t="s">
        <v>180</v>
      </c>
      <c r="W329" t="s">
        <v>114</v>
      </c>
      <c r="X329" t="s">
        <v>1151</v>
      </c>
      <c r="Z329" t="s">
        <v>3096</v>
      </c>
      <c r="AA329" t="s">
        <v>3097</v>
      </c>
      <c r="AB329" s="1" t="s">
        <v>3098</v>
      </c>
      <c r="AC329" t="s">
        <v>3099</v>
      </c>
      <c r="AD329" t="s">
        <v>3097</v>
      </c>
      <c r="AH329" t="s">
        <v>123</v>
      </c>
      <c r="AI329" t="s">
        <v>124</v>
      </c>
      <c r="AJ329" t="s">
        <v>3100</v>
      </c>
      <c r="AK329" t="s">
        <v>126</v>
      </c>
      <c r="AL329" t="s">
        <v>127</v>
      </c>
      <c r="AN329" t="s">
        <v>3101</v>
      </c>
      <c r="AO329" t="s">
        <v>3102</v>
      </c>
      <c r="AP329" t="s">
        <v>3103</v>
      </c>
      <c r="AQ329" t="s">
        <v>131</v>
      </c>
      <c r="AR329" t="s">
        <v>132</v>
      </c>
      <c r="AS329" t="s">
        <v>743</v>
      </c>
      <c r="AT329" t="s">
        <v>3104</v>
      </c>
      <c r="AV329" t="s">
        <v>810</v>
      </c>
      <c r="AX329" t="s">
        <v>136</v>
      </c>
      <c r="AY329" t="s">
        <v>272</v>
      </c>
      <c r="AZ329" t="s">
        <v>273</v>
      </c>
      <c r="BA329" t="s">
        <v>3105</v>
      </c>
      <c r="BC329" t="s">
        <v>140</v>
      </c>
      <c r="BT329" s="7">
        <f t="shared" si="31"/>
        <v>0</v>
      </c>
      <c r="BU329" s="6">
        <f t="shared" si="32"/>
        <v>0</v>
      </c>
      <c r="BV329" s="6">
        <f t="shared" si="33"/>
        <v>0</v>
      </c>
      <c r="BW329" s="6">
        <f t="shared" si="34"/>
        <v>0</v>
      </c>
      <c r="BX329" s="6">
        <f t="shared" si="35"/>
        <v>0</v>
      </c>
    </row>
    <row r="330" spans="1:76" x14ac:dyDescent="0.35">
      <c r="A330" t="s">
        <v>3106</v>
      </c>
      <c r="B330" t="s">
        <v>107</v>
      </c>
      <c r="C330" t="s">
        <v>107</v>
      </c>
      <c r="E330" t="s">
        <v>108</v>
      </c>
      <c r="F330" t="s">
        <v>158</v>
      </c>
      <c r="G330" t="s">
        <v>159</v>
      </c>
      <c r="H330" t="s">
        <v>111</v>
      </c>
      <c r="I330" t="s">
        <v>341</v>
      </c>
      <c r="J330" t="s">
        <v>113</v>
      </c>
      <c r="K330" s="8" t="s">
        <v>114</v>
      </c>
      <c r="L330" t="s">
        <v>161</v>
      </c>
      <c r="M330" s="6">
        <v>459</v>
      </c>
      <c r="N330" t="s">
        <v>994</v>
      </c>
      <c r="O330" s="6">
        <v>220</v>
      </c>
      <c r="P330" t="s">
        <v>1151</v>
      </c>
      <c r="Q330" s="6">
        <v>0</v>
      </c>
      <c r="R330" s="7">
        <f t="shared" si="30"/>
        <v>239</v>
      </c>
      <c r="S330" t="s">
        <v>180</v>
      </c>
      <c r="T330" t="s">
        <v>114</v>
      </c>
      <c r="U330" t="s">
        <v>180</v>
      </c>
      <c r="W330" t="s">
        <v>114</v>
      </c>
      <c r="X330" t="s">
        <v>1151</v>
      </c>
      <c r="Z330" t="s">
        <v>3107</v>
      </c>
      <c r="AA330" t="s">
        <v>3108</v>
      </c>
      <c r="AB330" s="1" t="s">
        <v>3109</v>
      </c>
      <c r="AC330" t="s">
        <v>3099</v>
      </c>
      <c r="AD330" t="s">
        <v>3108</v>
      </c>
      <c r="AH330" t="s">
        <v>123</v>
      </c>
      <c r="AI330" t="s">
        <v>124</v>
      </c>
      <c r="AJ330" t="s">
        <v>3110</v>
      </c>
      <c r="AK330" t="s">
        <v>126</v>
      </c>
      <c r="AL330" t="s">
        <v>127</v>
      </c>
      <c r="AN330" t="s">
        <v>3111</v>
      </c>
      <c r="AO330" t="s">
        <v>3112</v>
      </c>
      <c r="AP330" t="s">
        <v>3113</v>
      </c>
      <c r="AQ330" t="s">
        <v>131</v>
      </c>
      <c r="AR330" t="s">
        <v>132</v>
      </c>
      <c r="AS330" t="s">
        <v>3114</v>
      </c>
      <c r="AT330" t="s">
        <v>3115</v>
      </c>
      <c r="AV330" t="s">
        <v>190</v>
      </c>
      <c r="AW330" t="s">
        <v>375</v>
      </c>
      <c r="AX330" t="s">
        <v>136</v>
      </c>
      <c r="AY330" t="s">
        <v>177</v>
      </c>
      <c r="AZ330" t="s">
        <v>138</v>
      </c>
      <c r="BA330" t="s">
        <v>3116</v>
      </c>
      <c r="BC330" t="s">
        <v>140</v>
      </c>
      <c r="BT330" s="7">
        <f t="shared" si="31"/>
        <v>239</v>
      </c>
      <c r="BU330" s="6">
        <f t="shared" si="32"/>
        <v>223.36448598130841</v>
      </c>
      <c r="BV330" s="6">
        <f t="shared" si="33"/>
        <v>15.635514018691588</v>
      </c>
      <c r="BW330" s="6">
        <f t="shared" si="34"/>
        <v>239</v>
      </c>
      <c r="BX330" s="6">
        <f t="shared" si="35"/>
        <v>0</v>
      </c>
    </row>
    <row r="331" spans="1:76" x14ac:dyDescent="0.35">
      <c r="A331" t="s">
        <v>3106</v>
      </c>
      <c r="B331" t="s">
        <v>107</v>
      </c>
      <c r="C331" t="s">
        <v>107</v>
      </c>
      <c r="E331" t="s">
        <v>108</v>
      </c>
      <c r="F331" t="s">
        <v>268</v>
      </c>
      <c r="G331" t="s">
        <v>269</v>
      </c>
      <c r="H331" t="s">
        <v>2268</v>
      </c>
      <c r="I331" t="s">
        <v>271</v>
      </c>
      <c r="J331" t="s">
        <v>113</v>
      </c>
      <c r="K331" s="8" t="s">
        <v>114</v>
      </c>
      <c r="L331" t="s">
        <v>114</v>
      </c>
      <c r="M331" s="6">
        <v>0</v>
      </c>
      <c r="N331" t="s">
        <v>114</v>
      </c>
      <c r="O331" s="6">
        <v>0</v>
      </c>
      <c r="P331" t="s">
        <v>114</v>
      </c>
      <c r="Q331" s="6">
        <v>0</v>
      </c>
      <c r="R331" s="7">
        <f t="shared" si="30"/>
        <v>0</v>
      </c>
      <c r="S331" t="s">
        <v>180</v>
      </c>
      <c r="T331" t="s">
        <v>114</v>
      </c>
      <c r="U331" t="s">
        <v>180</v>
      </c>
      <c r="W331" t="s">
        <v>114</v>
      </c>
      <c r="X331" t="s">
        <v>1151</v>
      </c>
      <c r="Z331" t="s">
        <v>3107</v>
      </c>
      <c r="AA331" t="s">
        <v>3108</v>
      </c>
      <c r="AB331" s="1" t="s">
        <v>3109</v>
      </c>
      <c r="AC331" t="s">
        <v>3099</v>
      </c>
      <c r="AD331" t="s">
        <v>3108</v>
      </c>
      <c r="AH331" t="s">
        <v>123</v>
      </c>
      <c r="AI331" t="s">
        <v>124</v>
      </c>
      <c r="AJ331" t="s">
        <v>3110</v>
      </c>
      <c r="AK331" t="s">
        <v>126</v>
      </c>
      <c r="AL331" t="s">
        <v>127</v>
      </c>
      <c r="AN331" t="s">
        <v>3111</v>
      </c>
      <c r="AO331" t="s">
        <v>3112</v>
      </c>
      <c r="AP331" t="s">
        <v>3113</v>
      </c>
      <c r="AQ331" t="s">
        <v>131</v>
      </c>
      <c r="AR331" t="s">
        <v>132</v>
      </c>
      <c r="AS331" t="s">
        <v>3114</v>
      </c>
      <c r="AT331" t="s">
        <v>3115</v>
      </c>
      <c r="AV331" t="s">
        <v>190</v>
      </c>
      <c r="AW331" t="s">
        <v>375</v>
      </c>
      <c r="AX331" t="s">
        <v>136</v>
      </c>
      <c r="AY331" t="s">
        <v>272</v>
      </c>
      <c r="AZ331" t="s">
        <v>273</v>
      </c>
      <c r="BA331" t="s">
        <v>3116</v>
      </c>
      <c r="BC331" t="s">
        <v>140</v>
      </c>
      <c r="BT331" s="7">
        <f t="shared" si="31"/>
        <v>0</v>
      </c>
      <c r="BU331" s="6">
        <f t="shared" si="32"/>
        <v>0</v>
      </c>
      <c r="BV331" s="6">
        <f t="shared" si="33"/>
        <v>0</v>
      </c>
      <c r="BW331" s="6">
        <f t="shared" si="34"/>
        <v>0</v>
      </c>
      <c r="BX331" s="6">
        <f t="shared" si="35"/>
        <v>0</v>
      </c>
    </row>
    <row r="332" spans="1:76" x14ac:dyDescent="0.35">
      <c r="A332" t="s">
        <v>3117</v>
      </c>
      <c r="B332" t="s">
        <v>107</v>
      </c>
      <c r="C332" t="s">
        <v>107</v>
      </c>
      <c r="E332" t="s">
        <v>108</v>
      </c>
      <c r="F332" t="s">
        <v>158</v>
      </c>
      <c r="G332" t="s">
        <v>159</v>
      </c>
      <c r="H332" t="s">
        <v>111</v>
      </c>
      <c r="I332" t="s">
        <v>341</v>
      </c>
      <c r="J332" t="s">
        <v>113</v>
      </c>
      <c r="K332" s="8" t="s">
        <v>114</v>
      </c>
      <c r="L332" t="s">
        <v>161</v>
      </c>
      <c r="M332" s="6">
        <v>459</v>
      </c>
      <c r="N332" t="s">
        <v>994</v>
      </c>
      <c r="O332" s="6">
        <v>220</v>
      </c>
      <c r="P332" t="s">
        <v>1151</v>
      </c>
      <c r="Q332" s="6">
        <v>0</v>
      </c>
      <c r="R332" s="7">
        <f t="shared" si="30"/>
        <v>239</v>
      </c>
      <c r="S332" t="s">
        <v>142</v>
      </c>
      <c r="T332" t="s">
        <v>114</v>
      </c>
      <c r="U332" t="s">
        <v>142</v>
      </c>
      <c r="W332" t="s">
        <v>114</v>
      </c>
      <c r="X332" t="s">
        <v>1151</v>
      </c>
      <c r="Z332" t="s">
        <v>3118</v>
      </c>
      <c r="AA332" t="s">
        <v>3119</v>
      </c>
      <c r="AB332" s="1" t="s">
        <v>3120</v>
      </c>
      <c r="AC332" t="s">
        <v>3121</v>
      </c>
      <c r="AD332" t="s">
        <v>3119</v>
      </c>
      <c r="AH332" t="s">
        <v>123</v>
      </c>
      <c r="AI332" t="s">
        <v>124</v>
      </c>
      <c r="AJ332" t="s">
        <v>3122</v>
      </c>
      <c r="AK332" t="s">
        <v>126</v>
      </c>
      <c r="AL332" t="s">
        <v>127</v>
      </c>
      <c r="AN332" t="s">
        <v>3123</v>
      </c>
      <c r="AO332" t="s">
        <v>3124</v>
      </c>
      <c r="AP332" t="s">
        <v>3125</v>
      </c>
      <c r="AQ332" t="s">
        <v>131</v>
      </c>
      <c r="AR332" t="s">
        <v>132</v>
      </c>
      <c r="AS332" t="s">
        <v>152</v>
      </c>
      <c r="AT332" t="s">
        <v>1730</v>
      </c>
      <c r="AV332" t="s">
        <v>572</v>
      </c>
      <c r="AW332" t="s">
        <v>389</v>
      </c>
      <c r="AX332" t="s">
        <v>136</v>
      </c>
      <c r="AY332" t="s">
        <v>177</v>
      </c>
      <c r="AZ332" t="s">
        <v>138</v>
      </c>
      <c r="BA332" t="s">
        <v>3126</v>
      </c>
      <c r="BC332" t="s">
        <v>140</v>
      </c>
      <c r="BT332" s="7">
        <f t="shared" si="31"/>
        <v>239</v>
      </c>
      <c r="BU332" s="6">
        <f t="shared" si="32"/>
        <v>223.36448598130841</v>
      </c>
      <c r="BV332" s="6">
        <f t="shared" si="33"/>
        <v>15.635514018691588</v>
      </c>
      <c r="BW332" s="6">
        <f t="shared" si="34"/>
        <v>239</v>
      </c>
      <c r="BX332" s="6">
        <f t="shared" si="35"/>
        <v>0</v>
      </c>
    </row>
    <row r="333" spans="1:76" x14ac:dyDescent="0.35">
      <c r="A333" t="s">
        <v>3117</v>
      </c>
      <c r="B333" t="s">
        <v>107</v>
      </c>
      <c r="C333" t="s">
        <v>107</v>
      </c>
      <c r="E333" t="s">
        <v>108</v>
      </c>
      <c r="F333" t="s">
        <v>268</v>
      </c>
      <c r="G333" t="s">
        <v>269</v>
      </c>
      <c r="H333" t="s">
        <v>2268</v>
      </c>
      <c r="I333" t="s">
        <v>271</v>
      </c>
      <c r="J333" t="s">
        <v>113</v>
      </c>
      <c r="K333" s="8" t="s">
        <v>114</v>
      </c>
      <c r="L333" t="s">
        <v>114</v>
      </c>
      <c r="M333" s="6">
        <v>0</v>
      </c>
      <c r="N333" t="s">
        <v>114</v>
      </c>
      <c r="O333" s="6">
        <v>0</v>
      </c>
      <c r="P333" t="s">
        <v>114</v>
      </c>
      <c r="Q333" s="6">
        <v>0</v>
      </c>
      <c r="R333" s="7">
        <f t="shared" si="30"/>
        <v>0</v>
      </c>
      <c r="S333" t="s">
        <v>142</v>
      </c>
      <c r="T333" t="s">
        <v>114</v>
      </c>
      <c r="U333" t="s">
        <v>142</v>
      </c>
      <c r="W333" t="s">
        <v>114</v>
      </c>
      <c r="X333" t="s">
        <v>1151</v>
      </c>
      <c r="Z333" t="s">
        <v>3118</v>
      </c>
      <c r="AA333" t="s">
        <v>3119</v>
      </c>
      <c r="AB333" s="1" t="s">
        <v>3120</v>
      </c>
      <c r="AC333" t="s">
        <v>3121</v>
      </c>
      <c r="AD333" t="s">
        <v>3119</v>
      </c>
      <c r="AH333" t="s">
        <v>123</v>
      </c>
      <c r="AI333" t="s">
        <v>124</v>
      </c>
      <c r="AJ333" t="s">
        <v>3122</v>
      </c>
      <c r="AK333" t="s">
        <v>126</v>
      </c>
      <c r="AL333" t="s">
        <v>127</v>
      </c>
      <c r="AN333" t="s">
        <v>3123</v>
      </c>
      <c r="AO333" t="s">
        <v>3124</v>
      </c>
      <c r="AP333" t="s">
        <v>3125</v>
      </c>
      <c r="AQ333" t="s">
        <v>131</v>
      </c>
      <c r="AR333" t="s">
        <v>132</v>
      </c>
      <c r="AS333" t="s">
        <v>152</v>
      </c>
      <c r="AT333" t="s">
        <v>1730</v>
      </c>
      <c r="AV333" t="s">
        <v>572</v>
      </c>
      <c r="AW333" t="s">
        <v>389</v>
      </c>
      <c r="AX333" t="s">
        <v>136</v>
      </c>
      <c r="AY333" t="s">
        <v>272</v>
      </c>
      <c r="AZ333" t="s">
        <v>273</v>
      </c>
      <c r="BA333" t="s">
        <v>3126</v>
      </c>
      <c r="BC333" t="s">
        <v>140</v>
      </c>
      <c r="BT333" s="7">
        <f t="shared" si="31"/>
        <v>0</v>
      </c>
      <c r="BU333" s="6">
        <f t="shared" si="32"/>
        <v>0</v>
      </c>
      <c r="BV333" s="6">
        <f t="shared" si="33"/>
        <v>0</v>
      </c>
      <c r="BW333" s="6">
        <f t="shared" si="34"/>
        <v>0</v>
      </c>
      <c r="BX333" s="6">
        <f t="shared" si="35"/>
        <v>0</v>
      </c>
    </row>
    <row r="334" spans="1:76" x14ac:dyDescent="0.35">
      <c r="A334" t="s">
        <v>3127</v>
      </c>
      <c r="B334" t="s">
        <v>107</v>
      </c>
      <c r="C334" t="s">
        <v>107</v>
      </c>
      <c r="E334" t="s">
        <v>108</v>
      </c>
      <c r="F334" t="s">
        <v>268</v>
      </c>
      <c r="G334" t="s">
        <v>269</v>
      </c>
      <c r="H334" t="s">
        <v>2268</v>
      </c>
      <c r="I334" t="s">
        <v>271</v>
      </c>
      <c r="J334" t="s">
        <v>113</v>
      </c>
      <c r="K334" s="8" t="s">
        <v>114</v>
      </c>
      <c r="L334" t="s">
        <v>114</v>
      </c>
      <c r="M334" s="6">
        <v>0</v>
      </c>
      <c r="N334" t="s">
        <v>114</v>
      </c>
      <c r="O334" s="6">
        <v>0</v>
      </c>
      <c r="P334" t="s">
        <v>114</v>
      </c>
      <c r="Q334" s="6">
        <v>0</v>
      </c>
      <c r="R334" s="7">
        <f t="shared" si="30"/>
        <v>0</v>
      </c>
      <c r="S334" t="s">
        <v>3128</v>
      </c>
      <c r="T334" t="s">
        <v>114</v>
      </c>
      <c r="U334" t="s">
        <v>3128</v>
      </c>
      <c r="W334" t="s">
        <v>114</v>
      </c>
      <c r="X334" t="s">
        <v>1151</v>
      </c>
      <c r="Z334" t="s">
        <v>3129</v>
      </c>
      <c r="AA334" t="s">
        <v>3130</v>
      </c>
      <c r="AB334" s="1" t="s">
        <v>3131</v>
      </c>
      <c r="AC334" t="s">
        <v>3132</v>
      </c>
      <c r="AD334" t="s">
        <v>3130</v>
      </c>
      <c r="AH334" t="s">
        <v>123</v>
      </c>
      <c r="AI334" t="s">
        <v>124</v>
      </c>
      <c r="AJ334" t="s">
        <v>3133</v>
      </c>
      <c r="AK334" t="s">
        <v>126</v>
      </c>
      <c r="AL334" t="s">
        <v>127</v>
      </c>
      <c r="AN334" t="s">
        <v>3134</v>
      </c>
      <c r="AO334" t="s">
        <v>3135</v>
      </c>
      <c r="AP334" t="s">
        <v>3136</v>
      </c>
      <c r="AQ334" t="s">
        <v>131</v>
      </c>
      <c r="AR334" t="s">
        <v>132</v>
      </c>
      <c r="AS334" t="s">
        <v>152</v>
      </c>
      <c r="AT334" t="s">
        <v>3137</v>
      </c>
      <c r="AV334" t="s">
        <v>3138</v>
      </c>
      <c r="AX334" t="s">
        <v>136</v>
      </c>
      <c r="AY334" t="s">
        <v>272</v>
      </c>
      <c r="AZ334" t="s">
        <v>273</v>
      </c>
      <c r="BA334" t="s">
        <v>3139</v>
      </c>
      <c r="BC334" t="s">
        <v>140</v>
      </c>
      <c r="BT334" s="7">
        <f t="shared" si="31"/>
        <v>0</v>
      </c>
      <c r="BU334" s="6">
        <f t="shared" si="32"/>
        <v>0</v>
      </c>
      <c r="BV334" s="6">
        <f t="shared" si="33"/>
        <v>0</v>
      </c>
      <c r="BW334" s="6">
        <f t="shared" si="34"/>
        <v>0</v>
      </c>
      <c r="BX334" s="6">
        <f t="shared" si="35"/>
        <v>0</v>
      </c>
    </row>
    <row r="335" spans="1:76" x14ac:dyDescent="0.35">
      <c r="A335" t="s">
        <v>3127</v>
      </c>
      <c r="B335" t="s">
        <v>107</v>
      </c>
      <c r="C335" t="s">
        <v>107</v>
      </c>
      <c r="E335" t="s">
        <v>108</v>
      </c>
      <c r="F335" t="s">
        <v>158</v>
      </c>
      <c r="G335" t="s">
        <v>159</v>
      </c>
      <c r="H335" t="s">
        <v>111</v>
      </c>
      <c r="I335" t="s">
        <v>341</v>
      </c>
      <c r="J335" t="s">
        <v>113</v>
      </c>
      <c r="K335" s="8" t="s">
        <v>114</v>
      </c>
      <c r="L335" t="s">
        <v>161</v>
      </c>
      <c r="M335" s="6">
        <v>459</v>
      </c>
      <c r="N335" t="s">
        <v>994</v>
      </c>
      <c r="O335" s="6">
        <v>220</v>
      </c>
      <c r="P335" t="s">
        <v>1151</v>
      </c>
      <c r="Q335" s="6">
        <v>0</v>
      </c>
      <c r="R335" s="7">
        <f t="shared" si="30"/>
        <v>239</v>
      </c>
      <c r="S335" t="s">
        <v>3128</v>
      </c>
      <c r="T335" t="s">
        <v>114</v>
      </c>
      <c r="U335" t="s">
        <v>3128</v>
      </c>
      <c r="W335" t="s">
        <v>114</v>
      </c>
      <c r="X335" t="s">
        <v>1151</v>
      </c>
      <c r="Z335" t="s">
        <v>3129</v>
      </c>
      <c r="AA335" t="s">
        <v>3130</v>
      </c>
      <c r="AB335" s="1" t="s">
        <v>3131</v>
      </c>
      <c r="AC335" t="s">
        <v>3132</v>
      </c>
      <c r="AD335" t="s">
        <v>3130</v>
      </c>
      <c r="AH335" t="s">
        <v>123</v>
      </c>
      <c r="AI335" t="s">
        <v>124</v>
      </c>
      <c r="AJ335" t="s">
        <v>3133</v>
      </c>
      <c r="AK335" t="s">
        <v>126</v>
      </c>
      <c r="AL335" t="s">
        <v>127</v>
      </c>
      <c r="AN335" t="s">
        <v>3134</v>
      </c>
      <c r="AO335" t="s">
        <v>3135</v>
      </c>
      <c r="AP335" t="s">
        <v>3136</v>
      </c>
      <c r="AQ335" t="s">
        <v>131</v>
      </c>
      <c r="AR335" t="s">
        <v>132</v>
      </c>
      <c r="AS335" t="s">
        <v>152</v>
      </c>
      <c r="AT335" t="s">
        <v>3137</v>
      </c>
      <c r="AV335" t="s">
        <v>3138</v>
      </c>
      <c r="AX335" t="s">
        <v>136</v>
      </c>
      <c r="AY335" t="s">
        <v>177</v>
      </c>
      <c r="AZ335" t="s">
        <v>138</v>
      </c>
      <c r="BA335" t="s">
        <v>3139</v>
      </c>
      <c r="BC335" t="s">
        <v>140</v>
      </c>
      <c r="BT335" s="7">
        <f t="shared" si="31"/>
        <v>239</v>
      </c>
      <c r="BU335" s="6">
        <f t="shared" si="32"/>
        <v>223.36448598130841</v>
      </c>
      <c r="BV335" s="6">
        <f t="shared" si="33"/>
        <v>15.635514018691588</v>
      </c>
      <c r="BW335" s="6">
        <f t="shared" si="34"/>
        <v>239</v>
      </c>
      <c r="BX335" s="6">
        <f t="shared" si="35"/>
        <v>0</v>
      </c>
    </row>
    <row r="336" spans="1:76" x14ac:dyDescent="0.35">
      <c r="A336" t="s">
        <v>3140</v>
      </c>
      <c r="B336" t="s">
        <v>107</v>
      </c>
      <c r="C336" t="s">
        <v>107</v>
      </c>
      <c r="E336" t="s">
        <v>108</v>
      </c>
      <c r="F336" t="s">
        <v>158</v>
      </c>
      <c r="G336" t="s">
        <v>159</v>
      </c>
      <c r="H336" t="s">
        <v>111</v>
      </c>
      <c r="I336" t="s">
        <v>341</v>
      </c>
      <c r="J336" t="s">
        <v>113</v>
      </c>
      <c r="K336" s="8" t="s">
        <v>114</v>
      </c>
      <c r="L336" t="s">
        <v>161</v>
      </c>
      <c r="M336" s="6">
        <v>459</v>
      </c>
      <c r="N336" t="s">
        <v>994</v>
      </c>
      <c r="O336" s="6">
        <v>220</v>
      </c>
      <c r="P336" t="s">
        <v>1151</v>
      </c>
      <c r="Q336" s="6">
        <v>0</v>
      </c>
      <c r="R336" s="7">
        <f t="shared" si="30"/>
        <v>239</v>
      </c>
      <c r="S336" t="s">
        <v>180</v>
      </c>
      <c r="T336" t="s">
        <v>114</v>
      </c>
      <c r="U336" t="s">
        <v>180</v>
      </c>
      <c r="W336" t="s">
        <v>114</v>
      </c>
      <c r="X336" t="s">
        <v>1151</v>
      </c>
      <c r="Z336" t="s">
        <v>3141</v>
      </c>
      <c r="AA336" t="s">
        <v>3142</v>
      </c>
      <c r="AB336" s="1" t="s">
        <v>3143</v>
      </c>
      <c r="AC336" t="s">
        <v>3144</v>
      </c>
      <c r="AD336" t="s">
        <v>3142</v>
      </c>
      <c r="AH336" t="s">
        <v>123</v>
      </c>
      <c r="AI336" t="s">
        <v>124</v>
      </c>
      <c r="AJ336" t="s">
        <v>3145</v>
      </c>
      <c r="AK336" t="s">
        <v>126</v>
      </c>
      <c r="AL336" t="s">
        <v>127</v>
      </c>
      <c r="AN336" t="s">
        <v>3146</v>
      </c>
      <c r="AO336" t="s">
        <v>3147</v>
      </c>
      <c r="AP336" t="s">
        <v>3148</v>
      </c>
      <c r="AQ336" t="s">
        <v>131</v>
      </c>
      <c r="AR336" t="s">
        <v>132</v>
      </c>
      <c r="AS336" t="s">
        <v>596</v>
      </c>
      <c r="AT336" t="s">
        <v>3149</v>
      </c>
      <c r="AV336" t="s">
        <v>3150</v>
      </c>
      <c r="AX336" t="s">
        <v>136</v>
      </c>
      <c r="AY336" t="s">
        <v>177</v>
      </c>
      <c r="AZ336" t="s">
        <v>138</v>
      </c>
      <c r="BA336" t="s">
        <v>3151</v>
      </c>
      <c r="BC336" t="s">
        <v>140</v>
      </c>
      <c r="BT336" s="7">
        <f t="shared" si="31"/>
        <v>239</v>
      </c>
      <c r="BU336" s="6">
        <f t="shared" si="32"/>
        <v>223.36448598130841</v>
      </c>
      <c r="BV336" s="6">
        <f t="shared" si="33"/>
        <v>15.635514018691588</v>
      </c>
      <c r="BW336" s="6">
        <f t="shared" si="34"/>
        <v>239</v>
      </c>
      <c r="BX336" s="6">
        <f t="shared" si="35"/>
        <v>0</v>
      </c>
    </row>
    <row r="337" spans="1:76" x14ac:dyDescent="0.35">
      <c r="A337" t="s">
        <v>3140</v>
      </c>
      <c r="B337" t="s">
        <v>107</v>
      </c>
      <c r="C337" t="s">
        <v>107</v>
      </c>
      <c r="E337" t="s">
        <v>108</v>
      </c>
      <c r="F337" t="s">
        <v>268</v>
      </c>
      <c r="G337" t="s">
        <v>269</v>
      </c>
      <c r="H337" t="s">
        <v>2268</v>
      </c>
      <c r="I337" t="s">
        <v>271</v>
      </c>
      <c r="J337" t="s">
        <v>113</v>
      </c>
      <c r="K337" s="8" t="s">
        <v>114</v>
      </c>
      <c r="L337" t="s">
        <v>114</v>
      </c>
      <c r="M337" s="6">
        <v>0</v>
      </c>
      <c r="N337" t="s">
        <v>114</v>
      </c>
      <c r="O337" s="6">
        <v>0</v>
      </c>
      <c r="P337" t="s">
        <v>114</v>
      </c>
      <c r="Q337" s="6">
        <v>0</v>
      </c>
      <c r="R337" s="7">
        <f t="shared" si="30"/>
        <v>0</v>
      </c>
      <c r="S337" t="s">
        <v>180</v>
      </c>
      <c r="T337" t="s">
        <v>114</v>
      </c>
      <c r="U337" t="s">
        <v>180</v>
      </c>
      <c r="W337" t="s">
        <v>114</v>
      </c>
      <c r="X337" t="s">
        <v>1151</v>
      </c>
      <c r="Z337" t="s">
        <v>3141</v>
      </c>
      <c r="AA337" t="s">
        <v>3142</v>
      </c>
      <c r="AB337" s="1" t="s">
        <v>3143</v>
      </c>
      <c r="AC337" t="s">
        <v>3144</v>
      </c>
      <c r="AD337" t="s">
        <v>3142</v>
      </c>
      <c r="AH337" t="s">
        <v>123</v>
      </c>
      <c r="AI337" t="s">
        <v>124</v>
      </c>
      <c r="AJ337" t="s">
        <v>3145</v>
      </c>
      <c r="AK337" t="s">
        <v>126</v>
      </c>
      <c r="AL337" t="s">
        <v>127</v>
      </c>
      <c r="AN337" t="s">
        <v>3146</v>
      </c>
      <c r="AO337" t="s">
        <v>3147</v>
      </c>
      <c r="AP337" t="s">
        <v>3148</v>
      </c>
      <c r="AQ337" t="s">
        <v>131</v>
      </c>
      <c r="AR337" t="s">
        <v>132</v>
      </c>
      <c r="AS337" t="s">
        <v>596</v>
      </c>
      <c r="AT337" t="s">
        <v>3149</v>
      </c>
      <c r="AV337" t="s">
        <v>3150</v>
      </c>
      <c r="AX337" t="s">
        <v>136</v>
      </c>
      <c r="AY337" t="s">
        <v>272</v>
      </c>
      <c r="AZ337" t="s">
        <v>273</v>
      </c>
      <c r="BA337" t="s">
        <v>3151</v>
      </c>
      <c r="BC337" t="s">
        <v>140</v>
      </c>
      <c r="BT337" s="7">
        <f t="shared" si="31"/>
        <v>0</v>
      </c>
      <c r="BU337" s="6">
        <f t="shared" si="32"/>
        <v>0</v>
      </c>
      <c r="BV337" s="6">
        <f t="shared" si="33"/>
        <v>0</v>
      </c>
      <c r="BW337" s="6">
        <f t="shared" si="34"/>
        <v>0</v>
      </c>
      <c r="BX337" s="6">
        <f t="shared" si="35"/>
        <v>0</v>
      </c>
    </row>
    <row r="338" spans="1:76" x14ac:dyDescent="0.35">
      <c r="A338" t="s">
        <v>3152</v>
      </c>
      <c r="B338" t="s">
        <v>107</v>
      </c>
      <c r="C338" t="s">
        <v>107</v>
      </c>
      <c r="E338" t="s">
        <v>108</v>
      </c>
      <c r="F338" t="s">
        <v>268</v>
      </c>
      <c r="G338" t="s">
        <v>269</v>
      </c>
      <c r="H338" t="s">
        <v>2268</v>
      </c>
      <c r="I338" t="s">
        <v>271</v>
      </c>
      <c r="J338" t="s">
        <v>113</v>
      </c>
      <c r="K338" s="8" t="s">
        <v>114</v>
      </c>
      <c r="L338" t="s">
        <v>114</v>
      </c>
      <c r="M338" s="6">
        <v>0</v>
      </c>
      <c r="N338" t="s">
        <v>114</v>
      </c>
      <c r="O338" s="6">
        <v>0</v>
      </c>
      <c r="P338" t="s">
        <v>114</v>
      </c>
      <c r="Q338" s="6">
        <v>8</v>
      </c>
      <c r="R338" s="7">
        <f t="shared" si="30"/>
        <v>8</v>
      </c>
      <c r="S338" t="s">
        <v>118</v>
      </c>
      <c r="T338" t="s">
        <v>114</v>
      </c>
      <c r="U338" t="s">
        <v>997</v>
      </c>
      <c r="W338" t="s">
        <v>114</v>
      </c>
      <c r="X338" t="s">
        <v>275</v>
      </c>
      <c r="Z338" t="s">
        <v>3153</v>
      </c>
      <c r="AA338" t="s">
        <v>3154</v>
      </c>
      <c r="AB338" s="1" t="s">
        <v>3155</v>
      </c>
      <c r="AC338" t="s">
        <v>3156</v>
      </c>
      <c r="AD338" t="s">
        <v>3154</v>
      </c>
      <c r="AH338" t="s">
        <v>123</v>
      </c>
      <c r="AI338" t="s">
        <v>124</v>
      </c>
      <c r="AJ338" t="s">
        <v>3157</v>
      </c>
      <c r="AK338" t="s">
        <v>126</v>
      </c>
      <c r="AL338" t="s">
        <v>127</v>
      </c>
      <c r="AN338" t="s">
        <v>3158</v>
      </c>
      <c r="AO338" t="s">
        <v>3159</v>
      </c>
      <c r="AP338" t="s">
        <v>3160</v>
      </c>
      <c r="AQ338" t="s">
        <v>131</v>
      </c>
      <c r="AR338" t="s">
        <v>132</v>
      </c>
      <c r="AS338" t="s">
        <v>796</v>
      </c>
      <c r="AT338" t="s">
        <v>3161</v>
      </c>
      <c r="AV338" t="s">
        <v>625</v>
      </c>
      <c r="AX338" t="s">
        <v>136</v>
      </c>
      <c r="AY338" t="s">
        <v>272</v>
      </c>
      <c r="AZ338" t="s">
        <v>273</v>
      </c>
      <c r="BA338" t="s">
        <v>3162</v>
      </c>
      <c r="BC338" t="s">
        <v>140</v>
      </c>
      <c r="BT338" s="7">
        <f t="shared" si="31"/>
        <v>8</v>
      </c>
      <c r="BU338" s="6">
        <f t="shared" si="32"/>
        <v>7.4766355140186915</v>
      </c>
      <c r="BV338" s="6">
        <f t="shared" si="33"/>
        <v>0.52336448598130847</v>
      </c>
      <c r="BW338" s="6">
        <f t="shared" si="34"/>
        <v>8</v>
      </c>
      <c r="BX338" s="6">
        <f t="shared" si="35"/>
        <v>0</v>
      </c>
    </row>
    <row r="339" spans="1:76" x14ac:dyDescent="0.35">
      <c r="A339" t="s">
        <v>3152</v>
      </c>
      <c r="B339" t="s">
        <v>107</v>
      </c>
      <c r="C339" t="s">
        <v>107</v>
      </c>
      <c r="E339" t="s">
        <v>108</v>
      </c>
      <c r="F339" t="s">
        <v>158</v>
      </c>
      <c r="G339" t="s">
        <v>159</v>
      </c>
      <c r="H339" t="s">
        <v>111</v>
      </c>
      <c r="I339" t="s">
        <v>341</v>
      </c>
      <c r="J339" t="s">
        <v>113</v>
      </c>
      <c r="K339" s="8" t="s">
        <v>114</v>
      </c>
      <c r="L339" t="s">
        <v>161</v>
      </c>
      <c r="M339" s="6">
        <v>459</v>
      </c>
      <c r="N339" t="s">
        <v>997</v>
      </c>
      <c r="O339" s="6">
        <v>220</v>
      </c>
      <c r="P339" t="s">
        <v>457</v>
      </c>
      <c r="Q339" s="6">
        <v>8</v>
      </c>
      <c r="R339" s="7">
        <f t="shared" si="30"/>
        <v>247</v>
      </c>
      <c r="S339" t="s">
        <v>118</v>
      </c>
      <c r="T339" t="s">
        <v>114</v>
      </c>
      <c r="U339" t="s">
        <v>997</v>
      </c>
      <c r="W339" t="s">
        <v>114</v>
      </c>
      <c r="X339" t="s">
        <v>275</v>
      </c>
      <c r="Z339" t="s">
        <v>3153</v>
      </c>
      <c r="AA339" t="s">
        <v>3154</v>
      </c>
      <c r="AB339" s="1" t="s">
        <v>3155</v>
      </c>
      <c r="AC339" t="s">
        <v>3156</v>
      </c>
      <c r="AD339" t="s">
        <v>3154</v>
      </c>
      <c r="AH339" t="s">
        <v>123</v>
      </c>
      <c r="AI339" t="s">
        <v>124</v>
      </c>
      <c r="AJ339" t="s">
        <v>3157</v>
      </c>
      <c r="AK339" t="s">
        <v>126</v>
      </c>
      <c r="AL339" t="s">
        <v>127</v>
      </c>
      <c r="AN339" t="s">
        <v>3158</v>
      </c>
      <c r="AO339" t="s">
        <v>3159</v>
      </c>
      <c r="AP339" t="s">
        <v>3160</v>
      </c>
      <c r="AQ339" t="s">
        <v>131</v>
      </c>
      <c r="AR339" t="s">
        <v>132</v>
      </c>
      <c r="AS339" t="s">
        <v>796</v>
      </c>
      <c r="AT339" t="s">
        <v>3161</v>
      </c>
      <c r="AV339" t="s">
        <v>625</v>
      </c>
      <c r="AX339" t="s">
        <v>136</v>
      </c>
      <c r="AY339" t="s">
        <v>177</v>
      </c>
      <c r="AZ339" t="s">
        <v>138</v>
      </c>
      <c r="BA339" t="s">
        <v>3162</v>
      </c>
      <c r="BC339" t="s">
        <v>140</v>
      </c>
      <c r="BT339" s="7">
        <f t="shared" si="31"/>
        <v>247</v>
      </c>
      <c r="BU339" s="6">
        <f t="shared" si="32"/>
        <v>230.84112149532709</v>
      </c>
      <c r="BV339" s="6">
        <f t="shared" si="33"/>
        <v>16.158878504672895</v>
      </c>
      <c r="BW339" s="6">
        <f t="shared" si="34"/>
        <v>246.99999999999997</v>
      </c>
      <c r="BX339" s="6">
        <f t="shared" si="35"/>
        <v>0</v>
      </c>
    </row>
    <row r="340" spans="1:76" x14ac:dyDescent="0.35">
      <c r="A340" t="s">
        <v>3163</v>
      </c>
      <c r="B340" t="s">
        <v>107</v>
      </c>
      <c r="C340" t="s">
        <v>107</v>
      </c>
      <c r="E340" t="s">
        <v>108</v>
      </c>
      <c r="F340" t="s">
        <v>158</v>
      </c>
      <c r="G340" t="s">
        <v>159</v>
      </c>
      <c r="H340" t="s">
        <v>111</v>
      </c>
      <c r="I340" t="s">
        <v>341</v>
      </c>
      <c r="J340" t="s">
        <v>113</v>
      </c>
      <c r="K340" s="8" t="s">
        <v>114</v>
      </c>
      <c r="L340" t="s">
        <v>161</v>
      </c>
      <c r="M340" s="6">
        <v>459</v>
      </c>
      <c r="N340" t="s">
        <v>994</v>
      </c>
      <c r="O340" s="6">
        <v>220</v>
      </c>
      <c r="P340" t="s">
        <v>1151</v>
      </c>
      <c r="Q340" s="6">
        <v>0</v>
      </c>
      <c r="R340" s="7">
        <f t="shared" si="30"/>
        <v>239</v>
      </c>
      <c r="S340" t="s">
        <v>180</v>
      </c>
      <c r="T340" t="s">
        <v>114</v>
      </c>
      <c r="U340" t="s">
        <v>180</v>
      </c>
      <c r="W340" t="s">
        <v>114</v>
      </c>
      <c r="X340" t="s">
        <v>1151</v>
      </c>
      <c r="Z340" t="s">
        <v>3164</v>
      </c>
      <c r="AA340" t="s">
        <v>3165</v>
      </c>
      <c r="AB340" s="1" t="s">
        <v>3166</v>
      </c>
      <c r="AC340" t="s">
        <v>3167</v>
      </c>
      <c r="AD340" t="s">
        <v>3165</v>
      </c>
      <c r="AH340" t="s">
        <v>123</v>
      </c>
      <c r="AI340" t="s">
        <v>124</v>
      </c>
      <c r="AJ340" t="s">
        <v>3168</v>
      </c>
      <c r="AK340" t="s">
        <v>126</v>
      </c>
      <c r="AL340" t="s">
        <v>127</v>
      </c>
      <c r="AN340" t="s">
        <v>3169</v>
      </c>
      <c r="AO340" t="s">
        <v>3170</v>
      </c>
      <c r="AP340" t="s">
        <v>3171</v>
      </c>
      <c r="AQ340" t="s">
        <v>131</v>
      </c>
      <c r="AR340" t="s">
        <v>132</v>
      </c>
      <c r="AS340" t="s">
        <v>2848</v>
      </c>
      <c r="AT340" t="s">
        <v>2849</v>
      </c>
      <c r="AV340" t="s">
        <v>798</v>
      </c>
      <c r="AX340" t="s">
        <v>136</v>
      </c>
      <c r="AY340" t="s">
        <v>177</v>
      </c>
      <c r="AZ340" t="s">
        <v>138</v>
      </c>
      <c r="BA340" t="s">
        <v>3172</v>
      </c>
      <c r="BC340" t="s">
        <v>140</v>
      </c>
      <c r="BT340" s="7">
        <f t="shared" si="31"/>
        <v>239</v>
      </c>
      <c r="BU340" s="6">
        <f t="shared" si="32"/>
        <v>223.36448598130841</v>
      </c>
      <c r="BV340" s="6">
        <f t="shared" si="33"/>
        <v>15.635514018691588</v>
      </c>
      <c r="BW340" s="6">
        <f t="shared" si="34"/>
        <v>239</v>
      </c>
      <c r="BX340" s="6">
        <f t="shared" si="35"/>
        <v>0</v>
      </c>
    </row>
    <row r="341" spans="1:76" x14ac:dyDescent="0.35">
      <c r="A341" t="s">
        <v>3163</v>
      </c>
      <c r="B341" t="s">
        <v>107</v>
      </c>
      <c r="C341" t="s">
        <v>107</v>
      </c>
      <c r="E341" t="s">
        <v>108</v>
      </c>
      <c r="F341" t="s">
        <v>268</v>
      </c>
      <c r="G341" t="s">
        <v>269</v>
      </c>
      <c r="H341" t="s">
        <v>2268</v>
      </c>
      <c r="I341" t="s">
        <v>271</v>
      </c>
      <c r="J341" t="s">
        <v>113</v>
      </c>
      <c r="K341" s="8" t="s">
        <v>114</v>
      </c>
      <c r="L341" t="s">
        <v>114</v>
      </c>
      <c r="M341" s="6">
        <v>0</v>
      </c>
      <c r="N341" t="s">
        <v>114</v>
      </c>
      <c r="O341" s="6">
        <v>0</v>
      </c>
      <c r="P341" t="s">
        <v>114</v>
      </c>
      <c r="Q341" s="6">
        <v>0</v>
      </c>
      <c r="R341" s="7">
        <f t="shared" si="30"/>
        <v>0</v>
      </c>
      <c r="S341" t="s">
        <v>180</v>
      </c>
      <c r="T341" t="s">
        <v>114</v>
      </c>
      <c r="U341" t="s">
        <v>180</v>
      </c>
      <c r="W341" t="s">
        <v>114</v>
      </c>
      <c r="X341" t="s">
        <v>1151</v>
      </c>
      <c r="Z341" t="s">
        <v>3164</v>
      </c>
      <c r="AA341" t="s">
        <v>3165</v>
      </c>
      <c r="AB341" s="1" t="s">
        <v>3166</v>
      </c>
      <c r="AC341" t="s">
        <v>3167</v>
      </c>
      <c r="AD341" t="s">
        <v>3165</v>
      </c>
      <c r="AH341" t="s">
        <v>123</v>
      </c>
      <c r="AI341" t="s">
        <v>124</v>
      </c>
      <c r="AJ341" t="s">
        <v>3168</v>
      </c>
      <c r="AK341" t="s">
        <v>126</v>
      </c>
      <c r="AL341" t="s">
        <v>127</v>
      </c>
      <c r="AN341" t="s">
        <v>3169</v>
      </c>
      <c r="AO341" t="s">
        <v>3170</v>
      </c>
      <c r="AP341" t="s">
        <v>3171</v>
      </c>
      <c r="AQ341" t="s">
        <v>131</v>
      </c>
      <c r="AR341" t="s">
        <v>132</v>
      </c>
      <c r="AS341" t="s">
        <v>2848</v>
      </c>
      <c r="AT341" t="s">
        <v>2849</v>
      </c>
      <c r="AV341" t="s">
        <v>798</v>
      </c>
      <c r="AX341" t="s">
        <v>136</v>
      </c>
      <c r="AY341" t="s">
        <v>272</v>
      </c>
      <c r="AZ341" t="s">
        <v>273</v>
      </c>
      <c r="BA341" t="s">
        <v>3172</v>
      </c>
      <c r="BC341" t="s">
        <v>140</v>
      </c>
      <c r="BT341" s="7">
        <f t="shared" si="31"/>
        <v>0</v>
      </c>
      <c r="BU341" s="6">
        <f t="shared" si="32"/>
        <v>0</v>
      </c>
      <c r="BV341" s="6">
        <f t="shared" si="33"/>
        <v>0</v>
      </c>
      <c r="BW341" s="6">
        <f t="shared" si="34"/>
        <v>0</v>
      </c>
      <c r="BX341" s="6">
        <f t="shared" si="35"/>
        <v>0</v>
      </c>
    </row>
    <row r="342" spans="1:76" x14ac:dyDescent="0.35">
      <c r="A342" t="s">
        <v>3173</v>
      </c>
      <c r="B342" t="s">
        <v>107</v>
      </c>
      <c r="C342" t="s">
        <v>107</v>
      </c>
      <c r="E342" t="s">
        <v>108</v>
      </c>
      <c r="F342" t="s">
        <v>338</v>
      </c>
      <c r="G342" t="s">
        <v>339</v>
      </c>
      <c r="H342" t="s">
        <v>340</v>
      </c>
      <c r="I342" t="s">
        <v>341</v>
      </c>
      <c r="J342" t="s">
        <v>113</v>
      </c>
      <c r="K342" s="8" t="s">
        <v>114</v>
      </c>
      <c r="L342" t="s">
        <v>114</v>
      </c>
      <c r="M342" s="6">
        <v>0</v>
      </c>
      <c r="N342" t="s">
        <v>114</v>
      </c>
      <c r="O342" s="6">
        <v>0</v>
      </c>
      <c r="P342" t="s">
        <v>114</v>
      </c>
      <c r="Q342" s="6">
        <v>29</v>
      </c>
      <c r="R342" s="7">
        <f t="shared" si="30"/>
        <v>29</v>
      </c>
      <c r="S342" t="s">
        <v>142</v>
      </c>
      <c r="T342" t="s">
        <v>114</v>
      </c>
      <c r="U342" t="s">
        <v>114</v>
      </c>
      <c r="W342" t="s">
        <v>114</v>
      </c>
      <c r="X342" t="s">
        <v>3174</v>
      </c>
      <c r="Z342" t="s">
        <v>3175</v>
      </c>
      <c r="AA342" t="s">
        <v>3176</v>
      </c>
      <c r="AB342" s="1" t="s">
        <v>3177</v>
      </c>
      <c r="AC342" t="s">
        <v>3178</v>
      </c>
      <c r="AD342" t="s">
        <v>3176</v>
      </c>
      <c r="AH342" t="s">
        <v>123</v>
      </c>
      <c r="AI342" t="s">
        <v>124</v>
      </c>
      <c r="AJ342" t="s">
        <v>3179</v>
      </c>
      <c r="AK342" t="s">
        <v>126</v>
      </c>
      <c r="AL342" t="s">
        <v>127</v>
      </c>
      <c r="AN342" t="s">
        <v>3180</v>
      </c>
      <c r="AO342" t="s">
        <v>3181</v>
      </c>
      <c r="AP342" t="s">
        <v>3182</v>
      </c>
      <c r="AQ342" t="s">
        <v>131</v>
      </c>
      <c r="AR342" t="s">
        <v>132</v>
      </c>
      <c r="AS342" t="s">
        <v>152</v>
      </c>
      <c r="AT342" t="s">
        <v>3183</v>
      </c>
      <c r="AV342" t="s">
        <v>610</v>
      </c>
      <c r="AX342" t="s">
        <v>136</v>
      </c>
      <c r="AY342" t="s">
        <v>177</v>
      </c>
      <c r="AZ342" t="s">
        <v>356</v>
      </c>
      <c r="BA342" t="s">
        <v>3184</v>
      </c>
      <c r="BC342" t="s">
        <v>140</v>
      </c>
      <c r="BT342" s="7">
        <f t="shared" si="31"/>
        <v>29</v>
      </c>
      <c r="BU342" s="6">
        <f t="shared" si="32"/>
        <v>27.102803738317757</v>
      </c>
      <c r="BV342" s="6">
        <f t="shared" si="33"/>
        <v>1.8971962616822429</v>
      </c>
      <c r="BW342" s="6">
        <f t="shared" si="34"/>
        <v>29</v>
      </c>
      <c r="BX342" s="6">
        <f t="shared" si="35"/>
        <v>0</v>
      </c>
    </row>
    <row r="343" spans="1:76" x14ac:dyDescent="0.35">
      <c r="A343" t="s">
        <v>3173</v>
      </c>
      <c r="B343" t="s">
        <v>107</v>
      </c>
      <c r="C343" t="s">
        <v>107</v>
      </c>
      <c r="E343" t="s">
        <v>108</v>
      </c>
      <c r="F343" t="s">
        <v>358</v>
      </c>
      <c r="G343" t="s">
        <v>359</v>
      </c>
      <c r="H343" t="s">
        <v>360</v>
      </c>
      <c r="I343" t="s">
        <v>341</v>
      </c>
      <c r="J343" t="s">
        <v>113</v>
      </c>
      <c r="K343" s="8" t="s">
        <v>114</v>
      </c>
      <c r="L343" t="s">
        <v>361</v>
      </c>
      <c r="M343" s="6">
        <v>233</v>
      </c>
      <c r="N343" t="s">
        <v>113</v>
      </c>
      <c r="O343" s="6">
        <v>127</v>
      </c>
      <c r="P343" t="s">
        <v>562</v>
      </c>
      <c r="Q343" s="6">
        <v>29</v>
      </c>
      <c r="R343" s="7">
        <f t="shared" si="30"/>
        <v>135</v>
      </c>
      <c r="S343" t="s">
        <v>142</v>
      </c>
      <c r="T343" t="s">
        <v>114</v>
      </c>
      <c r="U343" t="s">
        <v>114</v>
      </c>
      <c r="W343" t="s">
        <v>114</v>
      </c>
      <c r="X343" t="s">
        <v>3174</v>
      </c>
      <c r="Z343" t="s">
        <v>3175</v>
      </c>
      <c r="AA343" t="s">
        <v>3176</v>
      </c>
      <c r="AB343" s="1" t="s">
        <v>3177</v>
      </c>
      <c r="AC343" t="s">
        <v>3178</v>
      </c>
      <c r="AD343" t="s">
        <v>3176</v>
      </c>
      <c r="AH343" t="s">
        <v>123</v>
      </c>
      <c r="AI343" t="s">
        <v>124</v>
      </c>
      <c r="AJ343" t="s">
        <v>3179</v>
      </c>
      <c r="AK343" t="s">
        <v>126</v>
      </c>
      <c r="AL343" t="s">
        <v>127</v>
      </c>
      <c r="AN343" t="s">
        <v>3180</v>
      </c>
      <c r="AO343" t="s">
        <v>3181</v>
      </c>
      <c r="AP343" t="s">
        <v>3182</v>
      </c>
      <c r="AQ343" t="s">
        <v>131</v>
      </c>
      <c r="AR343" t="s">
        <v>132</v>
      </c>
      <c r="AS343" t="s">
        <v>152</v>
      </c>
      <c r="AT343" t="s">
        <v>3183</v>
      </c>
      <c r="AV343" t="s">
        <v>610</v>
      </c>
      <c r="AX343" t="s">
        <v>136</v>
      </c>
      <c r="AY343" t="s">
        <v>177</v>
      </c>
      <c r="AZ343" t="s">
        <v>364</v>
      </c>
      <c r="BA343" t="s">
        <v>3184</v>
      </c>
      <c r="BC343" t="s">
        <v>140</v>
      </c>
      <c r="BT343" s="7">
        <f t="shared" si="31"/>
        <v>135</v>
      </c>
      <c r="BU343" s="6">
        <f t="shared" si="32"/>
        <v>126.16822429906541</v>
      </c>
      <c r="BV343" s="6">
        <f t="shared" si="33"/>
        <v>8.8317757009345783</v>
      </c>
      <c r="BW343" s="6">
        <f t="shared" si="34"/>
        <v>135</v>
      </c>
      <c r="BX343" s="6">
        <f t="shared" si="35"/>
        <v>0</v>
      </c>
    </row>
    <row r="344" spans="1:76" x14ac:dyDescent="0.35">
      <c r="A344" t="s">
        <v>3185</v>
      </c>
      <c r="B344" t="s">
        <v>107</v>
      </c>
      <c r="C344" t="s">
        <v>107</v>
      </c>
      <c r="E344" t="s">
        <v>108</v>
      </c>
      <c r="F344" t="s">
        <v>499</v>
      </c>
      <c r="G344" t="s">
        <v>500</v>
      </c>
      <c r="H344" t="s">
        <v>501</v>
      </c>
      <c r="I344" t="s">
        <v>341</v>
      </c>
      <c r="J344" t="s">
        <v>113</v>
      </c>
      <c r="K344" s="8" t="s">
        <v>114</v>
      </c>
      <c r="L344" t="s">
        <v>502</v>
      </c>
      <c r="M344" s="6">
        <v>348</v>
      </c>
      <c r="N344" t="s">
        <v>114</v>
      </c>
      <c r="O344" s="6">
        <v>167</v>
      </c>
      <c r="P344" t="s">
        <v>2840</v>
      </c>
      <c r="Q344" s="6">
        <v>0</v>
      </c>
      <c r="R344" s="7">
        <f t="shared" si="30"/>
        <v>181</v>
      </c>
      <c r="S344" t="s">
        <v>180</v>
      </c>
      <c r="T344" t="s">
        <v>114</v>
      </c>
      <c r="U344" t="s">
        <v>180</v>
      </c>
      <c r="W344" t="s">
        <v>114</v>
      </c>
      <c r="X344" t="s">
        <v>2840</v>
      </c>
      <c r="Z344" t="s">
        <v>3186</v>
      </c>
      <c r="AA344" t="s">
        <v>3187</v>
      </c>
      <c r="AB344" s="1" t="s">
        <v>3188</v>
      </c>
      <c r="AC344" t="s">
        <v>3189</v>
      </c>
      <c r="AD344" t="s">
        <v>3190</v>
      </c>
      <c r="AH344" t="s">
        <v>123</v>
      </c>
      <c r="AI344" t="s">
        <v>124</v>
      </c>
      <c r="AJ344" t="s">
        <v>3191</v>
      </c>
      <c r="AK344" t="s">
        <v>126</v>
      </c>
      <c r="AL344" t="s">
        <v>127</v>
      </c>
      <c r="AN344" t="s">
        <v>3192</v>
      </c>
      <c r="AO344" t="s">
        <v>3193</v>
      </c>
      <c r="AP344" t="s">
        <v>3194</v>
      </c>
      <c r="AQ344" t="s">
        <v>131</v>
      </c>
      <c r="AR344" t="s">
        <v>132</v>
      </c>
      <c r="AS344" t="s">
        <v>3195</v>
      </c>
      <c r="AT344" t="s">
        <v>3196</v>
      </c>
      <c r="AV344" t="s">
        <v>1072</v>
      </c>
      <c r="AX344" t="s">
        <v>655</v>
      </c>
      <c r="AY344" t="s">
        <v>177</v>
      </c>
      <c r="AZ344" t="s">
        <v>517</v>
      </c>
      <c r="BA344" t="s">
        <v>3197</v>
      </c>
      <c r="BC344" t="s">
        <v>140</v>
      </c>
      <c r="BT344" s="7">
        <f t="shared" si="31"/>
        <v>181</v>
      </c>
      <c r="BU344" s="6">
        <f t="shared" si="32"/>
        <v>169.15887850467288</v>
      </c>
      <c r="BV344" s="6">
        <f t="shared" si="33"/>
        <v>11.841121495327101</v>
      </c>
      <c r="BW344" s="6">
        <f t="shared" si="34"/>
        <v>181</v>
      </c>
      <c r="BX344" s="6">
        <f t="shared" si="35"/>
        <v>0</v>
      </c>
    </row>
    <row r="345" spans="1:76" x14ac:dyDescent="0.35">
      <c r="A345" t="s">
        <v>3198</v>
      </c>
      <c r="B345" t="s">
        <v>107</v>
      </c>
      <c r="C345" t="s">
        <v>107</v>
      </c>
      <c r="E345" t="s">
        <v>108</v>
      </c>
      <c r="F345" t="s">
        <v>158</v>
      </c>
      <c r="G345" t="s">
        <v>159</v>
      </c>
      <c r="H345" t="s">
        <v>111</v>
      </c>
      <c r="I345" t="s">
        <v>341</v>
      </c>
      <c r="J345" t="s">
        <v>113</v>
      </c>
      <c r="K345" s="8" t="s">
        <v>114</v>
      </c>
      <c r="L345" t="s">
        <v>161</v>
      </c>
      <c r="M345" s="6">
        <v>459</v>
      </c>
      <c r="N345" t="s">
        <v>114</v>
      </c>
      <c r="O345" s="6">
        <v>220</v>
      </c>
      <c r="P345" t="s">
        <v>1111</v>
      </c>
      <c r="Q345" s="6">
        <v>0</v>
      </c>
      <c r="R345" s="7">
        <f t="shared" si="30"/>
        <v>239</v>
      </c>
      <c r="S345" t="s">
        <v>180</v>
      </c>
      <c r="T345" t="s">
        <v>114</v>
      </c>
      <c r="U345" t="s">
        <v>180</v>
      </c>
      <c r="W345" t="s">
        <v>114</v>
      </c>
      <c r="X345" t="s">
        <v>1111</v>
      </c>
      <c r="Z345" t="s">
        <v>3199</v>
      </c>
      <c r="AA345" t="s">
        <v>3200</v>
      </c>
      <c r="AB345" s="1" t="s">
        <v>3201</v>
      </c>
      <c r="AC345" t="s">
        <v>3202</v>
      </c>
      <c r="AD345" t="s">
        <v>3200</v>
      </c>
      <c r="AH345" t="s">
        <v>123</v>
      </c>
      <c r="AI345" t="s">
        <v>124</v>
      </c>
      <c r="AJ345" t="s">
        <v>3203</v>
      </c>
      <c r="AK345" t="s">
        <v>126</v>
      </c>
      <c r="AL345" t="s">
        <v>127</v>
      </c>
      <c r="AN345" t="s">
        <v>3204</v>
      </c>
      <c r="AO345" t="s">
        <v>1410</v>
      </c>
      <c r="AP345" t="s">
        <v>3205</v>
      </c>
      <c r="AQ345" t="s">
        <v>131</v>
      </c>
      <c r="AR345" t="s">
        <v>132</v>
      </c>
      <c r="AS345" t="s">
        <v>1181</v>
      </c>
      <c r="AT345" t="s">
        <v>3206</v>
      </c>
      <c r="AV345" t="s">
        <v>406</v>
      </c>
      <c r="AX345" t="s">
        <v>136</v>
      </c>
      <c r="AY345" t="s">
        <v>177</v>
      </c>
      <c r="AZ345" t="s">
        <v>138</v>
      </c>
      <c r="BA345" t="s">
        <v>3207</v>
      </c>
      <c r="BC345" t="s">
        <v>140</v>
      </c>
      <c r="BT345" s="7">
        <f t="shared" si="31"/>
        <v>239</v>
      </c>
      <c r="BU345" s="6">
        <f t="shared" si="32"/>
        <v>223.36448598130841</v>
      </c>
      <c r="BV345" s="6">
        <f t="shared" si="33"/>
        <v>15.635514018691588</v>
      </c>
      <c r="BW345" s="6">
        <f t="shared" si="34"/>
        <v>239</v>
      </c>
      <c r="BX345" s="6">
        <f t="shared" si="35"/>
        <v>0</v>
      </c>
    </row>
    <row r="346" spans="1:76" x14ac:dyDescent="0.35">
      <c r="A346" t="s">
        <v>3198</v>
      </c>
      <c r="B346" t="s">
        <v>107</v>
      </c>
      <c r="C346" t="s">
        <v>107</v>
      </c>
      <c r="E346" t="s">
        <v>108</v>
      </c>
      <c r="F346" t="s">
        <v>268</v>
      </c>
      <c r="G346" t="s">
        <v>269</v>
      </c>
      <c r="H346" t="s">
        <v>2268</v>
      </c>
      <c r="I346" t="s">
        <v>271</v>
      </c>
      <c r="J346" t="s">
        <v>113</v>
      </c>
      <c r="K346" s="8" t="s">
        <v>114</v>
      </c>
      <c r="L346" t="s">
        <v>114</v>
      </c>
      <c r="M346" s="6">
        <v>0</v>
      </c>
      <c r="N346" t="s">
        <v>114</v>
      </c>
      <c r="O346" s="6">
        <v>0</v>
      </c>
      <c r="P346" t="s">
        <v>114</v>
      </c>
      <c r="Q346" s="6">
        <v>0</v>
      </c>
      <c r="R346" s="7">
        <f t="shared" si="30"/>
        <v>0</v>
      </c>
      <c r="S346" t="s">
        <v>180</v>
      </c>
      <c r="T346" t="s">
        <v>114</v>
      </c>
      <c r="U346" t="s">
        <v>180</v>
      </c>
      <c r="W346" t="s">
        <v>114</v>
      </c>
      <c r="X346" t="s">
        <v>1111</v>
      </c>
      <c r="Z346" t="s">
        <v>3199</v>
      </c>
      <c r="AA346" t="s">
        <v>3200</v>
      </c>
      <c r="AB346" s="1" t="s">
        <v>3201</v>
      </c>
      <c r="AC346" t="s">
        <v>3202</v>
      </c>
      <c r="AD346" t="s">
        <v>3200</v>
      </c>
      <c r="AH346" t="s">
        <v>123</v>
      </c>
      <c r="AI346" t="s">
        <v>124</v>
      </c>
      <c r="AJ346" t="s">
        <v>3203</v>
      </c>
      <c r="AK346" t="s">
        <v>126</v>
      </c>
      <c r="AL346" t="s">
        <v>127</v>
      </c>
      <c r="AN346" t="s">
        <v>3204</v>
      </c>
      <c r="AO346" t="s">
        <v>1410</v>
      </c>
      <c r="AP346" t="s">
        <v>3205</v>
      </c>
      <c r="AQ346" t="s">
        <v>131</v>
      </c>
      <c r="AR346" t="s">
        <v>132</v>
      </c>
      <c r="AS346" t="s">
        <v>1181</v>
      </c>
      <c r="AT346" t="s">
        <v>3206</v>
      </c>
      <c r="AV346" t="s">
        <v>406</v>
      </c>
      <c r="AX346" t="s">
        <v>136</v>
      </c>
      <c r="AY346" t="s">
        <v>272</v>
      </c>
      <c r="AZ346" t="s">
        <v>273</v>
      </c>
      <c r="BA346" t="s">
        <v>3207</v>
      </c>
      <c r="BC346" t="s">
        <v>140</v>
      </c>
      <c r="BT346" s="7">
        <f t="shared" si="31"/>
        <v>0</v>
      </c>
      <c r="BU346" s="6">
        <f t="shared" si="32"/>
        <v>0</v>
      </c>
      <c r="BV346" s="6">
        <f t="shared" si="33"/>
        <v>0</v>
      </c>
      <c r="BW346" s="6">
        <f t="shared" si="34"/>
        <v>0</v>
      </c>
      <c r="BX346" s="6">
        <f t="shared" si="35"/>
        <v>0</v>
      </c>
    </row>
    <row r="347" spans="1:76" x14ac:dyDescent="0.35">
      <c r="A347" t="s">
        <v>3208</v>
      </c>
      <c r="B347" t="s">
        <v>107</v>
      </c>
      <c r="C347" t="s">
        <v>107</v>
      </c>
      <c r="F347" t="s">
        <v>358</v>
      </c>
      <c r="G347" t="s">
        <v>359</v>
      </c>
      <c r="H347" t="s">
        <v>360</v>
      </c>
      <c r="I347" t="s">
        <v>341</v>
      </c>
      <c r="J347" t="s">
        <v>113</v>
      </c>
      <c r="K347" s="8" t="s">
        <v>114</v>
      </c>
      <c r="L347" t="s">
        <v>114</v>
      </c>
      <c r="M347" s="6">
        <v>0</v>
      </c>
      <c r="N347" t="s">
        <v>114</v>
      </c>
      <c r="O347" s="6">
        <v>0</v>
      </c>
      <c r="P347" t="s">
        <v>114</v>
      </c>
      <c r="Q347" s="6">
        <v>0</v>
      </c>
      <c r="R347" s="7">
        <f t="shared" si="30"/>
        <v>0</v>
      </c>
      <c r="S347" t="s">
        <v>114</v>
      </c>
      <c r="T347" t="s">
        <v>114</v>
      </c>
      <c r="U347" t="s">
        <v>114</v>
      </c>
      <c r="W347" t="s">
        <v>114</v>
      </c>
      <c r="X347" t="s">
        <v>114</v>
      </c>
      <c r="Z347" t="s">
        <v>3209</v>
      </c>
      <c r="AA347" t="s">
        <v>3209</v>
      </c>
      <c r="AB347" s="1" t="s">
        <v>3210</v>
      </c>
      <c r="AC347" t="s">
        <v>3211</v>
      </c>
      <c r="AD347" t="s">
        <v>3212</v>
      </c>
      <c r="AH347" t="s">
        <v>123</v>
      </c>
      <c r="AI347" t="s">
        <v>124</v>
      </c>
      <c r="AJ347" t="s">
        <v>3213</v>
      </c>
      <c r="AK347" t="s">
        <v>126</v>
      </c>
      <c r="AL347" t="s">
        <v>127</v>
      </c>
      <c r="AN347" t="s">
        <v>3214</v>
      </c>
      <c r="AO347" t="s">
        <v>3215</v>
      </c>
      <c r="AP347" t="s">
        <v>3216</v>
      </c>
      <c r="AQ347" t="s">
        <v>131</v>
      </c>
      <c r="AR347" t="s">
        <v>403</v>
      </c>
      <c r="AS347" t="s">
        <v>2134</v>
      </c>
      <c r="AT347" t="s">
        <v>2457</v>
      </c>
      <c r="AV347" t="s">
        <v>406</v>
      </c>
      <c r="AY347" t="s">
        <v>177</v>
      </c>
      <c r="AZ347" t="s">
        <v>364</v>
      </c>
      <c r="BA347" t="s">
        <v>3217</v>
      </c>
      <c r="BC347" t="s">
        <v>140</v>
      </c>
      <c r="BT347" s="7">
        <f t="shared" si="31"/>
        <v>0</v>
      </c>
      <c r="BU347" s="6">
        <f t="shared" si="32"/>
        <v>0</v>
      </c>
      <c r="BV347" s="6">
        <f t="shared" si="33"/>
        <v>0</v>
      </c>
      <c r="BW347" s="6">
        <f t="shared" si="34"/>
        <v>0</v>
      </c>
      <c r="BX347" s="6">
        <f t="shared" si="35"/>
        <v>0</v>
      </c>
    </row>
    <row r="348" spans="1:76" x14ac:dyDescent="0.35">
      <c r="A348" t="s">
        <v>3218</v>
      </c>
      <c r="B348" t="s">
        <v>107</v>
      </c>
      <c r="C348" t="s">
        <v>107</v>
      </c>
      <c r="F348" t="s">
        <v>358</v>
      </c>
      <c r="G348" t="s">
        <v>359</v>
      </c>
      <c r="H348" t="s">
        <v>360</v>
      </c>
      <c r="I348" t="s">
        <v>341</v>
      </c>
      <c r="J348" t="s">
        <v>113</v>
      </c>
      <c r="K348" s="8" t="s">
        <v>114</v>
      </c>
      <c r="L348" t="s">
        <v>114</v>
      </c>
      <c r="M348" s="6">
        <v>0</v>
      </c>
      <c r="N348" t="s">
        <v>114</v>
      </c>
      <c r="O348" s="6">
        <v>0</v>
      </c>
      <c r="P348" t="s">
        <v>114</v>
      </c>
      <c r="Q348" s="6">
        <v>0</v>
      </c>
      <c r="R348" s="7">
        <f t="shared" si="30"/>
        <v>0</v>
      </c>
      <c r="S348" t="s">
        <v>114</v>
      </c>
      <c r="T348" t="s">
        <v>114</v>
      </c>
      <c r="U348" t="s">
        <v>114</v>
      </c>
      <c r="W348" t="s">
        <v>114</v>
      </c>
      <c r="X348" t="s">
        <v>114</v>
      </c>
      <c r="Z348" t="s">
        <v>3219</v>
      </c>
      <c r="AA348" t="s">
        <v>3220</v>
      </c>
      <c r="AB348" s="1" t="s">
        <v>3221</v>
      </c>
      <c r="AC348" t="s">
        <v>3178</v>
      </c>
      <c r="AD348" t="s">
        <v>3222</v>
      </c>
      <c r="AH348" t="s">
        <v>123</v>
      </c>
      <c r="AI348" t="s">
        <v>124</v>
      </c>
      <c r="AJ348" t="s">
        <v>3223</v>
      </c>
      <c r="AK348" t="s">
        <v>126</v>
      </c>
      <c r="AL348" t="s">
        <v>127</v>
      </c>
      <c r="AN348" t="s">
        <v>3224</v>
      </c>
      <c r="AO348" t="s">
        <v>3225</v>
      </c>
      <c r="AP348" t="s">
        <v>3226</v>
      </c>
      <c r="AQ348" t="s">
        <v>131</v>
      </c>
      <c r="AR348" t="s">
        <v>132</v>
      </c>
      <c r="AS348" t="s">
        <v>331</v>
      </c>
      <c r="AT348" t="s">
        <v>3227</v>
      </c>
      <c r="AV348" t="s">
        <v>2850</v>
      </c>
      <c r="AW348" t="s">
        <v>3228</v>
      </c>
      <c r="AY348" t="s">
        <v>177</v>
      </c>
      <c r="AZ348" t="s">
        <v>364</v>
      </c>
      <c r="BA348" t="s">
        <v>3229</v>
      </c>
      <c r="BC348" t="s">
        <v>140</v>
      </c>
      <c r="BT348" s="7">
        <f t="shared" si="31"/>
        <v>0</v>
      </c>
      <c r="BU348" s="6">
        <f t="shared" si="32"/>
        <v>0</v>
      </c>
      <c r="BV348" s="6">
        <f t="shared" si="33"/>
        <v>0</v>
      </c>
      <c r="BW348" s="6">
        <f t="shared" si="34"/>
        <v>0</v>
      </c>
      <c r="BX348" s="6">
        <f t="shared" si="35"/>
        <v>0</v>
      </c>
    </row>
    <row r="349" spans="1:76" x14ac:dyDescent="0.35">
      <c r="A349" t="s">
        <v>3230</v>
      </c>
      <c r="B349" t="s">
        <v>107</v>
      </c>
      <c r="C349" t="s">
        <v>107</v>
      </c>
      <c r="F349" t="s">
        <v>358</v>
      </c>
      <c r="G349" t="s">
        <v>359</v>
      </c>
      <c r="H349" t="s">
        <v>360</v>
      </c>
      <c r="I349" t="s">
        <v>341</v>
      </c>
      <c r="J349" t="s">
        <v>113</v>
      </c>
      <c r="K349" s="8" t="s">
        <v>114</v>
      </c>
      <c r="L349" t="s">
        <v>114</v>
      </c>
      <c r="M349" s="6">
        <v>0</v>
      </c>
      <c r="N349" t="s">
        <v>114</v>
      </c>
      <c r="O349" s="6">
        <v>0</v>
      </c>
      <c r="P349" t="s">
        <v>114</v>
      </c>
      <c r="Q349" s="6">
        <v>0</v>
      </c>
      <c r="R349" s="7">
        <f t="shared" si="30"/>
        <v>0</v>
      </c>
      <c r="S349" t="s">
        <v>114</v>
      </c>
      <c r="T349" t="s">
        <v>114</v>
      </c>
      <c r="U349" t="s">
        <v>114</v>
      </c>
      <c r="W349" t="s">
        <v>114</v>
      </c>
      <c r="X349" t="s">
        <v>114</v>
      </c>
      <c r="Z349" t="s">
        <v>3231</v>
      </c>
      <c r="AA349" t="s">
        <v>3231</v>
      </c>
      <c r="AB349" s="1" t="s">
        <v>3232</v>
      </c>
      <c r="AC349" t="s">
        <v>3233</v>
      </c>
      <c r="AD349" t="s">
        <v>3234</v>
      </c>
      <c r="AH349" t="s">
        <v>123</v>
      </c>
      <c r="AI349" t="s">
        <v>124</v>
      </c>
      <c r="AJ349" t="s">
        <v>3235</v>
      </c>
      <c r="AK349" t="s">
        <v>126</v>
      </c>
      <c r="AL349" t="s">
        <v>127</v>
      </c>
      <c r="AN349" t="s">
        <v>3236</v>
      </c>
      <c r="AO349" t="s">
        <v>3237</v>
      </c>
      <c r="AP349" t="s">
        <v>3238</v>
      </c>
      <c r="AQ349" t="s">
        <v>131</v>
      </c>
      <c r="AR349" t="s">
        <v>132</v>
      </c>
      <c r="AS349" t="s">
        <v>1280</v>
      </c>
      <c r="AT349" t="s">
        <v>1281</v>
      </c>
      <c r="AV349" t="s">
        <v>3239</v>
      </c>
      <c r="AW349" t="s">
        <v>3240</v>
      </c>
      <c r="AY349" t="s">
        <v>177</v>
      </c>
      <c r="AZ349" t="s">
        <v>364</v>
      </c>
      <c r="BA349" t="s">
        <v>3241</v>
      </c>
      <c r="BC349" t="s">
        <v>140</v>
      </c>
      <c r="BT349" s="7">
        <f t="shared" si="31"/>
        <v>0</v>
      </c>
      <c r="BU349" s="6">
        <f t="shared" si="32"/>
        <v>0</v>
      </c>
      <c r="BV349" s="6">
        <f t="shared" si="33"/>
        <v>0</v>
      </c>
      <c r="BW349" s="6">
        <f t="shared" si="34"/>
        <v>0</v>
      </c>
      <c r="BX349" s="6">
        <f t="shared" si="35"/>
        <v>0</v>
      </c>
    </row>
    <row r="350" spans="1:76" x14ac:dyDescent="0.35">
      <c r="A350" t="s">
        <v>3242</v>
      </c>
      <c r="B350" t="s">
        <v>107</v>
      </c>
      <c r="C350" t="s">
        <v>107</v>
      </c>
      <c r="F350" t="s">
        <v>358</v>
      </c>
      <c r="G350" t="s">
        <v>359</v>
      </c>
      <c r="H350" t="s">
        <v>360</v>
      </c>
      <c r="I350" t="s">
        <v>341</v>
      </c>
      <c r="J350" t="s">
        <v>113</v>
      </c>
      <c r="K350" s="8" t="s">
        <v>114</v>
      </c>
      <c r="L350" t="s">
        <v>114</v>
      </c>
      <c r="M350" s="6">
        <v>0</v>
      </c>
      <c r="N350" t="s">
        <v>114</v>
      </c>
      <c r="O350" s="6">
        <v>0</v>
      </c>
      <c r="P350" t="s">
        <v>114</v>
      </c>
      <c r="Q350" s="6">
        <v>0</v>
      </c>
      <c r="R350" s="7">
        <f t="shared" si="30"/>
        <v>0</v>
      </c>
      <c r="S350" t="s">
        <v>114</v>
      </c>
      <c r="T350" t="s">
        <v>114</v>
      </c>
      <c r="U350" t="s">
        <v>114</v>
      </c>
      <c r="W350" t="s">
        <v>114</v>
      </c>
      <c r="X350" t="s">
        <v>114</v>
      </c>
      <c r="Z350" t="s">
        <v>3243</v>
      </c>
      <c r="AA350" t="s">
        <v>3243</v>
      </c>
      <c r="AB350" s="1" t="s">
        <v>3244</v>
      </c>
      <c r="AC350" t="s">
        <v>3245</v>
      </c>
      <c r="AD350" t="s">
        <v>3246</v>
      </c>
      <c r="AH350" t="s">
        <v>123</v>
      </c>
      <c r="AI350" t="s">
        <v>124</v>
      </c>
      <c r="AJ350" t="s">
        <v>3247</v>
      </c>
      <c r="AK350" t="s">
        <v>126</v>
      </c>
      <c r="AL350" t="s">
        <v>127</v>
      </c>
      <c r="AN350" t="s">
        <v>3248</v>
      </c>
      <c r="AO350" t="s">
        <v>3249</v>
      </c>
      <c r="AP350" t="s">
        <v>3250</v>
      </c>
      <c r="AQ350" t="s">
        <v>131</v>
      </c>
      <c r="AR350" t="s">
        <v>132</v>
      </c>
      <c r="AS350" t="s">
        <v>1754</v>
      </c>
      <c r="AT350" t="s">
        <v>3251</v>
      </c>
      <c r="AV350" t="s">
        <v>1183</v>
      </c>
      <c r="AY350" t="s">
        <v>177</v>
      </c>
      <c r="AZ350" t="s">
        <v>364</v>
      </c>
      <c r="BA350" t="s">
        <v>3252</v>
      </c>
      <c r="BC350" t="s">
        <v>140</v>
      </c>
      <c r="BT350" s="7">
        <f t="shared" si="31"/>
        <v>0</v>
      </c>
      <c r="BU350" s="6">
        <f t="shared" si="32"/>
        <v>0</v>
      </c>
      <c r="BV350" s="6">
        <f t="shared" si="33"/>
        <v>0</v>
      </c>
      <c r="BW350" s="6">
        <f t="shared" si="34"/>
        <v>0</v>
      </c>
      <c r="BX350" s="6">
        <f t="shared" si="35"/>
        <v>0</v>
      </c>
    </row>
    <row r="351" spans="1:76" x14ac:dyDescent="0.35">
      <c r="A351" t="s">
        <v>3253</v>
      </c>
      <c r="B351" t="s">
        <v>107</v>
      </c>
      <c r="C351" t="s">
        <v>107</v>
      </c>
      <c r="E351" t="s">
        <v>108</v>
      </c>
      <c r="F351" t="s">
        <v>268</v>
      </c>
      <c r="G351" t="s">
        <v>269</v>
      </c>
      <c r="H351" t="s">
        <v>2268</v>
      </c>
      <c r="I351" t="s">
        <v>271</v>
      </c>
      <c r="J351" t="s">
        <v>113</v>
      </c>
      <c r="K351" s="8" t="s">
        <v>114</v>
      </c>
      <c r="L351" t="s">
        <v>114</v>
      </c>
      <c r="M351" s="6">
        <v>0</v>
      </c>
      <c r="N351" t="s">
        <v>114</v>
      </c>
      <c r="O351" s="6">
        <v>0</v>
      </c>
      <c r="P351" t="s">
        <v>114</v>
      </c>
      <c r="Q351" s="6">
        <v>0</v>
      </c>
      <c r="R351" s="7">
        <f t="shared" si="30"/>
        <v>0</v>
      </c>
      <c r="S351" t="s">
        <v>142</v>
      </c>
      <c r="T351" t="s">
        <v>114</v>
      </c>
      <c r="U351" t="s">
        <v>142</v>
      </c>
      <c r="W351" t="s">
        <v>114</v>
      </c>
      <c r="X351" t="s">
        <v>1151</v>
      </c>
      <c r="Z351" t="s">
        <v>3254</v>
      </c>
      <c r="AA351" t="s">
        <v>3255</v>
      </c>
      <c r="AB351" s="1" t="s">
        <v>3256</v>
      </c>
      <c r="AC351" t="s">
        <v>3257</v>
      </c>
      <c r="AD351" t="s">
        <v>3255</v>
      </c>
      <c r="AH351" t="s">
        <v>123</v>
      </c>
      <c r="AI351" t="s">
        <v>124</v>
      </c>
      <c r="AJ351" t="s">
        <v>3258</v>
      </c>
      <c r="AK351" t="s">
        <v>126</v>
      </c>
      <c r="AL351" t="s">
        <v>127</v>
      </c>
      <c r="AN351" t="s">
        <v>3259</v>
      </c>
      <c r="AO351" t="s">
        <v>1947</v>
      </c>
      <c r="AP351" t="s">
        <v>3260</v>
      </c>
      <c r="AQ351" t="s">
        <v>131</v>
      </c>
      <c r="AR351" t="s">
        <v>132</v>
      </c>
      <c r="AS351" t="s">
        <v>152</v>
      </c>
      <c r="AT351" t="s">
        <v>3261</v>
      </c>
      <c r="AV351" t="s">
        <v>135</v>
      </c>
      <c r="AX351" t="s">
        <v>136</v>
      </c>
      <c r="AY351" t="s">
        <v>272</v>
      </c>
      <c r="AZ351" t="s">
        <v>273</v>
      </c>
      <c r="BA351" t="s">
        <v>3262</v>
      </c>
      <c r="BC351" t="s">
        <v>140</v>
      </c>
      <c r="BT351" s="7">
        <f t="shared" si="31"/>
        <v>0</v>
      </c>
      <c r="BU351" s="6">
        <f t="shared" si="32"/>
        <v>0</v>
      </c>
      <c r="BV351" s="6">
        <f t="shared" si="33"/>
        <v>0</v>
      </c>
      <c r="BW351" s="6">
        <f t="shared" si="34"/>
        <v>0</v>
      </c>
      <c r="BX351" s="6">
        <f t="shared" si="35"/>
        <v>0</v>
      </c>
    </row>
    <row r="352" spans="1:76" x14ac:dyDescent="0.35">
      <c r="A352" t="s">
        <v>3253</v>
      </c>
      <c r="B352" t="s">
        <v>107</v>
      </c>
      <c r="C352" t="s">
        <v>107</v>
      </c>
      <c r="E352" t="s">
        <v>108</v>
      </c>
      <c r="F352" t="s">
        <v>158</v>
      </c>
      <c r="G352" t="s">
        <v>159</v>
      </c>
      <c r="H352" t="s">
        <v>111</v>
      </c>
      <c r="I352" t="s">
        <v>341</v>
      </c>
      <c r="J352" t="s">
        <v>113</v>
      </c>
      <c r="K352" s="8" t="s">
        <v>114</v>
      </c>
      <c r="L352" t="s">
        <v>161</v>
      </c>
      <c r="M352" s="6">
        <v>459</v>
      </c>
      <c r="N352" t="s">
        <v>994</v>
      </c>
      <c r="O352" s="6">
        <v>220</v>
      </c>
      <c r="P352" t="s">
        <v>1151</v>
      </c>
      <c r="Q352" s="6">
        <v>0</v>
      </c>
      <c r="R352" s="7">
        <f t="shared" si="30"/>
        <v>239</v>
      </c>
      <c r="S352" t="s">
        <v>142</v>
      </c>
      <c r="T352" t="s">
        <v>114</v>
      </c>
      <c r="U352" t="s">
        <v>142</v>
      </c>
      <c r="W352" t="s">
        <v>114</v>
      </c>
      <c r="X352" t="s">
        <v>1151</v>
      </c>
      <c r="Z352" t="s">
        <v>3254</v>
      </c>
      <c r="AA352" t="s">
        <v>3255</v>
      </c>
      <c r="AB352" s="1" t="s">
        <v>3256</v>
      </c>
      <c r="AC352" t="s">
        <v>3257</v>
      </c>
      <c r="AD352" t="s">
        <v>3255</v>
      </c>
      <c r="AH352" t="s">
        <v>123</v>
      </c>
      <c r="AI352" t="s">
        <v>124</v>
      </c>
      <c r="AJ352" t="s">
        <v>3258</v>
      </c>
      <c r="AK352" t="s">
        <v>126</v>
      </c>
      <c r="AL352" t="s">
        <v>127</v>
      </c>
      <c r="AN352" t="s">
        <v>3259</v>
      </c>
      <c r="AO352" t="s">
        <v>1947</v>
      </c>
      <c r="AP352" t="s">
        <v>3260</v>
      </c>
      <c r="AQ352" t="s">
        <v>131</v>
      </c>
      <c r="AR352" t="s">
        <v>132</v>
      </c>
      <c r="AS352" t="s">
        <v>152</v>
      </c>
      <c r="AT352" t="s">
        <v>3261</v>
      </c>
      <c r="AV352" t="s">
        <v>135</v>
      </c>
      <c r="AX352" t="s">
        <v>136</v>
      </c>
      <c r="AY352" t="s">
        <v>177</v>
      </c>
      <c r="AZ352" t="s">
        <v>138</v>
      </c>
      <c r="BA352" t="s">
        <v>3262</v>
      </c>
      <c r="BC352" t="s">
        <v>140</v>
      </c>
      <c r="BT352" s="7">
        <f t="shared" si="31"/>
        <v>239</v>
      </c>
      <c r="BU352" s="6">
        <f t="shared" si="32"/>
        <v>223.36448598130841</v>
      </c>
      <c r="BV352" s="6">
        <f t="shared" si="33"/>
        <v>15.635514018691588</v>
      </c>
      <c r="BW352" s="6">
        <f t="shared" si="34"/>
        <v>239</v>
      </c>
      <c r="BX352" s="6">
        <f t="shared" si="35"/>
        <v>0</v>
      </c>
    </row>
    <row r="353" spans="1:76" x14ac:dyDescent="0.35">
      <c r="A353" t="s">
        <v>3263</v>
      </c>
      <c r="B353" t="s">
        <v>107</v>
      </c>
      <c r="C353" t="s">
        <v>107</v>
      </c>
      <c r="F353" t="s">
        <v>358</v>
      </c>
      <c r="G353" t="s">
        <v>359</v>
      </c>
      <c r="H353" t="s">
        <v>360</v>
      </c>
      <c r="I353" t="s">
        <v>341</v>
      </c>
      <c r="J353" t="s">
        <v>113</v>
      </c>
      <c r="K353" s="8" t="s">
        <v>114</v>
      </c>
      <c r="L353" t="s">
        <v>114</v>
      </c>
      <c r="M353" s="6">
        <v>0</v>
      </c>
      <c r="N353" t="s">
        <v>114</v>
      </c>
      <c r="O353" s="6">
        <v>0</v>
      </c>
      <c r="P353" t="s">
        <v>114</v>
      </c>
      <c r="Q353" s="6">
        <v>0</v>
      </c>
      <c r="R353" s="7">
        <f t="shared" si="30"/>
        <v>0</v>
      </c>
      <c r="S353" t="s">
        <v>114</v>
      </c>
      <c r="T353" t="s">
        <v>114</v>
      </c>
      <c r="U353" t="s">
        <v>114</v>
      </c>
      <c r="W353" t="s">
        <v>114</v>
      </c>
      <c r="X353" t="s">
        <v>114</v>
      </c>
      <c r="Z353" t="s">
        <v>3264</v>
      </c>
      <c r="AA353" t="s">
        <v>3264</v>
      </c>
      <c r="AB353" s="1" t="s">
        <v>3265</v>
      </c>
      <c r="AC353" t="s">
        <v>3245</v>
      </c>
      <c r="AD353" t="s">
        <v>3266</v>
      </c>
      <c r="AH353" t="s">
        <v>123</v>
      </c>
      <c r="AI353" t="s">
        <v>124</v>
      </c>
      <c r="AJ353" t="s">
        <v>3267</v>
      </c>
      <c r="AK353" t="s">
        <v>126</v>
      </c>
      <c r="AL353" t="s">
        <v>127</v>
      </c>
      <c r="AN353" t="s">
        <v>3268</v>
      </c>
      <c r="AO353" t="s">
        <v>3269</v>
      </c>
      <c r="AP353" t="s">
        <v>3270</v>
      </c>
      <c r="AQ353" t="s">
        <v>131</v>
      </c>
      <c r="AR353" t="s">
        <v>132</v>
      </c>
      <c r="AS353" t="s">
        <v>3271</v>
      </c>
      <c r="AT353" t="s">
        <v>3272</v>
      </c>
      <c r="AV353" t="s">
        <v>1148</v>
      </c>
      <c r="AW353" t="s">
        <v>1148</v>
      </c>
      <c r="AY353" t="s">
        <v>177</v>
      </c>
      <c r="AZ353" t="s">
        <v>364</v>
      </c>
      <c r="BA353" t="s">
        <v>3273</v>
      </c>
      <c r="BC353" t="s">
        <v>140</v>
      </c>
      <c r="BT353" s="7">
        <f t="shared" si="31"/>
        <v>0</v>
      </c>
      <c r="BU353" s="6">
        <f t="shared" si="32"/>
        <v>0</v>
      </c>
      <c r="BV353" s="6">
        <f t="shared" si="33"/>
        <v>0</v>
      </c>
      <c r="BW353" s="6">
        <f t="shared" si="34"/>
        <v>0</v>
      </c>
      <c r="BX353" s="6">
        <f t="shared" si="35"/>
        <v>0</v>
      </c>
    </row>
    <row r="354" spans="1:76" x14ac:dyDescent="0.35">
      <c r="A354" t="s">
        <v>3274</v>
      </c>
      <c r="B354" t="s">
        <v>107</v>
      </c>
      <c r="C354" t="s">
        <v>107</v>
      </c>
      <c r="E354" t="s">
        <v>108</v>
      </c>
      <c r="F354" t="s">
        <v>358</v>
      </c>
      <c r="G354" t="s">
        <v>359</v>
      </c>
      <c r="H354" t="s">
        <v>360</v>
      </c>
      <c r="I354" t="s">
        <v>341</v>
      </c>
      <c r="J354" t="s">
        <v>113</v>
      </c>
      <c r="K354" s="8" t="s">
        <v>114</v>
      </c>
      <c r="L354" t="s">
        <v>361</v>
      </c>
      <c r="M354" s="6">
        <v>233</v>
      </c>
      <c r="N354" t="s">
        <v>113</v>
      </c>
      <c r="O354" s="6">
        <v>127</v>
      </c>
      <c r="P354" t="s">
        <v>562</v>
      </c>
      <c r="Q354" s="6">
        <v>0</v>
      </c>
      <c r="R354" s="7">
        <f t="shared" si="30"/>
        <v>106</v>
      </c>
      <c r="S354" t="s">
        <v>142</v>
      </c>
      <c r="T354" t="s">
        <v>114</v>
      </c>
      <c r="U354" t="s">
        <v>142</v>
      </c>
      <c r="W354" t="s">
        <v>114</v>
      </c>
      <c r="X354" t="s">
        <v>562</v>
      </c>
      <c r="Z354" t="s">
        <v>3275</v>
      </c>
      <c r="AA354" t="s">
        <v>3276</v>
      </c>
      <c r="AB354" s="1" t="s">
        <v>3277</v>
      </c>
      <c r="AC354" t="s">
        <v>3278</v>
      </c>
      <c r="AD354" t="s">
        <v>3279</v>
      </c>
      <c r="AH354" t="s">
        <v>123</v>
      </c>
      <c r="AI354" t="s">
        <v>124</v>
      </c>
      <c r="AJ354" t="s">
        <v>3280</v>
      </c>
      <c r="AK354" t="s">
        <v>126</v>
      </c>
      <c r="AL354" t="s">
        <v>127</v>
      </c>
      <c r="AN354" t="s">
        <v>3281</v>
      </c>
      <c r="AO354" t="s">
        <v>3282</v>
      </c>
      <c r="AP354" t="s">
        <v>3283</v>
      </c>
      <c r="AQ354" t="s">
        <v>131</v>
      </c>
      <c r="AR354" t="s">
        <v>132</v>
      </c>
      <c r="AS354" t="s">
        <v>720</v>
      </c>
      <c r="AT354" t="s">
        <v>1664</v>
      </c>
      <c r="AV354" t="s">
        <v>1703</v>
      </c>
      <c r="AW354" t="s">
        <v>1195</v>
      </c>
      <c r="AX354" t="s">
        <v>3284</v>
      </c>
      <c r="AY354" t="s">
        <v>177</v>
      </c>
      <c r="AZ354" t="s">
        <v>364</v>
      </c>
      <c r="BA354" t="s">
        <v>3285</v>
      </c>
      <c r="BC354" t="s">
        <v>140</v>
      </c>
      <c r="BT354" s="7">
        <f t="shared" si="31"/>
        <v>106</v>
      </c>
      <c r="BU354" s="6">
        <f t="shared" si="32"/>
        <v>99.065420560747654</v>
      </c>
      <c r="BV354" s="6">
        <f t="shared" si="33"/>
        <v>6.9345794392523361</v>
      </c>
      <c r="BW354" s="6">
        <f t="shared" si="34"/>
        <v>105.99999999999999</v>
      </c>
      <c r="BX354" s="6">
        <f t="shared" si="35"/>
        <v>0</v>
      </c>
    </row>
    <row r="355" spans="1:76" x14ac:dyDescent="0.35">
      <c r="A355" t="s">
        <v>3274</v>
      </c>
      <c r="B355" t="s">
        <v>107</v>
      </c>
      <c r="C355" t="s">
        <v>107</v>
      </c>
      <c r="E355" t="s">
        <v>108</v>
      </c>
      <c r="F355" t="s">
        <v>338</v>
      </c>
      <c r="G355" t="s">
        <v>339</v>
      </c>
      <c r="H355" t="s">
        <v>340</v>
      </c>
      <c r="I355" t="s">
        <v>341</v>
      </c>
      <c r="J355" t="s">
        <v>113</v>
      </c>
      <c r="K355" s="8" t="s">
        <v>114</v>
      </c>
      <c r="L355" t="s">
        <v>114</v>
      </c>
      <c r="M355" s="6">
        <v>0</v>
      </c>
      <c r="N355" t="s">
        <v>114</v>
      </c>
      <c r="O355" s="6">
        <v>0</v>
      </c>
      <c r="P355" t="s">
        <v>114</v>
      </c>
      <c r="Q355" s="6">
        <v>0</v>
      </c>
      <c r="R355" s="7">
        <f t="shared" si="30"/>
        <v>0</v>
      </c>
      <c r="S355" t="s">
        <v>142</v>
      </c>
      <c r="T355" t="s">
        <v>114</v>
      </c>
      <c r="U355" t="s">
        <v>142</v>
      </c>
      <c r="W355" t="s">
        <v>114</v>
      </c>
      <c r="X355" t="s">
        <v>562</v>
      </c>
      <c r="Z355" t="s">
        <v>3275</v>
      </c>
      <c r="AA355" t="s">
        <v>3276</v>
      </c>
      <c r="AB355" s="1" t="s">
        <v>3277</v>
      </c>
      <c r="AC355" t="s">
        <v>3278</v>
      </c>
      <c r="AD355" t="s">
        <v>3279</v>
      </c>
      <c r="AH355" t="s">
        <v>123</v>
      </c>
      <c r="AI355" t="s">
        <v>124</v>
      </c>
      <c r="AJ355" t="s">
        <v>3280</v>
      </c>
      <c r="AK355" t="s">
        <v>126</v>
      </c>
      <c r="AL355" t="s">
        <v>127</v>
      </c>
      <c r="AN355" t="s">
        <v>3281</v>
      </c>
      <c r="AO355" t="s">
        <v>3282</v>
      </c>
      <c r="AP355" t="s">
        <v>3283</v>
      </c>
      <c r="AQ355" t="s">
        <v>131</v>
      </c>
      <c r="AR355" t="s">
        <v>132</v>
      </c>
      <c r="AS355" t="s">
        <v>720</v>
      </c>
      <c r="AT355" t="s">
        <v>1664</v>
      </c>
      <c r="AV355" t="s">
        <v>1703</v>
      </c>
      <c r="AW355" t="s">
        <v>1195</v>
      </c>
      <c r="AX355" t="s">
        <v>3284</v>
      </c>
      <c r="AY355" t="s">
        <v>177</v>
      </c>
      <c r="AZ355" t="s">
        <v>356</v>
      </c>
      <c r="BA355" t="s">
        <v>3285</v>
      </c>
      <c r="BC355" t="s">
        <v>140</v>
      </c>
      <c r="BT355" s="7">
        <f t="shared" si="31"/>
        <v>0</v>
      </c>
      <c r="BU355" s="6">
        <f t="shared" si="32"/>
        <v>0</v>
      </c>
      <c r="BV355" s="6">
        <f t="shared" si="33"/>
        <v>0</v>
      </c>
      <c r="BW355" s="6">
        <f t="shared" si="34"/>
        <v>0</v>
      </c>
      <c r="BX355" s="6">
        <f t="shared" si="35"/>
        <v>0</v>
      </c>
    </row>
    <row r="356" spans="1:76" x14ac:dyDescent="0.35">
      <c r="A356" t="s">
        <v>3286</v>
      </c>
      <c r="B356" t="s">
        <v>107</v>
      </c>
      <c r="C356" t="s">
        <v>107</v>
      </c>
      <c r="E356" t="s">
        <v>108</v>
      </c>
      <c r="F356" t="s">
        <v>158</v>
      </c>
      <c r="G356" t="s">
        <v>159</v>
      </c>
      <c r="H356" t="s">
        <v>111</v>
      </c>
      <c r="I356" t="s">
        <v>341</v>
      </c>
      <c r="J356" t="s">
        <v>113</v>
      </c>
      <c r="K356" s="8" t="s">
        <v>114</v>
      </c>
      <c r="L356" t="s">
        <v>161</v>
      </c>
      <c r="M356" s="6">
        <v>459</v>
      </c>
      <c r="N356" t="s">
        <v>3287</v>
      </c>
      <c r="O356" s="6">
        <v>220</v>
      </c>
      <c r="P356" t="s">
        <v>3288</v>
      </c>
      <c r="Q356" s="6">
        <v>0</v>
      </c>
      <c r="R356" s="7">
        <f t="shared" si="30"/>
        <v>239</v>
      </c>
      <c r="S356" t="s">
        <v>180</v>
      </c>
      <c r="T356" t="s">
        <v>114</v>
      </c>
      <c r="U356" t="s">
        <v>180</v>
      </c>
      <c r="W356" t="s">
        <v>114</v>
      </c>
      <c r="X356" t="s">
        <v>3288</v>
      </c>
      <c r="Z356" t="s">
        <v>3289</v>
      </c>
      <c r="AA356" t="s">
        <v>3290</v>
      </c>
      <c r="AB356" s="1" t="s">
        <v>3291</v>
      </c>
      <c r="AC356" t="s">
        <v>3292</v>
      </c>
      <c r="AD356" t="s">
        <v>3293</v>
      </c>
      <c r="AH356" t="s">
        <v>123</v>
      </c>
      <c r="AI356" t="s">
        <v>124</v>
      </c>
      <c r="AJ356" t="s">
        <v>3294</v>
      </c>
      <c r="AK356" t="s">
        <v>126</v>
      </c>
      <c r="AL356" t="s">
        <v>127</v>
      </c>
      <c r="AN356" t="s">
        <v>3295</v>
      </c>
      <c r="AO356" t="s">
        <v>3296</v>
      </c>
      <c r="AP356" t="s">
        <v>3297</v>
      </c>
      <c r="AQ356" t="s">
        <v>131</v>
      </c>
      <c r="AR356" t="s">
        <v>132</v>
      </c>
      <c r="AS356" t="s">
        <v>743</v>
      </c>
      <c r="AT356" t="s">
        <v>3298</v>
      </c>
      <c r="AV356" t="s">
        <v>1766</v>
      </c>
      <c r="AX356" t="s">
        <v>655</v>
      </c>
      <c r="AY356" t="s">
        <v>177</v>
      </c>
      <c r="AZ356" t="s">
        <v>138</v>
      </c>
      <c r="BA356" t="s">
        <v>3299</v>
      </c>
      <c r="BC356" t="s">
        <v>140</v>
      </c>
      <c r="BT356" s="7">
        <f t="shared" si="31"/>
        <v>239</v>
      </c>
      <c r="BU356" s="6">
        <f t="shared" si="32"/>
        <v>223.36448598130841</v>
      </c>
      <c r="BV356" s="6">
        <f t="shared" si="33"/>
        <v>15.635514018691588</v>
      </c>
      <c r="BW356" s="6">
        <f t="shared" si="34"/>
        <v>239</v>
      </c>
      <c r="BX356" s="6">
        <f t="shared" si="35"/>
        <v>0</v>
      </c>
    </row>
    <row r="357" spans="1:76" x14ac:dyDescent="0.35">
      <c r="A357" t="s">
        <v>3286</v>
      </c>
      <c r="B357" t="s">
        <v>107</v>
      </c>
      <c r="C357" t="s">
        <v>107</v>
      </c>
      <c r="E357" t="s">
        <v>108</v>
      </c>
      <c r="F357" t="s">
        <v>268</v>
      </c>
      <c r="G357" t="s">
        <v>269</v>
      </c>
      <c r="H357" t="s">
        <v>2268</v>
      </c>
      <c r="I357" t="s">
        <v>271</v>
      </c>
      <c r="J357" t="s">
        <v>113</v>
      </c>
      <c r="K357" s="8" t="s">
        <v>114</v>
      </c>
      <c r="L357" t="s">
        <v>114</v>
      </c>
      <c r="M357" s="6">
        <v>0</v>
      </c>
      <c r="N357" t="s">
        <v>114</v>
      </c>
      <c r="O357" s="6">
        <v>0</v>
      </c>
      <c r="P357" t="s">
        <v>114</v>
      </c>
      <c r="Q357" s="6">
        <v>0</v>
      </c>
      <c r="R357" s="7">
        <f t="shared" si="30"/>
        <v>0</v>
      </c>
      <c r="S357" t="s">
        <v>180</v>
      </c>
      <c r="T357" t="s">
        <v>114</v>
      </c>
      <c r="U357" t="s">
        <v>180</v>
      </c>
      <c r="W357" t="s">
        <v>114</v>
      </c>
      <c r="X357" t="s">
        <v>3288</v>
      </c>
      <c r="Z357" t="s">
        <v>3289</v>
      </c>
      <c r="AA357" t="s">
        <v>3290</v>
      </c>
      <c r="AB357" s="1" t="s">
        <v>3291</v>
      </c>
      <c r="AC357" t="s">
        <v>3292</v>
      </c>
      <c r="AD357" t="s">
        <v>3293</v>
      </c>
      <c r="AH357" t="s">
        <v>123</v>
      </c>
      <c r="AI357" t="s">
        <v>124</v>
      </c>
      <c r="AJ357" t="s">
        <v>3294</v>
      </c>
      <c r="AK357" t="s">
        <v>126</v>
      </c>
      <c r="AL357" t="s">
        <v>127</v>
      </c>
      <c r="AN357" t="s">
        <v>3295</v>
      </c>
      <c r="AO357" t="s">
        <v>3296</v>
      </c>
      <c r="AP357" t="s">
        <v>3297</v>
      </c>
      <c r="AQ357" t="s">
        <v>131</v>
      </c>
      <c r="AR357" t="s">
        <v>132</v>
      </c>
      <c r="AS357" t="s">
        <v>743</v>
      </c>
      <c r="AT357" t="s">
        <v>3298</v>
      </c>
      <c r="AV357" t="s">
        <v>1766</v>
      </c>
      <c r="AX357" t="s">
        <v>655</v>
      </c>
      <c r="AY357" t="s">
        <v>272</v>
      </c>
      <c r="AZ357" t="s">
        <v>273</v>
      </c>
      <c r="BA357" t="s">
        <v>3299</v>
      </c>
      <c r="BC357" t="s">
        <v>140</v>
      </c>
      <c r="BT357" s="7">
        <f t="shared" si="31"/>
        <v>0</v>
      </c>
      <c r="BU357" s="6">
        <f t="shared" si="32"/>
        <v>0</v>
      </c>
      <c r="BV357" s="6">
        <f t="shared" si="33"/>
        <v>0</v>
      </c>
      <c r="BW357" s="6">
        <f t="shared" si="34"/>
        <v>0</v>
      </c>
      <c r="BX357" s="6">
        <f t="shared" si="35"/>
        <v>0</v>
      </c>
    </row>
    <row r="358" spans="1:76" x14ac:dyDescent="0.35">
      <c r="A358" t="s">
        <v>3300</v>
      </c>
      <c r="B358" t="s">
        <v>107</v>
      </c>
      <c r="C358" t="s">
        <v>107</v>
      </c>
      <c r="F358" t="s">
        <v>358</v>
      </c>
      <c r="G358" t="s">
        <v>359</v>
      </c>
      <c r="H358" t="s">
        <v>360</v>
      </c>
      <c r="I358" t="s">
        <v>341</v>
      </c>
      <c r="J358" t="s">
        <v>113</v>
      </c>
      <c r="K358" s="8" t="s">
        <v>114</v>
      </c>
      <c r="L358" t="s">
        <v>114</v>
      </c>
      <c r="M358" s="6">
        <v>0</v>
      </c>
      <c r="N358" t="s">
        <v>114</v>
      </c>
      <c r="O358" s="6">
        <v>0</v>
      </c>
      <c r="P358" t="s">
        <v>114</v>
      </c>
      <c r="Q358" s="6">
        <v>0</v>
      </c>
      <c r="R358" s="7">
        <f t="shared" si="30"/>
        <v>0</v>
      </c>
      <c r="S358" t="s">
        <v>114</v>
      </c>
      <c r="T358" t="s">
        <v>114</v>
      </c>
      <c r="U358" t="s">
        <v>114</v>
      </c>
      <c r="W358" t="s">
        <v>114</v>
      </c>
      <c r="X358" t="s">
        <v>114</v>
      </c>
      <c r="Z358" t="s">
        <v>3301</v>
      </c>
      <c r="AA358" t="s">
        <v>3301</v>
      </c>
      <c r="AB358" s="1" t="s">
        <v>3302</v>
      </c>
      <c r="AC358" t="s">
        <v>3303</v>
      </c>
      <c r="AD358" t="s">
        <v>3304</v>
      </c>
      <c r="AH358" t="s">
        <v>123</v>
      </c>
      <c r="AI358" t="s">
        <v>124</v>
      </c>
      <c r="AJ358" t="s">
        <v>3305</v>
      </c>
      <c r="AK358" t="s">
        <v>126</v>
      </c>
      <c r="AL358" t="s">
        <v>127</v>
      </c>
      <c r="AN358" t="s">
        <v>3306</v>
      </c>
      <c r="AO358" t="s">
        <v>3307</v>
      </c>
      <c r="AP358" t="s">
        <v>3308</v>
      </c>
      <c r="AQ358" t="s">
        <v>131</v>
      </c>
      <c r="AR358" t="s">
        <v>132</v>
      </c>
      <c r="AS358" t="s">
        <v>1120</v>
      </c>
      <c r="AT358" t="s">
        <v>3309</v>
      </c>
      <c r="AV358" t="s">
        <v>572</v>
      </c>
      <c r="AY358" t="s">
        <v>177</v>
      </c>
      <c r="AZ358" t="s">
        <v>364</v>
      </c>
      <c r="BA358" t="s">
        <v>3310</v>
      </c>
      <c r="BC358" t="s">
        <v>140</v>
      </c>
      <c r="BT358" s="7">
        <f t="shared" si="31"/>
        <v>0</v>
      </c>
      <c r="BU358" s="6">
        <f t="shared" si="32"/>
        <v>0</v>
      </c>
      <c r="BV358" s="6">
        <f t="shared" si="33"/>
        <v>0</v>
      </c>
      <c r="BW358" s="6">
        <f t="shared" si="34"/>
        <v>0</v>
      </c>
      <c r="BX358" s="6">
        <f t="shared" si="35"/>
        <v>0</v>
      </c>
    </row>
    <row r="359" spans="1:76" x14ac:dyDescent="0.35">
      <c r="A359" t="s">
        <v>3311</v>
      </c>
      <c r="B359" t="s">
        <v>107</v>
      </c>
      <c r="C359" t="s">
        <v>107</v>
      </c>
      <c r="E359" t="s">
        <v>108</v>
      </c>
      <c r="F359" t="s">
        <v>158</v>
      </c>
      <c r="G359" t="s">
        <v>159</v>
      </c>
      <c r="H359" t="s">
        <v>111</v>
      </c>
      <c r="I359" t="s">
        <v>341</v>
      </c>
      <c r="J359" t="s">
        <v>113</v>
      </c>
      <c r="K359" s="8" t="s">
        <v>114</v>
      </c>
      <c r="L359" t="s">
        <v>161</v>
      </c>
      <c r="M359" s="6">
        <v>459</v>
      </c>
      <c r="N359" t="s">
        <v>994</v>
      </c>
      <c r="O359" s="6">
        <v>220</v>
      </c>
      <c r="P359" t="s">
        <v>1151</v>
      </c>
      <c r="Q359" s="6">
        <v>0</v>
      </c>
      <c r="R359" s="7">
        <f t="shared" si="30"/>
        <v>239</v>
      </c>
      <c r="S359" t="s">
        <v>180</v>
      </c>
      <c r="T359" t="s">
        <v>114</v>
      </c>
      <c r="U359" t="s">
        <v>180</v>
      </c>
      <c r="W359" t="s">
        <v>114</v>
      </c>
      <c r="X359" t="s">
        <v>1151</v>
      </c>
      <c r="Z359" t="s">
        <v>3312</v>
      </c>
      <c r="AA359" t="s">
        <v>3313</v>
      </c>
      <c r="AB359" s="1" t="s">
        <v>3314</v>
      </c>
      <c r="AC359" t="s">
        <v>3315</v>
      </c>
      <c r="AD359" t="s">
        <v>3313</v>
      </c>
      <c r="AH359" t="s">
        <v>123</v>
      </c>
      <c r="AI359" t="s">
        <v>124</v>
      </c>
      <c r="AJ359" t="s">
        <v>3316</v>
      </c>
      <c r="AK359" t="s">
        <v>126</v>
      </c>
      <c r="AL359" t="s">
        <v>127</v>
      </c>
      <c r="AN359" t="s">
        <v>3317</v>
      </c>
      <c r="AO359" t="s">
        <v>3318</v>
      </c>
      <c r="AP359" t="s">
        <v>3319</v>
      </c>
      <c r="AQ359" t="s">
        <v>131</v>
      </c>
      <c r="AR359" t="s">
        <v>132</v>
      </c>
      <c r="AS359" t="s">
        <v>558</v>
      </c>
      <c r="AT359" t="s">
        <v>1960</v>
      </c>
      <c r="AV359" t="s">
        <v>354</v>
      </c>
      <c r="AX359" t="s">
        <v>136</v>
      </c>
      <c r="AY359" t="s">
        <v>177</v>
      </c>
      <c r="AZ359" t="s">
        <v>138</v>
      </c>
      <c r="BA359" t="s">
        <v>3320</v>
      </c>
      <c r="BC359" t="s">
        <v>140</v>
      </c>
      <c r="BT359" s="7">
        <f t="shared" si="31"/>
        <v>239</v>
      </c>
      <c r="BU359" s="6">
        <f t="shared" si="32"/>
        <v>223.36448598130841</v>
      </c>
      <c r="BV359" s="6">
        <f t="shared" si="33"/>
        <v>15.635514018691588</v>
      </c>
      <c r="BW359" s="6">
        <f t="shared" si="34"/>
        <v>239</v>
      </c>
      <c r="BX359" s="6">
        <f t="shared" si="35"/>
        <v>0</v>
      </c>
    </row>
    <row r="360" spans="1:76" x14ac:dyDescent="0.35">
      <c r="A360" t="s">
        <v>3311</v>
      </c>
      <c r="B360" t="s">
        <v>107</v>
      </c>
      <c r="C360" t="s">
        <v>107</v>
      </c>
      <c r="E360" t="s">
        <v>108</v>
      </c>
      <c r="F360" t="s">
        <v>268</v>
      </c>
      <c r="G360" t="s">
        <v>269</v>
      </c>
      <c r="H360" t="s">
        <v>2268</v>
      </c>
      <c r="I360" t="s">
        <v>271</v>
      </c>
      <c r="J360" t="s">
        <v>113</v>
      </c>
      <c r="K360" s="8" t="s">
        <v>114</v>
      </c>
      <c r="L360" t="s">
        <v>114</v>
      </c>
      <c r="M360" s="6">
        <v>0</v>
      </c>
      <c r="N360" t="s">
        <v>114</v>
      </c>
      <c r="O360" s="6">
        <v>0</v>
      </c>
      <c r="P360" t="s">
        <v>114</v>
      </c>
      <c r="Q360" s="6">
        <v>0</v>
      </c>
      <c r="R360" s="7">
        <f t="shared" si="30"/>
        <v>0</v>
      </c>
      <c r="S360" t="s">
        <v>180</v>
      </c>
      <c r="T360" t="s">
        <v>114</v>
      </c>
      <c r="U360" t="s">
        <v>180</v>
      </c>
      <c r="W360" t="s">
        <v>114</v>
      </c>
      <c r="X360" t="s">
        <v>1151</v>
      </c>
      <c r="Z360" t="s">
        <v>3312</v>
      </c>
      <c r="AA360" t="s">
        <v>3313</v>
      </c>
      <c r="AB360" s="1" t="s">
        <v>3314</v>
      </c>
      <c r="AC360" t="s">
        <v>3315</v>
      </c>
      <c r="AD360" t="s">
        <v>3313</v>
      </c>
      <c r="AH360" t="s">
        <v>123</v>
      </c>
      <c r="AI360" t="s">
        <v>124</v>
      </c>
      <c r="AJ360" t="s">
        <v>3316</v>
      </c>
      <c r="AK360" t="s">
        <v>126</v>
      </c>
      <c r="AL360" t="s">
        <v>127</v>
      </c>
      <c r="AN360" t="s">
        <v>3317</v>
      </c>
      <c r="AO360" t="s">
        <v>3318</v>
      </c>
      <c r="AP360" t="s">
        <v>3319</v>
      </c>
      <c r="AQ360" t="s">
        <v>131</v>
      </c>
      <c r="AR360" t="s">
        <v>132</v>
      </c>
      <c r="AS360" t="s">
        <v>558</v>
      </c>
      <c r="AT360" t="s">
        <v>1960</v>
      </c>
      <c r="AV360" t="s">
        <v>354</v>
      </c>
      <c r="AX360" t="s">
        <v>136</v>
      </c>
      <c r="AY360" t="s">
        <v>272</v>
      </c>
      <c r="AZ360" t="s">
        <v>273</v>
      </c>
      <c r="BA360" t="s">
        <v>3320</v>
      </c>
      <c r="BC360" t="s">
        <v>140</v>
      </c>
      <c r="BT360" s="7">
        <f t="shared" si="31"/>
        <v>0</v>
      </c>
      <c r="BU360" s="6">
        <f t="shared" si="32"/>
        <v>0</v>
      </c>
      <c r="BV360" s="6">
        <f t="shared" si="33"/>
        <v>0</v>
      </c>
      <c r="BW360" s="6">
        <f t="shared" si="34"/>
        <v>0</v>
      </c>
      <c r="BX360" s="6">
        <f t="shared" si="35"/>
        <v>0</v>
      </c>
    </row>
    <row r="361" spans="1:76" x14ac:dyDescent="0.35">
      <c r="A361" t="s">
        <v>3321</v>
      </c>
      <c r="B361" t="s">
        <v>107</v>
      </c>
      <c r="C361" t="s">
        <v>107</v>
      </c>
      <c r="F361" t="s">
        <v>358</v>
      </c>
      <c r="G361" t="s">
        <v>359</v>
      </c>
      <c r="H361" t="s">
        <v>360</v>
      </c>
      <c r="I361" t="s">
        <v>341</v>
      </c>
      <c r="J361" t="s">
        <v>113</v>
      </c>
      <c r="K361" s="8" t="s">
        <v>114</v>
      </c>
      <c r="L361" t="s">
        <v>114</v>
      </c>
      <c r="M361" s="6">
        <v>0</v>
      </c>
      <c r="N361" t="s">
        <v>114</v>
      </c>
      <c r="O361" s="6">
        <v>0</v>
      </c>
      <c r="P361" t="s">
        <v>114</v>
      </c>
      <c r="Q361" s="6">
        <v>0</v>
      </c>
      <c r="R361" s="7">
        <f t="shared" si="30"/>
        <v>0</v>
      </c>
      <c r="S361" t="s">
        <v>114</v>
      </c>
      <c r="T361" t="s">
        <v>114</v>
      </c>
      <c r="U361" t="s">
        <v>114</v>
      </c>
      <c r="W361" t="s">
        <v>114</v>
      </c>
      <c r="X361" t="s">
        <v>114</v>
      </c>
      <c r="Z361" t="s">
        <v>3322</v>
      </c>
      <c r="AA361" t="s">
        <v>3322</v>
      </c>
      <c r="AB361" s="1" t="s">
        <v>3323</v>
      </c>
      <c r="AC361" t="s">
        <v>3324</v>
      </c>
      <c r="AD361" t="s">
        <v>3325</v>
      </c>
      <c r="AH361" t="s">
        <v>123</v>
      </c>
      <c r="AI361" t="s">
        <v>124</v>
      </c>
      <c r="AJ361" t="s">
        <v>3326</v>
      </c>
      <c r="AK361" t="s">
        <v>126</v>
      </c>
      <c r="AL361" t="s">
        <v>127</v>
      </c>
      <c r="AN361" t="s">
        <v>3327</v>
      </c>
      <c r="AO361" t="s">
        <v>3328</v>
      </c>
      <c r="AP361" t="s">
        <v>3329</v>
      </c>
      <c r="AQ361" t="s">
        <v>131</v>
      </c>
      <c r="AR361" t="s">
        <v>132</v>
      </c>
      <c r="AS361" t="s">
        <v>284</v>
      </c>
      <c r="AT361" t="s">
        <v>285</v>
      </c>
      <c r="AV361" t="s">
        <v>300</v>
      </c>
      <c r="AW361" t="s">
        <v>236</v>
      </c>
      <c r="AY361" t="s">
        <v>177</v>
      </c>
      <c r="AZ361" t="s">
        <v>364</v>
      </c>
      <c r="BA361" t="s">
        <v>3330</v>
      </c>
      <c r="BC361" t="s">
        <v>140</v>
      </c>
      <c r="BT361" s="7">
        <f t="shared" si="31"/>
        <v>0</v>
      </c>
      <c r="BU361" s="6">
        <f t="shared" si="32"/>
        <v>0</v>
      </c>
      <c r="BV361" s="6">
        <f t="shared" si="33"/>
        <v>0</v>
      </c>
      <c r="BW361" s="6">
        <f t="shared" si="34"/>
        <v>0</v>
      </c>
      <c r="BX361" s="6">
        <f t="shared" si="35"/>
        <v>0</v>
      </c>
    </row>
    <row r="362" spans="1:76" x14ac:dyDescent="0.35">
      <c r="A362" t="s">
        <v>3331</v>
      </c>
      <c r="B362" t="s">
        <v>107</v>
      </c>
      <c r="C362" t="s">
        <v>107</v>
      </c>
      <c r="F362" t="s">
        <v>358</v>
      </c>
      <c r="G362" t="s">
        <v>359</v>
      </c>
      <c r="H362" t="s">
        <v>360</v>
      </c>
      <c r="I362" t="s">
        <v>341</v>
      </c>
      <c r="J362" t="s">
        <v>113</v>
      </c>
      <c r="K362" s="8" t="s">
        <v>114</v>
      </c>
      <c r="L362" t="s">
        <v>114</v>
      </c>
      <c r="M362" s="6">
        <v>0</v>
      </c>
      <c r="N362" t="s">
        <v>114</v>
      </c>
      <c r="O362" s="6">
        <v>0</v>
      </c>
      <c r="P362" t="s">
        <v>114</v>
      </c>
      <c r="Q362" s="6">
        <v>0</v>
      </c>
      <c r="R362" s="7">
        <f t="shared" si="30"/>
        <v>0</v>
      </c>
      <c r="S362" t="s">
        <v>114</v>
      </c>
      <c r="T362" t="s">
        <v>114</v>
      </c>
      <c r="U362" t="s">
        <v>114</v>
      </c>
      <c r="W362" t="s">
        <v>114</v>
      </c>
      <c r="X362" t="s">
        <v>114</v>
      </c>
      <c r="Z362" t="s">
        <v>3332</v>
      </c>
      <c r="AA362" t="s">
        <v>3332</v>
      </c>
      <c r="AB362" s="1" t="s">
        <v>3333</v>
      </c>
      <c r="AC362" t="s">
        <v>3334</v>
      </c>
      <c r="AD362" t="s">
        <v>3335</v>
      </c>
      <c r="AH362" t="s">
        <v>123</v>
      </c>
      <c r="AI362" t="s">
        <v>124</v>
      </c>
      <c r="AJ362" t="s">
        <v>3336</v>
      </c>
      <c r="AK362" t="s">
        <v>126</v>
      </c>
      <c r="AL362" t="s">
        <v>127</v>
      </c>
      <c r="AN362" t="s">
        <v>3337</v>
      </c>
      <c r="AO362" t="s">
        <v>3338</v>
      </c>
      <c r="AP362" t="s">
        <v>3339</v>
      </c>
      <c r="AQ362" t="s">
        <v>131</v>
      </c>
      <c r="AR362" t="s">
        <v>132</v>
      </c>
      <c r="AS362" t="s">
        <v>284</v>
      </c>
      <c r="AT362" t="s">
        <v>3340</v>
      </c>
      <c r="AV362" t="s">
        <v>1703</v>
      </c>
      <c r="AY362" t="s">
        <v>177</v>
      </c>
      <c r="AZ362" t="s">
        <v>364</v>
      </c>
      <c r="BA362" t="s">
        <v>3341</v>
      </c>
      <c r="BC362" t="s">
        <v>140</v>
      </c>
      <c r="BT362" s="7">
        <f t="shared" si="31"/>
        <v>0</v>
      </c>
      <c r="BU362" s="6">
        <f t="shared" si="32"/>
        <v>0</v>
      </c>
      <c r="BV362" s="6">
        <f t="shared" si="33"/>
        <v>0</v>
      </c>
      <c r="BW362" s="6">
        <f t="shared" si="34"/>
        <v>0</v>
      </c>
      <c r="BX362" s="6">
        <f t="shared" si="35"/>
        <v>0</v>
      </c>
    </row>
    <row r="363" spans="1:76" x14ac:dyDescent="0.35">
      <c r="A363" t="s">
        <v>3342</v>
      </c>
      <c r="B363" t="s">
        <v>107</v>
      </c>
      <c r="C363" t="s">
        <v>107</v>
      </c>
      <c r="E363" t="s">
        <v>108</v>
      </c>
      <c r="F363" t="s">
        <v>158</v>
      </c>
      <c r="G363" t="s">
        <v>159</v>
      </c>
      <c r="H363" t="s">
        <v>111</v>
      </c>
      <c r="I363" t="s">
        <v>341</v>
      </c>
      <c r="J363" t="s">
        <v>113</v>
      </c>
      <c r="K363" s="8" t="s">
        <v>114</v>
      </c>
      <c r="L363" t="s">
        <v>161</v>
      </c>
      <c r="M363" s="6">
        <v>459</v>
      </c>
      <c r="N363" t="s">
        <v>994</v>
      </c>
      <c r="O363" s="6">
        <v>220</v>
      </c>
      <c r="P363" t="s">
        <v>1151</v>
      </c>
      <c r="Q363" s="6">
        <v>0</v>
      </c>
      <c r="R363" s="7">
        <f t="shared" si="30"/>
        <v>239</v>
      </c>
      <c r="S363" t="s">
        <v>180</v>
      </c>
      <c r="T363" t="s">
        <v>114</v>
      </c>
      <c r="U363" t="s">
        <v>180</v>
      </c>
      <c r="W363" t="s">
        <v>114</v>
      </c>
      <c r="X363" t="s">
        <v>1151</v>
      </c>
      <c r="Z363" t="s">
        <v>3343</v>
      </c>
      <c r="AA363" t="s">
        <v>3344</v>
      </c>
      <c r="AB363" s="1" t="s">
        <v>3345</v>
      </c>
      <c r="AC363" t="s">
        <v>3346</v>
      </c>
      <c r="AD363" t="s">
        <v>3344</v>
      </c>
      <c r="AH363" t="s">
        <v>123</v>
      </c>
      <c r="AI363" t="s">
        <v>124</v>
      </c>
      <c r="AJ363" t="s">
        <v>3347</v>
      </c>
      <c r="AK363" t="s">
        <v>126</v>
      </c>
      <c r="AL363" t="s">
        <v>127</v>
      </c>
      <c r="AN363" t="s">
        <v>3348</v>
      </c>
      <c r="AO363" t="s">
        <v>3349</v>
      </c>
      <c r="AP363" t="s">
        <v>3350</v>
      </c>
      <c r="AQ363" t="s">
        <v>131</v>
      </c>
      <c r="AR363" t="s">
        <v>132</v>
      </c>
      <c r="AS363" t="s">
        <v>1056</v>
      </c>
      <c r="AT363" t="s">
        <v>1057</v>
      </c>
      <c r="AV363" t="s">
        <v>2850</v>
      </c>
      <c r="AX363" t="s">
        <v>136</v>
      </c>
      <c r="AY363" t="s">
        <v>177</v>
      </c>
      <c r="AZ363" t="s">
        <v>138</v>
      </c>
      <c r="BA363" t="s">
        <v>3351</v>
      </c>
      <c r="BC363" t="s">
        <v>140</v>
      </c>
      <c r="BT363" s="7">
        <f t="shared" si="31"/>
        <v>239</v>
      </c>
      <c r="BU363" s="6">
        <f t="shared" si="32"/>
        <v>223.36448598130841</v>
      </c>
      <c r="BV363" s="6">
        <f t="shared" si="33"/>
        <v>15.635514018691588</v>
      </c>
      <c r="BW363" s="6">
        <f t="shared" si="34"/>
        <v>239</v>
      </c>
      <c r="BX363" s="6">
        <f t="shared" si="35"/>
        <v>0</v>
      </c>
    </row>
    <row r="364" spans="1:76" x14ac:dyDescent="0.35">
      <c r="A364" t="s">
        <v>3342</v>
      </c>
      <c r="B364" t="s">
        <v>107</v>
      </c>
      <c r="C364" t="s">
        <v>107</v>
      </c>
      <c r="E364" t="s">
        <v>108</v>
      </c>
      <c r="F364" t="s">
        <v>268</v>
      </c>
      <c r="G364" t="s">
        <v>269</v>
      </c>
      <c r="H364" t="s">
        <v>2268</v>
      </c>
      <c r="I364" t="s">
        <v>271</v>
      </c>
      <c r="J364" t="s">
        <v>113</v>
      </c>
      <c r="K364" s="8" t="s">
        <v>114</v>
      </c>
      <c r="L364" t="s">
        <v>114</v>
      </c>
      <c r="M364" s="6">
        <v>0</v>
      </c>
      <c r="N364" t="s">
        <v>114</v>
      </c>
      <c r="O364" s="6">
        <v>0</v>
      </c>
      <c r="P364" t="s">
        <v>114</v>
      </c>
      <c r="Q364" s="6">
        <v>0</v>
      </c>
      <c r="R364" s="7">
        <f t="shared" si="30"/>
        <v>0</v>
      </c>
      <c r="S364" t="s">
        <v>180</v>
      </c>
      <c r="T364" t="s">
        <v>114</v>
      </c>
      <c r="U364" t="s">
        <v>180</v>
      </c>
      <c r="W364" t="s">
        <v>114</v>
      </c>
      <c r="X364" t="s">
        <v>1151</v>
      </c>
      <c r="Z364" t="s">
        <v>3343</v>
      </c>
      <c r="AA364" t="s">
        <v>3344</v>
      </c>
      <c r="AB364" s="1" t="s">
        <v>3345</v>
      </c>
      <c r="AC364" t="s">
        <v>3346</v>
      </c>
      <c r="AD364" t="s">
        <v>3344</v>
      </c>
      <c r="AH364" t="s">
        <v>123</v>
      </c>
      <c r="AI364" t="s">
        <v>124</v>
      </c>
      <c r="AJ364" t="s">
        <v>3347</v>
      </c>
      <c r="AK364" t="s">
        <v>126</v>
      </c>
      <c r="AL364" t="s">
        <v>127</v>
      </c>
      <c r="AN364" t="s">
        <v>3348</v>
      </c>
      <c r="AO364" t="s">
        <v>3349</v>
      </c>
      <c r="AP364" t="s">
        <v>3350</v>
      </c>
      <c r="AQ364" t="s">
        <v>131</v>
      </c>
      <c r="AR364" t="s">
        <v>132</v>
      </c>
      <c r="AS364" t="s">
        <v>1056</v>
      </c>
      <c r="AT364" t="s">
        <v>1057</v>
      </c>
      <c r="AV364" t="s">
        <v>2850</v>
      </c>
      <c r="AX364" t="s">
        <v>136</v>
      </c>
      <c r="AY364" t="s">
        <v>272</v>
      </c>
      <c r="AZ364" t="s">
        <v>273</v>
      </c>
      <c r="BA364" t="s">
        <v>3351</v>
      </c>
      <c r="BC364" t="s">
        <v>140</v>
      </c>
      <c r="BT364" s="7">
        <f t="shared" si="31"/>
        <v>0</v>
      </c>
      <c r="BU364" s="6">
        <f t="shared" si="32"/>
        <v>0</v>
      </c>
      <c r="BV364" s="6">
        <f t="shared" si="33"/>
        <v>0</v>
      </c>
      <c r="BW364" s="6">
        <f t="shared" si="34"/>
        <v>0</v>
      </c>
      <c r="BX364" s="6">
        <f t="shared" si="35"/>
        <v>0</v>
      </c>
    </row>
    <row r="365" spans="1:76" x14ac:dyDescent="0.35">
      <c r="A365" t="s">
        <v>3352</v>
      </c>
      <c r="B365" t="s">
        <v>107</v>
      </c>
      <c r="C365" t="s">
        <v>107</v>
      </c>
      <c r="E365" t="s">
        <v>108</v>
      </c>
      <c r="F365" t="s">
        <v>158</v>
      </c>
      <c r="G365" t="s">
        <v>159</v>
      </c>
      <c r="H365" t="s">
        <v>111</v>
      </c>
      <c r="I365" t="s">
        <v>341</v>
      </c>
      <c r="J365" t="s">
        <v>113</v>
      </c>
      <c r="K365" s="8" t="s">
        <v>114</v>
      </c>
      <c r="L365" t="s">
        <v>161</v>
      </c>
      <c r="M365" s="6">
        <v>459</v>
      </c>
      <c r="N365" t="s">
        <v>436</v>
      </c>
      <c r="O365" s="6">
        <v>220</v>
      </c>
      <c r="P365" t="s">
        <v>1876</v>
      </c>
      <c r="Q365" s="6">
        <v>0</v>
      </c>
      <c r="R365" s="7">
        <f t="shared" si="30"/>
        <v>239</v>
      </c>
      <c r="S365" t="s">
        <v>142</v>
      </c>
      <c r="T365" t="s">
        <v>114</v>
      </c>
      <c r="U365" t="s">
        <v>142</v>
      </c>
      <c r="W365" t="s">
        <v>114</v>
      </c>
      <c r="X365" t="s">
        <v>1876</v>
      </c>
      <c r="Z365" t="s">
        <v>3353</v>
      </c>
      <c r="AA365" t="s">
        <v>3354</v>
      </c>
      <c r="AB365" s="1" t="s">
        <v>3355</v>
      </c>
      <c r="AC365" t="s">
        <v>3356</v>
      </c>
      <c r="AD365" t="s">
        <v>3354</v>
      </c>
      <c r="AH365" t="s">
        <v>123</v>
      </c>
      <c r="AI365" t="s">
        <v>124</v>
      </c>
      <c r="AJ365" t="s">
        <v>3357</v>
      </c>
      <c r="AK365" t="s">
        <v>126</v>
      </c>
      <c r="AL365" t="s">
        <v>127</v>
      </c>
      <c r="AN365" t="s">
        <v>3358</v>
      </c>
      <c r="AO365" t="s">
        <v>3359</v>
      </c>
      <c r="AP365" t="s">
        <v>3360</v>
      </c>
      <c r="AQ365" t="s">
        <v>131</v>
      </c>
      <c r="AR365" t="s">
        <v>132</v>
      </c>
      <c r="AS365" t="s">
        <v>387</v>
      </c>
      <c r="AT365" t="s">
        <v>388</v>
      </c>
      <c r="AV365" t="s">
        <v>1107</v>
      </c>
      <c r="AW365" t="s">
        <v>3361</v>
      </c>
      <c r="AX365" t="s">
        <v>136</v>
      </c>
      <c r="AY365" t="s">
        <v>177</v>
      </c>
      <c r="AZ365" t="s">
        <v>138</v>
      </c>
      <c r="BA365" t="s">
        <v>3362</v>
      </c>
      <c r="BC365" t="s">
        <v>140</v>
      </c>
      <c r="BT365" s="7">
        <f t="shared" si="31"/>
        <v>239</v>
      </c>
      <c r="BU365" s="6">
        <f t="shared" si="32"/>
        <v>223.36448598130841</v>
      </c>
      <c r="BV365" s="6">
        <f t="shared" si="33"/>
        <v>15.635514018691588</v>
      </c>
      <c r="BW365" s="6">
        <f t="shared" si="34"/>
        <v>239</v>
      </c>
      <c r="BX365" s="6">
        <f t="shared" si="35"/>
        <v>0</v>
      </c>
    </row>
    <row r="366" spans="1:76" x14ac:dyDescent="0.35">
      <c r="A366" t="s">
        <v>3352</v>
      </c>
      <c r="B366" t="s">
        <v>107</v>
      </c>
      <c r="C366" t="s">
        <v>107</v>
      </c>
      <c r="E366" t="s">
        <v>108</v>
      </c>
      <c r="F366" t="s">
        <v>268</v>
      </c>
      <c r="G366" t="s">
        <v>269</v>
      </c>
      <c r="H366" t="s">
        <v>2268</v>
      </c>
      <c r="I366" t="s">
        <v>271</v>
      </c>
      <c r="J366" t="s">
        <v>113</v>
      </c>
      <c r="K366" s="8" t="s">
        <v>114</v>
      </c>
      <c r="L366" t="s">
        <v>114</v>
      </c>
      <c r="M366" s="6">
        <v>0</v>
      </c>
      <c r="N366" t="s">
        <v>114</v>
      </c>
      <c r="O366" s="6">
        <v>0</v>
      </c>
      <c r="P366" t="s">
        <v>114</v>
      </c>
      <c r="Q366" s="6">
        <v>0</v>
      </c>
      <c r="R366" s="7">
        <f t="shared" si="30"/>
        <v>0</v>
      </c>
      <c r="S366" t="s">
        <v>142</v>
      </c>
      <c r="T366" t="s">
        <v>114</v>
      </c>
      <c r="U366" t="s">
        <v>142</v>
      </c>
      <c r="W366" t="s">
        <v>114</v>
      </c>
      <c r="X366" t="s">
        <v>1876</v>
      </c>
      <c r="Z366" t="s">
        <v>3353</v>
      </c>
      <c r="AA366" t="s">
        <v>3354</v>
      </c>
      <c r="AB366" s="1" t="s">
        <v>3355</v>
      </c>
      <c r="AC366" t="s">
        <v>3356</v>
      </c>
      <c r="AD366" t="s">
        <v>3354</v>
      </c>
      <c r="AH366" t="s">
        <v>123</v>
      </c>
      <c r="AI366" t="s">
        <v>124</v>
      </c>
      <c r="AJ366" t="s">
        <v>3357</v>
      </c>
      <c r="AK366" t="s">
        <v>126</v>
      </c>
      <c r="AL366" t="s">
        <v>127</v>
      </c>
      <c r="AN366" t="s">
        <v>3358</v>
      </c>
      <c r="AO366" t="s">
        <v>3359</v>
      </c>
      <c r="AP366" t="s">
        <v>3360</v>
      </c>
      <c r="AQ366" t="s">
        <v>131</v>
      </c>
      <c r="AR366" t="s">
        <v>132</v>
      </c>
      <c r="AS366" t="s">
        <v>387</v>
      </c>
      <c r="AT366" t="s">
        <v>388</v>
      </c>
      <c r="AV366" t="s">
        <v>1107</v>
      </c>
      <c r="AW366" t="s">
        <v>3361</v>
      </c>
      <c r="AX366" t="s">
        <v>136</v>
      </c>
      <c r="AY366" t="s">
        <v>272</v>
      </c>
      <c r="AZ366" t="s">
        <v>273</v>
      </c>
      <c r="BA366" t="s">
        <v>3362</v>
      </c>
      <c r="BC366" t="s">
        <v>140</v>
      </c>
      <c r="BT366" s="7">
        <f t="shared" si="31"/>
        <v>0</v>
      </c>
      <c r="BU366" s="6">
        <f t="shared" si="32"/>
        <v>0</v>
      </c>
      <c r="BV366" s="6">
        <f t="shared" si="33"/>
        <v>0</v>
      </c>
      <c r="BW366" s="6">
        <f t="shared" si="34"/>
        <v>0</v>
      </c>
      <c r="BX366" s="6">
        <f t="shared" si="35"/>
        <v>0</v>
      </c>
    </row>
    <row r="367" spans="1:76" x14ac:dyDescent="0.35">
      <c r="A367" t="s">
        <v>3363</v>
      </c>
      <c r="B367" t="s">
        <v>107</v>
      </c>
      <c r="C367" t="s">
        <v>107</v>
      </c>
      <c r="E367" t="s">
        <v>108</v>
      </c>
      <c r="F367" t="s">
        <v>268</v>
      </c>
      <c r="G367" t="s">
        <v>269</v>
      </c>
      <c r="H367" t="s">
        <v>2268</v>
      </c>
      <c r="I367" t="s">
        <v>271</v>
      </c>
      <c r="J367" t="s">
        <v>113</v>
      </c>
      <c r="K367" s="8" t="s">
        <v>114</v>
      </c>
      <c r="L367" t="s">
        <v>114</v>
      </c>
      <c r="M367" s="6">
        <v>0</v>
      </c>
      <c r="N367" t="s">
        <v>114</v>
      </c>
      <c r="O367" s="6">
        <v>0</v>
      </c>
      <c r="P367" t="s">
        <v>114</v>
      </c>
      <c r="Q367" s="6">
        <v>0</v>
      </c>
      <c r="R367" s="7">
        <f t="shared" si="30"/>
        <v>0</v>
      </c>
      <c r="S367" t="s">
        <v>180</v>
      </c>
      <c r="T367" t="s">
        <v>114</v>
      </c>
      <c r="U367" t="s">
        <v>180</v>
      </c>
      <c r="W367" t="s">
        <v>114</v>
      </c>
      <c r="X367" t="s">
        <v>1151</v>
      </c>
      <c r="Z367" t="s">
        <v>3364</v>
      </c>
      <c r="AA367" t="s">
        <v>3365</v>
      </c>
      <c r="AB367" s="1" t="s">
        <v>3366</v>
      </c>
      <c r="AC367" t="s">
        <v>3367</v>
      </c>
      <c r="AD367" t="s">
        <v>3368</v>
      </c>
      <c r="AH367" t="s">
        <v>123</v>
      </c>
      <c r="AI367" t="s">
        <v>124</v>
      </c>
      <c r="AJ367" t="s">
        <v>3369</v>
      </c>
      <c r="AK367" t="s">
        <v>126</v>
      </c>
      <c r="AL367" t="s">
        <v>127</v>
      </c>
      <c r="AN367" t="s">
        <v>3370</v>
      </c>
      <c r="AO367" t="s">
        <v>3371</v>
      </c>
      <c r="AP367" t="s">
        <v>3059</v>
      </c>
      <c r="AQ367" t="s">
        <v>131</v>
      </c>
      <c r="AR367" t="s">
        <v>132</v>
      </c>
      <c r="AS367" t="s">
        <v>1146</v>
      </c>
      <c r="AT367" t="s">
        <v>3372</v>
      </c>
      <c r="AV367" t="s">
        <v>3150</v>
      </c>
      <c r="AX367" t="s">
        <v>317</v>
      </c>
      <c r="AY367" t="s">
        <v>272</v>
      </c>
      <c r="AZ367" t="s">
        <v>273</v>
      </c>
      <c r="BA367" t="s">
        <v>3373</v>
      </c>
      <c r="BC367" t="s">
        <v>140</v>
      </c>
      <c r="BT367" s="7">
        <f t="shared" si="31"/>
        <v>0</v>
      </c>
      <c r="BU367" s="6">
        <f t="shared" si="32"/>
        <v>0</v>
      </c>
      <c r="BV367" s="6">
        <f t="shared" si="33"/>
        <v>0</v>
      </c>
      <c r="BW367" s="6">
        <f t="shared" si="34"/>
        <v>0</v>
      </c>
      <c r="BX367" s="6">
        <f t="shared" si="35"/>
        <v>0</v>
      </c>
    </row>
    <row r="368" spans="1:76" x14ac:dyDescent="0.35">
      <c r="A368" t="s">
        <v>3363</v>
      </c>
      <c r="B368" t="s">
        <v>107</v>
      </c>
      <c r="C368" t="s">
        <v>107</v>
      </c>
      <c r="E368" t="s">
        <v>108</v>
      </c>
      <c r="F368" t="s">
        <v>158</v>
      </c>
      <c r="G368" t="s">
        <v>159</v>
      </c>
      <c r="H368" t="s">
        <v>111</v>
      </c>
      <c r="I368" t="s">
        <v>341</v>
      </c>
      <c r="J368" t="s">
        <v>113</v>
      </c>
      <c r="K368" s="8" t="s">
        <v>114</v>
      </c>
      <c r="L368" t="s">
        <v>161</v>
      </c>
      <c r="M368" s="6">
        <v>459</v>
      </c>
      <c r="N368" t="s">
        <v>994</v>
      </c>
      <c r="O368" s="6">
        <v>220</v>
      </c>
      <c r="P368" t="s">
        <v>1151</v>
      </c>
      <c r="Q368" s="6">
        <v>0</v>
      </c>
      <c r="R368" s="7">
        <f t="shared" si="30"/>
        <v>239</v>
      </c>
      <c r="S368" t="s">
        <v>180</v>
      </c>
      <c r="T368" t="s">
        <v>114</v>
      </c>
      <c r="U368" t="s">
        <v>180</v>
      </c>
      <c r="W368" t="s">
        <v>114</v>
      </c>
      <c r="X368" t="s">
        <v>1151</v>
      </c>
      <c r="Z368" t="s">
        <v>3364</v>
      </c>
      <c r="AA368" t="s">
        <v>3365</v>
      </c>
      <c r="AB368" s="1" t="s">
        <v>3366</v>
      </c>
      <c r="AC368" t="s">
        <v>3367</v>
      </c>
      <c r="AD368" t="s">
        <v>3368</v>
      </c>
      <c r="AH368" t="s">
        <v>123</v>
      </c>
      <c r="AI368" t="s">
        <v>124</v>
      </c>
      <c r="AJ368" t="s">
        <v>3369</v>
      </c>
      <c r="AK368" t="s">
        <v>126</v>
      </c>
      <c r="AL368" t="s">
        <v>127</v>
      </c>
      <c r="AN368" t="s">
        <v>3370</v>
      </c>
      <c r="AO368" t="s">
        <v>3371</v>
      </c>
      <c r="AP368" t="s">
        <v>3059</v>
      </c>
      <c r="AQ368" t="s">
        <v>131</v>
      </c>
      <c r="AR368" t="s">
        <v>132</v>
      </c>
      <c r="AS368" t="s">
        <v>1146</v>
      </c>
      <c r="AT368" t="s">
        <v>3372</v>
      </c>
      <c r="AV368" t="s">
        <v>3150</v>
      </c>
      <c r="AX368" t="s">
        <v>317</v>
      </c>
      <c r="AY368" t="s">
        <v>177</v>
      </c>
      <c r="AZ368" t="s">
        <v>138</v>
      </c>
      <c r="BA368" t="s">
        <v>3373</v>
      </c>
      <c r="BC368" t="s">
        <v>140</v>
      </c>
      <c r="BT368" s="7">
        <f t="shared" si="31"/>
        <v>239</v>
      </c>
      <c r="BU368" s="6">
        <f t="shared" si="32"/>
        <v>223.36448598130841</v>
      </c>
      <c r="BV368" s="6">
        <f t="shared" si="33"/>
        <v>15.635514018691588</v>
      </c>
      <c r="BW368" s="6">
        <f t="shared" si="34"/>
        <v>239</v>
      </c>
      <c r="BX368" s="6">
        <f t="shared" si="35"/>
        <v>0</v>
      </c>
    </row>
    <row r="369" spans="1:76" x14ac:dyDescent="0.35">
      <c r="A369" t="s">
        <v>3374</v>
      </c>
      <c r="B369" t="s">
        <v>107</v>
      </c>
      <c r="C369" t="s">
        <v>107</v>
      </c>
      <c r="E369" t="s">
        <v>108</v>
      </c>
      <c r="F369" t="s">
        <v>158</v>
      </c>
      <c r="G369" t="s">
        <v>159</v>
      </c>
      <c r="H369" t="s">
        <v>111</v>
      </c>
      <c r="I369" t="s">
        <v>341</v>
      </c>
      <c r="J369" t="s">
        <v>113</v>
      </c>
      <c r="K369" s="8" t="s">
        <v>114</v>
      </c>
      <c r="L369" t="s">
        <v>161</v>
      </c>
      <c r="M369" s="6">
        <v>459</v>
      </c>
      <c r="N369" t="s">
        <v>672</v>
      </c>
      <c r="O369" s="6">
        <v>220</v>
      </c>
      <c r="P369" t="s">
        <v>117</v>
      </c>
      <c r="Q369" s="6">
        <v>0</v>
      </c>
      <c r="R369" s="7">
        <f t="shared" si="30"/>
        <v>239</v>
      </c>
      <c r="S369" t="s">
        <v>180</v>
      </c>
      <c r="T369" t="s">
        <v>114</v>
      </c>
      <c r="U369" t="s">
        <v>180</v>
      </c>
      <c r="W369" t="s">
        <v>114</v>
      </c>
      <c r="X369" t="s">
        <v>117</v>
      </c>
      <c r="Z369" t="s">
        <v>3375</v>
      </c>
      <c r="AA369" t="s">
        <v>3376</v>
      </c>
      <c r="AB369" s="1" t="s">
        <v>3377</v>
      </c>
      <c r="AC369" t="s">
        <v>3378</v>
      </c>
      <c r="AD369" t="s">
        <v>3376</v>
      </c>
      <c r="AH369" t="s">
        <v>123</v>
      </c>
      <c r="AI369" t="s">
        <v>124</v>
      </c>
      <c r="AJ369" t="s">
        <v>3379</v>
      </c>
      <c r="AK369" t="s">
        <v>126</v>
      </c>
      <c r="AL369" t="s">
        <v>127</v>
      </c>
      <c r="AN369" t="s">
        <v>3380</v>
      </c>
      <c r="AO369" t="s">
        <v>3381</v>
      </c>
      <c r="AP369" t="s">
        <v>3382</v>
      </c>
      <c r="AQ369" t="s">
        <v>131</v>
      </c>
      <c r="AR369" t="s">
        <v>132</v>
      </c>
      <c r="AS369" t="s">
        <v>880</v>
      </c>
      <c r="AT369" t="s">
        <v>3383</v>
      </c>
      <c r="AV369" t="s">
        <v>265</v>
      </c>
      <c r="AX369" t="s">
        <v>136</v>
      </c>
      <c r="AY369" t="s">
        <v>177</v>
      </c>
      <c r="AZ369" t="s">
        <v>138</v>
      </c>
      <c r="BA369" t="s">
        <v>3384</v>
      </c>
      <c r="BC369" t="s">
        <v>140</v>
      </c>
      <c r="BT369" s="7">
        <f t="shared" si="31"/>
        <v>239</v>
      </c>
      <c r="BU369" s="6">
        <f t="shared" si="32"/>
        <v>223.36448598130841</v>
      </c>
      <c r="BV369" s="6">
        <f t="shared" si="33"/>
        <v>15.635514018691588</v>
      </c>
      <c r="BW369" s="6">
        <f t="shared" si="34"/>
        <v>239</v>
      </c>
      <c r="BX369" s="6">
        <f t="shared" si="35"/>
        <v>0</v>
      </c>
    </row>
    <row r="370" spans="1:76" x14ac:dyDescent="0.35">
      <c r="A370" t="s">
        <v>3374</v>
      </c>
      <c r="B370" t="s">
        <v>107</v>
      </c>
      <c r="C370" t="s">
        <v>107</v>
      </c>
      <c r="E370" t="s">
        <v>108</v>
      </c>
      <c r="F370" t="s">
        <v>268</v>
      </c>
      <c r="G370" t="s">
        <v>269</v>
      </c>
      <c r="H370" t="s">
        <v>2268</v>
      </c>
      <c r="I370" t="s">
        <v>271</v>
      </c>
      <c r="J370" t="s">
        <v>113</v>
      </c>
      <c r="K370" s="8" t="s">
        <v>114</v>
      </c>
      <c r="L370" t="s">
        <v>114</v>
      </c>
      <c r="M370" s="6">
        <v>0</v>
      </c>
      <c r="N370" t="s">
        <v>114</v>
      </c>
      <c r="O370" s="6">
        <v>0</v>
      </c>
      <c r="P370" t="s">
        <v>114</v>
      </c>
      <c r="Q370" s="6">
        <v>0</v>
      </c>
      <c r="R370" s="7">
        <f t="shared" si="30"/>
        <v>0</v>
      </c>
      <c r="S370" t="s">
        <v>180</v>
      </c>
      <c r="T370" t="s">
        <v>114</v>
      </c>
      <c r="U370" t="s">
        <v>180</v>
      </c>
      <c r="W370" t="s">
        <v>114</v>
      </c>
      <c r="X370" t="s">
        <v>117</v>
      </c>
      <c r="Z370" t="s">
        <v>3375</v>
      </c>
      <c r="AA370" t="s">
        <v>3376</v>
      </c>
      <c r="AB370" s="1" t="s">
        <v>3377</v>
      </c>
      <c r="AC370" t="s">
        <v>3378</v>
      </c>
      <c r="AD370" t="s">
        <v>3376</v>
      </c>
      <c r="AH370" t="s">
        <v>123</v>
      </c>
      <c r="AI370" t="s">
        <v>124</v>
      </c>
      <c r="AJ370" t="s">
        <v>3379</v>
      </c>
      <c r="AK370" t="s">
        <v>126</v>
      </c>
      <c r="AL370" t="s">
        <v>127</v>
      </c>
      <c r="AN370" t="s">
        <v>3380</v>
      </c>
      <c r="AO370" t="s">
        <v>3381</v>
      </c>
      <c r="AP370" t="s">
        <v>3382</v>
      </c>
      <c r="AQ370" t="s">
        <v>131</v>
      </c>
      <c r="AR370" t="s">
        <v>132</v>
      </c>
      <c r="AS370" t="s">
        <v>880</v>
      </c>
      <c r="AT370" t="s">
        <v>3383</v>
      </c>
      <c r="AV370" t="s">
        <v>265</v>
      </c>
      <c r="AX370" t="s">
        <v>136</v>
      </c>
      <c r="AY370" t="s">
        <v>272</v>
      </c>
      <c r="AZ370" t="s">
        <v>273</v>
      </c>
      <c r="BA370" t="s">
        <v>3384</v>
      </c>
      <c r="BC370" t="s">
        <v>140</v>
      </c>
      <c r="BT370" s="7">
        <f t="shared" si="31"/>
        <v>0</v>
      </c>
      <c r="BU370" s="6">
        <f t="shared" si="32"/>
        <v>0</v>
      </c>
      <c r="BV370" s="6">
        <f t="shared" si="33"/>
        <v>0</v>
      </c>
      <c r="BW370" s="6">
        <f t="shared" si="34"/>
        <v>0</v>
      </c>
      <c r="BX370" s="6">
        <f t="shared" si="35"/>
        <v>0</v>
      </c>
    </row>
    <row r="371" spans="1:76" x14ac:dyDescent="0.35">
      <c r="A371" t="s">
        <v>3385</v>
      </c>
      <c r="B371" t="s">
        <v>107</v>
      </c>
      <c r="C371" t="s">
        <v>107</v>
      </c>
      <c r="E371" t="s">
        <v>108</v>
      </c>
      <c r="F371" t="s">
        <v>158</v>
      </c>
      <c r="G371" t="s">
        <v>159</v>
      </c>
      <c r="H371" t="s">
        <v>111</v>
      </c>
      <c r="I371" t="s">
        <v>341</v>
      </c>
      <c r="J371" t="s">
        <v>113</v>
      </c>
      <c r="K371" s="8" t="s">
        <v>114</v>
      </c>
      <c r="L371" t="s">
        <v>161</v>
      </c>
      <c r="M371" s="6">
        <v>459</v>
      </c>
      <c r="N371" t="s">
        <v>994</v>
      </c>
      <c r="O371" s="6">
        <v>220</v>
      </c>
      <c r="P371" t="s">
        <v>1151</v>
      </c>
      <c r="Q371" s="6">
        <v>0</v>
      </c>
      <c r="R371" s="7">
        <f t="shared" si="30"/>
        <v>239</v>
      </c>
      <c r="S371" t="s">
        <v>142</v>
      </c>
      <c r="T371" t="s">
        <v>114</v>
      </c>
      <c r="U371" t="s">
        <v>142</v>
      </c>
      <c r="W371" t="s">
        <v>114</v>
      </c>
      <c r="X371" t="s">
        <v>1151</v>
      </c>
      <c r="Z371" t="s">
        <v>3386</v>
      </c>
      <c r="AA371" t="s">
        <v>3387</v>
      </c>
      <c r="AB371" s="1" t="s">
        <v>3388</v>
      </c>
      <c r="AC371" t="s">
        <v>3389</v>
      </c>
      <c r="AD371" t="s">
        <v>3387</v>
      </c>
      <c r="AH371" t="s">
        <v>123</v>
      </c>
      <c r="AI371" t="s">
        <v>124</v>
      </c>
      <c r="AJ371" t="s">
        <v>3390</v>
      </c>
      <c r="AK371" t="s">
        <v>126</v>
      </c>
      <c r="AL371" t="s">
        <v>127</v>
      </c>
      <c r="AN371" t="s">
        <v>3391</v>
      </c>
      <c r="AO371" t="s">
        <v>3392</v>
      </c>
      <c r="AP371" t="s">
        <v>3393</v>
      </c>
      <c r="AQ371" t="s">
        <v>131</v>
      </c>
      <c r="AR371" t="s">
        <v>132</v>
      </c>
      <c r="AS371" t="s">
        <v>152</v>
      </c>
      <c r="AT371" t="s">
        <v>1347</v>
      </c>
      <c r="AV371" t="s">
        <v>3394</v>
      </c>
      <c r="AX371" t="s">
        <v>136</v>
      </c>
      <c r="AY371" t="s">
        <v>177</v>
      </c>
      <c r="AZ371" t="s">
        <v>138</v>
      </c>
      <c r="BA371" t="s">
        <v>3395</v>
      </c>
      <c r="BC371" t="s">
        <v>140</v>
      </c>
      <c r="BT371" s="7">
        <f t="shared" si="31"/>
        <v>239</v>
      </c>
      <c r="BU371" s="6">
        <f t="shared" si="32"/>
        <v>223.36448598130841</v>
      </c>
      <c r="BV371" s="6">
        <f t="shared" si="33"/>
        <v>15.635514018691588</v>
      </c>
      <c r="BW371" s="6">
        <f t="shared" si="34"/>
        <v>239</v>
      </c>
      <c r="BX371" s="6">
        <f t="shared" si="35"/>
        <v>0</v>
      </c>
    </row>
    <row r="372" spans="1:76" x14ac:dyDescent="0.35">
      <c r="A372" t="s">
        <v>3385</v>
      </c>
      <c r="B372" t="s">
        <v>107</v>
      </c>
      <c r="C372" t="s">
        <v>107</v>
      </c>
      <c r="E372" t="s">
        <v>108</v>
      </c>
      <c r="F372" t="s">
        <v>268</v>
      </c>
      <c r="G372" t="s">
        <v>269</v>
      </c>
      <c r="H372" t="s">
        <v>2268</v>
      </c>
      <c r="I372" t="s">
        <v>271</v>
      </c>
      <c r="J372" t="s">
        <v>113</v>
      </c>
      <c r="K372" s="8" t="s">
        <v>114</v>
      </c>
      <c r="L372" t="s">
        <v>114</v>
      </c>
      <c r="M372" s="6">
        <v>0</v>
      </c>
      <c r="N372" t="s">
        <v>114</v>
      </c>
      <c r="O372" s="6">
        <v>0</v>
      </c>
      <c r="P372" t="s">
        <v>114</v>
      </c>
      <c r="Q372" s="6">
        <v>0</v>
      </c>
      <c r="R372" s="7">
        <f t="shared" si="30"/>
        <v>0</v>
      </c>
      <c r="S372" t="s">
        <v>142</v>
      </c>
      <c r="T372" t="s">
        <v>114</v>
      </c>
      <c r="U372" t="s">
        <v>142</v>
      </c>
      <c r="W372" t="s">
        <v>114</v>
      </c>
      <c r="X372" t="s">
        <v>1151</v>
      </c>
      <c r="Z372" t="s">
        <v>3386</v>
      </c>
      <c r="AA372" t="s">
        <v>3387</v>
      </c>
      <c r="AB372" s="1" t="s">
        <v>3388</v>
      </c>
      <c r="AC372" t="s">
        <v>3389</v>
      </c>
      <c r="AD372" t="s">
        <v>3387</v>
      </c>
      <c r="AH372" t="s">
        <v>123</v>
      </c>
      <c r="AI372" t="s">
        <v>124</v>
      </c>
      <c r="AJ372" t="s">
        <v>3390</v>
      </c>
      <c r="AK372" t="s">
        <v>126</v>
      </c>
      <c r="AL372" t="s">
        <v>127</v>
      </c>
      <c r="AN372" t="s">
        <v>3391</v>
      </c>
      <c r="AO372" t="s">
        <v>3392</v>
      </c>
      <c r="AP372" t="s">
        <v>3393</v>
      </c>
      <c r="AQ372" t="s">
        <v>131</v>
      </c>
      <c r="AR372" t="s">
        <v>132</v>
      </c>
      <c r="AS372" t="s">
        <v>152</v>
      </c>
      <c r="AT372" t="s">
        <v>1347</v>
      </c>
      <c r="AV372" t="s">
        <v>3394</v>
      </c>
      <c r="AX372" t="s">
        <v>136</v>
      </c>
      <c r="AY372" t="s">
        <v>272</v>
      </c>
      <c r="AZ372" t="s">
        <v>273</v>
      </c>
      <c r="BA372" t="s">
        <v>3395</v>
      </c>
      <c r="BC372" t="s">
        <v>140</v>
      </c>
      <c r="BT372" s="7">
        <f t="shared" si="31"/>
        <v>0</v>
      </c>
      <c r="BU372" s="6">
        <f t="shared" si="32"/>
        <v>0</v>
      </c>
      <c r="BV372" s="6">
        <f t="shared" si="33"/>
        <v>0</v>
      </c>
      <c r="BW372" s="6">
        <f t="shared" si="34"/>
        <v>0</v>
      </c>
      <c r="BX372" s="6">
        <f t="shared" si="35"/>
        <v>0</v>
      </c>
    </row>
    <row r="373" spans="1:76" x14ac:dyDescent="0.35">
      <c r="A373" t="s">
        <v>3396</v>
      </c>
      <c r="B373" t="s">
        <v>107</v>
      </c>
      <c r="C373" t="s">
        <v>107</v>
      </c>
      <c r="E373" t="s">
        <v>108</v>
      </c>
      <c r="F373" t="s">
        <v>158</v>
      </c>
      <c r="G373" t="s">
        <v>159</v>
      </c>
      <c r="H373" t="s">
        <v>111</v>
      </c>
      <c r="I373" t="s">
        <v>341</v>
      </c>
      <c r="J373" t="s">
        <v>113</v>
      </c>
      <c r="K373" s="8" t="s">
        <v>114</v>
      </c>
      <c r="L373" t="s">
        <v>161</v>
      </c>
      <c r="M373" s="6">
        <v>459</v>
      </c>
      <c r="N373" t="s">
        <v>994</v>
      </c>
      <c r="O373" s="6">
        <v>220</v>
      </c>
      <c r="P373" t="s">
        <v>1151</v>
      </c>
      <c r="Q373" s="6">
        <v>0</v>
      </c>
      <c r="R373" s="7">
        <f t="shared" si="30"/>
        <v>239</v>
      </c>
      <c r="S373" t="s">
        <v>1644</v>
      </c>
      <c r="T373" t="s">
        <v>114</v>
      </c>
      <c r="U373" t="s">
        <v>1644</v>
      </c>
      <c r="W373" t="s">
        <v>114</v>
      </c>
      <c r="X373" t="s">
        <v>1151</v>
      </c>
      <c r="Z373" t="s">
        <v>3397</v>
      </c>
      <c r="AA373" t="s">
        <v>3398</v>
      </c>
      <c r="AB373" s="1" t="s">
        <v>3399</v>
      </c>
      <c r="AC373" t="s">
        <v>3400</v>
      </c>
      <c r="AD373" t="s">
        <v>3401</v>
      </c>
      <c r="AH373" t="s">
        <v>123</v>
      </c>
      <c r="AI373" t="s">
        <v>124</v>
      </c>
      <c r="AJ373" t="s">
        <v>3402</v>
      </c>
      <c r="AK373" t="s">
        <v>126</v>
      </c>
      <c r="AL373" t="s">
        <v>127</v>
      </c>
      <c r="AN373" t="s">
        <v>3403</v>
      </c>
      <c r="AO373" t="s">
        <v>3404</v>
      </c>
      <c r="AP373" t="s">
        <v>3405</v>
      </c>
      <c r="AQ373" t="s">
        <v>131</v>
      </c>
      <c r="AR373" t="s">
        <v>132</v>
      </c>
      <c r="AS373" t="s">
        <v>387</v>
      </c>
      <c r="AT373" t="s">
        <v>1512</v>
      </c>
      <c r="AV373" t="s">
        <v>758</v>
      </c>
      <c r="AX373" t="s">
        <v>155</v>
      </c>
      <c r="AY373" t="s">
        <v>177</v>
      </c>
      <c r="AZ373" t="s">
        <v>138</v>
      </c>
      <c r="BA373" t="s">
        <v>3406</v>
      </c>
      <c r="BC373" t="s">
        <v>140</v>
      </c>
      <c r="BT373" s="7">
        <f t="shared" si="31"/>
        <v>239</v>
      </c>
      <c r="BU373" s="6">
        <f t="shared" si="32"/>
        <v>223.36448598130841</v>
      </c>
      <c r="BV373" s="6">
        <f t="shared" si="33"/>
        <v>15.635514018691588</v>
      </c>
      <c r="BW373" s="6">
        <f t="shared" si="34"/>
        <v>239</v>
      </c>
      <c r="BX373" s="6">
        <f t="shared" si="35"/>
        <v>0</v>
      </c>
    </row>
    <row r="374" spans="1:76" x14ac:dyDescent="0.35">
      <c r="A374" t="s">
        <v>3396</v>
      </c>
      <c r="B374" t="s">
        <v>107</v>
      </c>
      <c r="C374" t="s">
        <v>107</v>
      </c>
      <c r="E374" t="s">
        <v>108</v>
      </c>
      <c r="F374" t="s">
        <v>268</v>
      </c>
      <c r="G374" t="s">
        <v>269</v>
      </c>
      <c r="H374" t="s">
        <v>2268</v>
      </c>
      <c r="I374" t="s">
        <v>271</v>
      </c>
      <c r="J374" t="s">
        <v>113</v>
      </c>
      <c r="K374" s="8" t="s">
        <v>114</v>
      </c>
      <c r="L374" t="s">
        <v>114</v>
      </c>
      <c r="M374" s="6">
        <v>0</v>
      </c>
      <c r="N374" t="s">
        <v>114</v>
      </c>
      <c r="O374" s="6">
        <v>0</v>
      </c>
      <c r="P374" t="s">
        <v>114</v>
      </c>
      <c r="Q374" s="6">
        <v>0</v>
      </c>
      <c r="R374" s="7">
        <f t="shared" si="30"/>
        <v>0</v>
      </c>
      <c r="S374" t="s">
        <v>1644</v>
      </c>
      <c r="T374" t="s">
        <v>114</v>
      </c>
      <c r="U374" t="s">
        <v>1644</v>
      </c>
      <c r="W374" t="s">
        <v>114</v>
      </c>
      <c r="X374" t="s">
        <v>1151</v>
      </c>
      <c r="Z374" t="s">
        <v>3397</v>
      </c>
      <c r="AA374" t="s">
        <v>3398</v>
      </c>
      <c r="AB374" s="1" t="s">
        <v>3399</v>
      </c>
      <c r="AC374" t="s">
        <v>3400</v>
      </c>
      <c r="AD374" t="s">
        <v>3401</v>
      </c>
      <c r="AH374" t="s">
        <v>123</v>
      </c>
      <c r="AI374" t="s">
        <v>124</v>
      </c>
      <c r="AJ374" t="s">
        <v>3402</v>
      </c>
      <c r="AK374" t="s">
        <v>126</v>
      </c>
      <c r="AL374" t="s">
        <v>127</v>
      </c>
      <c r="AN374" t="s">
        <v>3403</v>
      </c>
      <c r="AO374" t="s">
        <v>3404</v>
      </c>
      <c r="AP374" t="s">
        <v>3405</v>
      </c>
      <c r="AQ374" t="s">
        <v>131</v>
      </c>
      <c r="AR374" t="s">
        <v>132</v>
      </c>
      <c r="AS374" t="s">
        <v>387</v>
      </c>
      <c r="AT374" t="s">
        <v>1512</v>
      </c>
      <c r="AV374" t="s">
        <v>758</v>
      </c>
      <c r="AX374" t="s">
        <v>155</v>
      </c>
      <c r="AY374" t="s">
        <v>272</v>
      </c>
      <c r="AZ374" t="s">
        <v>273</v>
      </c>
      <c r="BA374" t="s">
        <v>3406</v>
      </c>
      <c r="BC374" t="s">
        <v>140</v>
      </c>
      <c r="BT374" s="7">
        <f t="shared" si="31"/>
        <v>0</v>
      </c>
      <c r="BU374" s="6">
        <f t="shared" si="32"/>
        <v>0</v>
      </c>
      <c r="BV374" s="6">
        <f t="shared" si="33"/>
        <v>0</v>
      </c>
      <c r="BW374" s="6">
        <f t="shared" si="34"/>
        <v>0</v>
      </c>
      <c r="BX374" s="6">
        <f t="shared" si="35"/>
        <v>0</v>
      </c>
    </row>
    <row r="375" spans="1:76" x14ac:dyDescent="0.35">
      <c r="A375" t="s">
        <v>3407</v>
      </c>
      <c r="B375" t="s">
        <v>107</v>
      </c>
      <c r="C375" t="s">
        <v>107</v>
      </c>
      <c r="E375" t="s">
        <v>108</v>
      </c>
      <c r="F375" t="s">
        <v>158</v>
      </c>
      <c r="G375" t="s">
        <v>159</v>
      </c>
      <c r="H375" t="s">
        <v>111</v>
      </c>
      <c r="I375" t="s">
        <v>341</v>
      </c>
      <c r="J375" t="s">
        <v>113</v>
      </c>
      <c r="K375" s="8" t="s">
        <v>114</v>
      </c>
      <c r="L375" t="s">
        <v>161</v>
      </c>
      <c r="M375" s="6">
        <v>459</v>
      </c>
      <c r="N375" t="s">
        <v>994</v>
      </c>
      <c r="O375" s="6">
        <v>220</v>
      </c>
      <c r="P375" t="s">
        <v>1151</v>
      </c>
      <c r="Q375" s="6">
        <v>0</v>
      </c>
      <c r="R375" s="7">
        <f t="shared" si="30"/>
        <v>239</v>
      </c>
      <c r="S375" t="s">
        <v>142</v>
      </c>
      <c r="T375" t="s">
        <v>114</v>
      </c>
      <c r="U375" t="s">
        <v>142</v>
      </c>
      <c r="W375" t="s">
        <v>114</v>
      </c>
      <c r="X375" t="s">
        <v>1151</v>
      </c>
      <c r="Z375" t="s">
        <v>3408</v>
      </c>
      <c r="AA375" t="s">
        <v>3409</v>
      </c>
      <c r="AB375" s="1" t="s">
        <v>3410</v>
      </c>
      <c r="AC375" t="s">
        <v>3411</v>
      </c>
      <c r="AD375" t="s">
        <v>3412</v>
      </c>
      <c r="AH375" t="s">
        <v>123</v>
      </c>
      <c r="AI375" t="s">
        <v>124</v>
      </c>
      <c r="AJ375" t="s">
        <v>3413</v>
      </c>
      <c r="AK375" t="s">
        <v>126</v>
      </c>
      <c r="AL375" t="s">
        <v>127</v>
      </c>
      <c r="AN375" t="s">
        <v>3414</v>
      </c>
      <c r="AO375" t="s">
        <v>3415</v>
      </c>
      <c r="AP375" t="s">
        <v>3416</v>
      </c>
      <c r="AQ375" t="s">
        <v>131</v>
      </c>
      <c r="AR375" t="s">
        <v>132</v>
      </c>
      <c r="AS375" t="s">
        <v>1440</v>
      </c>
      <c r="AT375" t="s">
        <v>1927</v>
      </c>
      <c r="AV375" t="s">
        <v>965</v>
      </c>
      <c r="AX375" t="s">
        <v>655</v>
      </c>
      <c r="AY375" t="s">
        <v>177</v>
      </c>
      <c r="AZ375" t="s">
        <v>138</v>
      </c>
      <c r="BA375" t="s">
        <v>3417</v>
      </c>
      <c r="BC375" t="s">
        <v>140</v>
      </c>
      <c r="BT375" s="7">
        <f t="shared" si="31"/>
        <v>239</v>
      </c>
      <c r="BU375" s="6">
        <f t="shared" si="32"/>
        <v>223.36448598130841</v>
      </c>
      <c r="BV375" s="6">
        <f t="shared" si="33"/>
        <v>15.635514018691588</v>
      </c>
      <c r="BW375" s="6">
        <f t="shared" si="34"/>
        <v>239</v>
      </c>
      <c r="BX375" s="6">
        <f t="shared" si="35"/>
        <v>0</v>
      </c>
    </row>
    <row r="376" spans="1:76" x14ac:dyDescent="0.35">
      <c r="A376" t="s">
        <v>3407</v>
      </c>
      <c r="B376" t="s">
        <v>107</v>
      </c>
      <c r="C376" t="s">
        <v>107</v>
      </c>
      <c r="E376" t="s">
        <v>108</v>
      </c>
      <c r="F376" t="s">
        <v>268</v>
      </c>
      <c r="G376" t="s">
        <v>269</v>
      </c>
      <c r="H376" t="s">
        <v>2268</v>
      </c>
      <c r="I376" t="s">
        <v>271</v>
      </c>
      <c r="J376" t="s">
        <v>113</v>
      </c>
      <c r="K376" s="8" t="s">
        <v>114</v>
      </c>
      <c r="L376" t="s">
        <v>114</v>
      </c>
      <c r="M376" s="6">
        <v>0</v>
      </c>
      <c r="N376" t="s">
        <v>114</v>
      </c>
      <c r="O376" s="6">
        <v>0</v>
      </c>
      <c r="P376" t="s">
        <v>114</v>
      </c>
      <c r="Q376" s="6">
        <v>0</v>
      </c>
      <c r="R376" s="7">
        <f t="shared" si="30"/>
        <v>0</v>
      </c>
      <c r="S376" t="s">
        <v>142</v>
      </c>
      <c r="T376" t="s">
        <v>114</v>
      </c>
      <c r="U376" t="s">
        <v>142</v>
      </c>
      <c r="W376" t="s">
        <v>114</v>
      </c>
      <c r="X376" t="s">
        <v>1151</v>
      </c>
      <c r="Z376" t="s">
        <v>3408</v>
      </c>
      <c r="AA376" t="s">
        <v>3409</v>
      </c>
      <c r="AB376" s="1" t="s">
        <v>3410</v>
      </c>
      <c r="AC376" t="s">
        <v>3411</v>
      </c>
      <c r="AD376" t="s">
        <v>3412</v>
      </c>
      <c r="AH376" t="s">
        <v>123</v>
      </c>
      <c r="AI376" t="s">
        <v>124</v>
      </c>
      <c r="AJ376" t="s">
        <v>3413</v>
      </c>
      <c r="AK376" t="s">
        <v>126</v>
      </c>
      <c r="AL376" t="s">
        <v>127</v>
      </c>
      <c r="AN376" t="s">
        <v>3414</v>
      </c>
      <c r="AO376" t="s">
        <v>3415</v>
      </c>
      <c r="AP376" t="s">
        <v>3416</v>
      </c>
      <c r="AQ376" t="s">
        <v>131</v>
      </c>
      <c r="AR376" t="s">
        <v>132</v>
      </c>
      <c r="AS376" t="s">
        <v>1440</v>
      </c>
      <c r="AT376" t="s">
        <v>1927</v>
      </c>
      <c r="AV376" t="s">
        <v>965</v>
      </c>
      <c r="AX376" t="s">
        <v>655</v>
      </c>
      <c r="AY376" t="s">
        <v>272</v>
      </c>
      <c r="AZ376" t="s">
        <v>273</v>
      </c>
      <c r="BA376" t="s">
        <v>3417</v>
      </c>
      <c r="BC376" t="s">
        <v>140</v>
      </c>
      <c r="BT376" s="7">
        <f t="shared" si="31"/>
        <v>0</v>
      </c>
      <c r="BU376" s="6">
        <f t="shared" si="32"/>
        <v>0</v>
      </c>
      <c r="BV376" s="6">
        <f t="shared" si="33"/>
        <v>0</v>
      </c>
      <c r="BW376" s="6">
        <f t="shared" si="34"/>
        <v>0</v>
      </c>
      <c r="BX376" s="6">
        <f t="shared" si="35"/>
        <v>0</v>
      </c>
    </row>
    <row r="377" spans="1:76" x14ac:dyDescent="0.35">
      <c r="A377" t="s">
        <v>3418</v>
      </c>
      <c r="B377" t="s">
        <v>107</v>
      </c>
      <c r="C377" t="s">
        <v>107</v>
      </c>
      <c r="E377" t="s">
        <v>108</v>
      </c>
      <c r="F377" t="s">
        <v>158</v>
      </c>
      <c r="G377" t="s">
        <v>159</v>
      </c>
      <c r="H377" t="s">
        <v>111</v>
      </c>
      <c r="I377" t="s">
        <v>341</v>
      </c>
      <c r="J377" t="s">
        <v>113</v>
      </c>
      <c r="K377" s="8" t="s">
        <v>114</v>
      </c>
      <c r="L377" t="s">
        <v>161</v>
      </c>
      <c r="M377" s="6">
        <v>459</v>
      </c>
      <c r="N377" t="s">
        <v>994</v>
      </c>
      <c r="O377" s="6">
        <v>220</v>
      </c>
      <c r="P377" t="s">
        <v>1151</v>
      </c>
      <c r="Q377" s="6">
        <v>0</v>
      </c>
      <c r="R377" s="7">
        <f t="shared" si="30"/>
        <v>239</v>
      </c>
      <c r="S377" t="s">
        <v>180</v>
      </c>
      <c r="T377" t="s">
        <v>114</v>
      </c>
      <c r="U377" t="s">
        <v>180</v>
      </c>
      <c r="W377" t="s">
        <v>114</v>
      </c>
      <c r="X377" t="s">
        <v>1151</v>
      </c>
      <c r="Z377" t="s">
        <v>3419</v>
      </c>
      <c r="AA377" t="s">
        <v>3420</v>
      </c>
      <c r="AB377" s="1" t="s">
        <v>3421</v>
      </c>
      <c r="AC377" t="s">
        <v>3422</v>
      </c>
      <c r="AD377" t="s">
        <v>3420</v>
      </c>
      <c r="AH377" t="s">
        <v>123</v>
      </c>
      <c r="AI377" t="s">
        <v>124</v>
      </c>
      <c r="AJ377" t="s">
        <v>3423</v>
      </c>
      <c r="AK377" t="s">
        <v>126</v>
      </c>
      <c r="AL377" t="s">
        <v>127</v>
      </c>
      <c r="AN377" t="s">
        <v>3424</v>
      </c>
      <c r="AO377" t="s">
        <v>3425</v>
      </c>
      <c r="AP377" t="s">
        <v>3426</v>
      </c>
      <c r="AQ377" t="s">
        <v>131</v>
      </c>
      <c r="AR377" t="s">
        <v>132</v>
      </c>
      <c r="AS377" t="s">
        <v>202</v>
      </c>
      <c r="AT377" t="s">
        <v>1170</v>
      </c>
      <c r="AV377" t="s">
        <v>236</v>
      </c>
      <c r="AX377" t="s">
        <v>136</v>
      </c>
      <c r="AY377" t="s">
        <v>177</v>
      </c>
      <c r="AZ377" t="s">
        <v>138</v>
      </c>
      <c r="BA377" t="s">
        <v>3427</v>
      </c>
      <c r="BC377" t="s">
        <v>140</v>
      </c>
      <c r="BT377" s="7">
        <f t="shared" si="31"/>
        <v>239</v>
      </c>
      <c r="BU377" s="6">
        <f t="shared" si="32"/>
        <v>223.36448598130841</v>
      </c>
      <c r="BV377" s="6">
        <f t="shared" si="33"/>
        <v>15.635514018691588</v>
      </c>
      <c r="BW377" s="6">
        <f t="shared" si="34"/>
        <v>239</v>
      </c>
      <c r="BX377" s="6">
        <f t="shared" si="35"/>
        <v>0</v>
      </c>
    </row>
    <row r="378" spans="1:76" x14ac:dyDescent="0.35">
      <c r="A378" t="s">
        <v>3418</v>
      </c>
      <c r="B378" t="s">
        <v>107</v>
      </c>
      <c r="C378" t="s">
        <v>107</v>
      </c>
      <c r="E378" t="s">
        <v>108</v>
      </c>
      <c r="F378" t="s">
        <v>268</v>
      </c>
      <c r="G378" t="s">
        <v>269</v>
      </c>
      <c r="H378" t="s">
        <v>2268</v>
      </c>
      <c r="I378" t="s">
        <v>271</v>
      </c>
      <c r="J378" t="s">
        <v>113</v>
      </c>
      <c r="K378" s="8" t="s">
        <v>114</v>
      </c>
      <c r="L378" t="s">
        <v>114</v>
      </c>
      <c r="M378" s="6">
        <v>0</v>
      </c>
      <c r="N378" t="s">
        <v>114</v>
      </c>
      <c r="O378" s="6">
        <v>0</v>
      </c>
      <c r="P378" t="s">
        <v>114</v>
      </c>
      <c r="Q378" s="6">
        <v>0</v>
      </c>
      <c r="R378" s="7">
        <f t="shared" si="30"/>
        <v>0</v>
      </c>
      <c r="S378" t="s">
        <v>180</v>
      </c>
      <c r="T378" t="s">
        <v>114</v>
      </c>
      <c r="U378" t="s">
        <v>180</v>
      </c>
      <c r="W378" t="s">
        <v>114</v>
      </c>
      <c r="X378" t="s">
        <v>1151</v>
      </c>
      <c r="Z378" t="s">
        <v>3419</v>
      </c>
      <c r="AA378" t="s">
        <v>3420</v>
      </c>
      <c r="AB378" s="1" t="s">
        <v>3421</v>
      </c>
      <c r="AC378" t="s">
        <v>3422</v>
      </c>
      <c r="AD378" t="s">
        <v>3420</v>
      </c>
      <c r="AH378" t="s">
        <v>123</v>
      </c>
      <c r="AI378" t="s">
        <v>124</v>
      </c>
      <c r="AJ378" t="s">
        <v>3423</v>
      </c>
      <c r="AK378" t="s">
        <v>126</v>
      </c>
      <c r="AL378" t="s">
        <v>127</v>
      </c>
      <c r="AN378" t="s">
        <v>3424</v>
      </c>
      <c r="AO378" t="s">
        <v>3425</v>
      </c>
      <c r="AP378" t="s">
        <v>3426</v>
      </c>
      <c r="AQ378" t="s">
        <v>131</v>
      </c>
      <c r="AR378" t="s">
        <v>132</v>
      </c>
      <c r="AS378" t="s">
        <v>202</v>
      </c>
      <c r="AT378" t="s">
        <v>1170</v>
      </c>
      <c r="AV378" t="s">
        <v>236</v>
      </c>
      <c r="AX378" t="s">
        <v>136</v>
      </c>
      <c r="AY378" t="s">
        <v>272</v>
      </c>
      <c r="AZ378" t="s">
        <v>273</v>
      </c>
      <c r="BA378" t="s">
        <v>3427</v>
      </c>
      <c r="BC378" t="s">
        <v>140</v>
      </c>
      <c r="BT378" s="7">
        <f t="shared" si="31"/>
        <v>0</v>
      </c>
      <c r="BU378" s="6">
        <f t="shared" si="32"/>
        <v>0</v>
      </c>
      <c r="BV378" s="6">
        <f t="shared" si="33"/>
        <v>0</v>
      </c>
      <c r="BW378" s="6">
        <f t="shared" si="34"/>
        <v>0</v>
      </c>
      <c r="BX378" s="6">
        <f t="shared" si="35"/>
        <v>0</v>
      </c>
    </row>
    <row r="379" spans="1:76" x14ac:dyDescent="0.35">
      <c r="A379" t="s">
        <v>3428</v>
      </c>
      <c r="B379" t="s">
        <v>107</v>
      </c>
      <c r="C379" t="s">
        <v>107</v>
      </c>
      <c r="E379" t="s">
        <v>108</v>
      </c>
      <c r="F379" t="s">
        <v>268</v>
      </c>
      <c r="G379" t="s">
        <v>269</v>
      </c>
      <c r="H379" t="s">
        <v>2268</v>
      </c>
      <c r="I379" t="s">
        <v>271</v>
      </c>
      <c r="J379" t="s">
        <v>113</v>
      </c>
      <c r="K379" s="8" t="s">
        <v>114</v>
      </c>
      <c r="L379" t="s">
        <v>114</v>
      </c>
      <c r="M379" s="6">
        <v>0</v>
      </c>
      <c r="N379" t="s">
        <v>114</v>
      </c>
      <c r="O379" s="6">
        <v>0</v>
      </c>
      <c r="P379" t="s">
        <v>114</v>
      </c>
      <c r="Q379" s="6">
        <v>0</v>
      </c>
      <c r="R379" s="7">
        <f t="shared" si="30"/>
        <v>0</v>
      </c>
      <c r="S379" t="s">
        <v>180</v>
      </c>
      <c r="T379" t="s">
        <v>114</v>
      </c>
      <c r="U379" t="s">
        <v>180</v>
      </c>
      <c r="W379" t="s">
        <v>114</v>
      </c>
      <c r="X379" t="s">
        <v>1111</v>
      </c>
      <c r="Z379" t="s">
        <v>3429</v>
      </c>
      <c r="AA379" t="s">
        <v>3430</v>
      </c>
      <c r="AB379" s="1" t="s">
        <v>3431</v>
      </c>
      <c r="AC379" t="s">
        <v>3432</v>
      </c>
      <c r="AD379" t="s">
        <v>3430</v>
      </c>
      <c r="AH379" t="s">
        <v>123</v>
      </c>
      <c r="AI379" t="s">
        <v>124</v>
      </c>
      <c r="AJ379" t="s">
        <v>3433</v>
      </c>
      <c r="AK379" t="s">
        <v>126</v>
      </c>
      <c r="AL379" t="s">
        <v>127</v>
      </c>
      <c r="AN379" t="s">
        <v>3434</v>
      </c>
      <c r="AO379" t="s">
        <v>3435</v>
      </c>
      <c r="AP379" t="s">
        <v>3436</v>
      </c>
      <c r="AQ379" t="s">
        <v>131</v>
      </c>
      <c r="AR379" t="s">
        <v>132</v>
      </c>
      <c r="AS379" t="s">
        <v>2402</v>
      </c>
      <c r="AT379" t="s">
        <v>2402</v>
      </c>
      <c r="AV379" t="s">
        <v>573</v>
      </c>
      <c r="AX379" t="s">
        <v>136</v>
      </c>
      <c r="AY379" t="s">
        <v>272</v>
      </c>
      <c r="AZ379" t="s">
        <v>273</v>
      </c>
      <c r="BA379" t="s">
        <v>3437</v>
      </c>
      <c r="BC379" t="s">
        <v>140</v>
      </c>
      <c r="BT379" s="7">
        <f t="shared" si="31"/>
        <v>0</v>
      </c>
      <c r="BU379" s="6">
        <f t="shared" si="32"/>
        <v>0</v>
      </c>
      <c r="BV379" s="6">
        <f t="shared" si="33"/>
        <v>0</v>
      </c>
      <c r="BW379" s="6">
        <f t="shared" si="34"/>
        <v>0</v>
      </c>
      <c r="BX379" s="6">
        <f t="shared" si="35"/>
        <v>0</v>
      </c>
    </row>
    <row r="380" spans="1:76" x14ac:dyDescent="0.35">
      <c r="A380" t="s">
        <v>3428</v>
      </c>
      <c r="B380" t="s">
        <v>107</v>
      </c>
      <c r="C380" t="s">
        <v>107</v>
      </c>
      <c r="E380" t="s">
        <v>108</v>
      </c>
      <c r="F380" t="s">
        <v>158</v>
      </c>
      <c r="G380" t="s">
        <v>159</v>
      </c>
      <c r="H380" t="s">
        <v>111</v>
      </c>
      <c r="I380" t="s">
        <v>341</v>
      </c>
      <c r="J380" t="s">
        <v>113</v>
      </c>
      <c r="K380" s="8" t="s">
        <v>114</v>
      </c>
      <c r="L380" t="s">
        <v>161</v>
      </c>
      <c r="M380" s="6">
        <v>459</v>
      </c>
      <c r="N380" t="s">
        <v>114</v>
      </c>
      <c r="O380" s="6">
        <v>220</v>
      </c>
      <c r="P380" t="s">
        <v>1111</v>
      </c>
      <c r="Q380" s="6">
        <v>0</v>
      </c>
      <c r="R380" s="7">
        <f t="shared" si="30"/>
        <v>239</v>
      </c>
      <c r="S380" t="s">
        <v>180</v>
      </c>
      <c r="T380" t="s">
        <v>114</v>
      </c>
      <c r="U380" t="s">
        <v>180</v>
      </c>
      <c r="W380" t="s">
        <v>114</v>
      </c>
      <c r="X380" t="s">
        <v>1111</v>
      </c>
      <c r="Z380" t="s">
        <v>3429</v>
      </c>
      <c r="AA380" t="s">
        <v>3430</v>
      </c>
      <c r="AB380" s="1" t="s">
        <v>3431</v>
      </c>
      <c r="AC380" t="s">
        <v>3432</v>
      </c>
      <c r="AD380" t="s">
        <v>3430</v>
      </c>
      <c r="AH380" t="s">
        <v>123</v>
      </c>
      <c r="AI380" t="s">
        <v>124</v>
      </c>
      <c r="AJ380" t="s">
        <v>3433</v>
      </c>
      <c r="AK380" t="s">
        <v>126</v>
      </c>
      <c r="AL380" t="s">
        <v>127</v>
      </c>
      <c r="AN380" t="s">
        <v>3434</v>
      </c>
      <c r="AO380" t="s">
        <v>3435</v>
      </c>
      <c r="AP380" t="s">
        <v>3436</v>
      </c>
      <c r="AQ380" t="s">
        <v>131</v>
      </c>
      <c r="AR380" t="s">
        <v>132</v>
      </c>
      <c r="AS380" t="s">
        <v>2402</v>
      </c>
      <c r="AT380" t="s">
        <v>2402</v>
      </c>
      <c r="AV380" t="s">
        <v>573</v>
      </c>
      <c r="AX380" t="s">
        <v>136</v>
      </c>
      <c r="AY380" t="s">
        <v>177</v>
      </c>
      <c r="AZ380" t="s">
        <v>138</v>
      </c>
      <c r="BA380" t="s">
        <v>3437</v>
      </c>
      <c r="BC380" t="s">
        <v>140</v>
      </c>
      <c r="BT380" s="7">
        <f t="shared" si="31"/>
        <v>239</v>
      </c>
      <c r="BU380" s="6">
        <f t="shared" si="32"/>
        <v>223.36448598130841</v>
      </c>
      <c r="BV380" s="6">
        <f t="shared" si="33"/>
        <v>15.635514018691588</v>
      </c>
      <c r="BW380" s="6">
        <f t="shared" si="34"/>
        <v>239</v>
      </c>
      <c r="BX380" s="6">
        <f t="shared" si="35"/>
        <v>0</v>
      </c>
    </row>
    <row r="381" spans="1:76" x14ac:dyDescent="0.35">
      <c r="A381" t="s">
        <v>3438</v>
      </c>
      <c r="B381" t="s">
        <v>107</v>
      </c>
      <c r="C381" t="s">
        <v>107</v>
      </c>
      <c r="E381" t="s">
        <v>108</v>
      </c>
      <c r="F381" t="s">
        <v>158</v>
      </c>
      <c r="G381" t="s">
        <v>159</v>
      </c>
      <c r="H381" t="s">
        <v>111</v>
      </c>
      <c r="I381" t="s">
        <v>341</v>
      </c>
      <c r="J381" t="s">
        <v>113</v>
      </c>
      <c r="K381" s="8" t="s">
        <v>114</v>
      </c>
      <c r="L381" t="s">
        <v>161</v>
      </c>
      <c r="M381" s="6">
        <v>459</v>
      </c>
      <c r="N381" t="s">
        <v>1219</v>
      </c>
      <c r="O381" s="6">
        <v>220</v>
      </c>
      <c r="P381" t="s">
        <v>1220</v>
      </c>
      <c r="Q381" s="6">
        <v>0</v>
      </c>
      <c r="R381" s="7">
        <f t="shared" si="30"/>
        <v>239</v>
      </c>
      <c r="S381" t="s">
        <v>180</v>
      </c>
      <c r="T381" t="s">
        <v>114</v>
      </c>
      <c r="U381" t="s">
        <v>180</v>
      </c>
      <c r="W381" t="s">
        <v>114</v>
      </c>
      <c r="X381" t="s">
        <v>1220</v>
      </c>
      <c r="Z381" t="s">
        <v>3439</v>
      </c>
      <c r="AA381" t="s">
        <v>3440</v>
      </c>
      <c r="AB381" s="1" t="s">
        <v>3441</v>
      </c>
      <c r="AC381" t="s">
        <v>3400</v>
      </c>
      <c r="AD381" t="s">
        <v>3442</v>
      </c>
      <c r="AH381" t="s">
        <v>123</v>
      </c>
      <c r="AI381" t="s">
        <v>124</v>
      </c>
      <c r="AJ381" t="s">
        <v>3443</v>
      </c>
      <c r="AK381" t="s">
        <v>126</v>
      </c>
      <c r="AL381" t="s">
        <v>127</v>
      </c>
      <c r="AN381" t="s">
        <v>3444</v>
      </c>
      <c r="AO381" t="s">
        <v>3445</v>
      </c>
      <c r="AP381" t="s">
        <v>3446</v>
      </c>
      <c r="AQ381" t="s">
        <v>131</v>
      </c>
      <c r="AR381" t="s">
        <v>132</v>
      </c>
      <c r="AS381" t="s">
        <v>352</v>
      </c>
      <c r="AT381" t="s">
        <v>2713</v>
      </c>
      <c r="AV381" t="s">
        <v>668</v>
      </c>
      <c r="AX381" t="s">
        <v>655</v>
      </c>
      <c r="AY381" t="s">
        <v>177</v>
      </c>
      <c r="AZ381" t="s">
        <v>138</v>
      </c>
      <c r="BA381" t="s">
        <v>3447</v>
      </c>
      <c r="BC381" t="s">
        <v>140</v>
      </c>
      <c r="BT381" s="7">
        <f t="shared" si="31"/>
        <v>239</v>
      </c>
      <c r="BU381" s="6">
        <f t="shared" si="32"/>
        <v>223.36448598130841</v>
      </c>
      <c r="BV381" s="6">
        <f t="shared" si="33"/>
        <v>15.635514018691588</v>
      </c>
      <c r="BW381" s="6">
        <f t="shared" si="34"/>
        <v>239</v>
      </c>
      <c r="BX381" s="6">
        <f t="shared" si="35"/>
        <v>0</v>
      </c>
    </row>
    <row r="382" spans="1:76" x14ac:dyDescent="0.35">
      <c r="A382" t="s">
        <v>3438</v>
      </c>
      <c r="B382" t="s">
        <v>107</v>
      </c>
      <c r="C382" t="s">
        <v>107</v>
      </c>
      <c r="E382" t="s">
        <v>108</v>
      </c>
      <c r="F382" t="s">
        <v>268</v>
      </c>
      <c r="G382" t="s">
        <v>269</v>
      </c>
      <c r="H382" t="s">
        <v>2268</v>
      </c>
      <c r="I382" t="s">
        <v>271</v>
      </c>
      <c r="J382" t="s">
        <v>113</v>
      </c>
      <c r="K382" s="8" t="s">
        <v>114</v>
      </c>
      <c r="L382" t="s">
        <v>114</v>
      </c>
      <c r="M382" s="6">
        <v>0</v>
      </c>
      <c r="N382" t="s">
        <v>114</v>
      </c>
      <c r="O382" s="6">
        <v>0</v>
      </c>
      <c r="P382" t="s">
        <v>114</v>
      </c>
      <c r="Q382" s="6">
        <v>0</v>
      </c>
      <c r="R382" s="7">
        <f t="shared" si="30"/>
        <v>0</v>
      </c>
      <c r="S382" t="s">
        <v>180</v>
      </c>
      <c r="T382" t="s">
        <v>114</v>
      </c>
      <c r="U382" t="s">
        <v>180</v>
      </c>
      <c r="W382" t="s">
        <v>114</v>
      </c>
      <c r="X382" t="s">
        <v>1220</v>
      </c>
      <c r="Z382" t="s">
        <v>3439</v>
      </c>
      <c r="AA382" t="s">
        <v>3440</v>
      </c>
      <c r="AB382" s="1" t="s">
        <v>3441</v>
      </c>
      <c r="AC382" t="s">
        <v>3400</v>
      </c>
      <c r="AD382" t="s">
        <v>3442</v>
      </c>
      <c r="AH382" t="s">
        <v>123</v>
      </c>
      <c r="AI382" t="s">
        <v>124</v>
      </c>
      <c r="AJ382" t="s">
        <v>3443</v>
      </c>
      <c r="AK382" t="s">
        <v>126</v>
      </c>
      <c r="AL382" t="s">
        <v>127</v>
      </c>
      <c r="AN382" t="s">
        <v>3444</v>
      </c>
      <c r="AO382" t="s">
        <v>3445</v>
      </c>
      <c r="AP382" t="s">
        <v>3446</v>
      </c>
      <c r="AQ382" t="s">
        <v>131</v>
      </c>
      <c r="AR382" t="s">
        <v>132</v>
      </c>
      <c r="AS382" t="s">
        <v>352</v>
      </c>
      <c r="AT382" t="s">
        <v>2713</v>
      </c>
      <c r="AV382" t="s">
        <v>668</v>
      </c>
      <c r="AX382" t="s">
        <v>655</v>
      </c>
      <c r="AY382" t="s">
        <v>272</v>
      </c>
      <c r="AZ382" t="s">
        <v>273</v>
      </c>
      <c r="BA382" t="s">
        <v>3447</v>
      </c>
      <c r="BC382" t="s">
        <v>140</v>
      </c>
      <c r="BT382" s="7">
        <f t="shared" si="31"/>
        <v>0</v>
      </c>
      <c r="BU382" s="6">
        <f t="shared" si="32"/>
        <v>0</v>
      </c>
      <c r="BV382" s="6">
        <f t="shared" si="33"/>
        <v>0</v>
      </c>
      <c r="BW382" s="6">
        <f t="shared" si="34"/>
        <v>0</v>
      </c>
      <c r="BX382" s="6">
        <f t="shared" si="35"/>
        <v>0</v>
      </c>
    </row>
    <row r="383" spans="1:76" x14ac:dyDescent="0.35">
      <c r="A383" t="s">
        <v>3448</v>
      </c>
      <c r="B383" t="s">
        <v>107</v>
      </c>
      <c r="C383" t="s">
        <v>107</v>
      </c>
      <c r="E383" t="s">
        <v>108</v>
      </c>
      <c r="F383" t="s">
        <v>268</v>
      </c>
      <c r="G383" t="s">
        <v>269</v>
      </c>
      <c r="H383" t="s">
        <v>2268</v>
      </c>
      <c r="I383" t="s">
        <v>271</v>
      </c>
      <c r="J383" t="s">
        <v>113</v>
      </c>
      <c r="K383" s="8" t="s">
        <v>114</v>
      </c>
      <c r="L383" t="s">
        <v>114</v>
      </c>
      <c r="M383" s="6">
        <v>0</v>
      </c>
      <c r="N383" t="s">
        <v>114</v>
      </c>
      <c r="O383" s="6">
        <v>0</v>
      </c>
      <c r="P383" t="s">
        <v>114</v>
      </c>
      <c r="Q383" s="6">
        <v>0</v>
      </c>
      <c r="R383" s="7">
        <f t="shared" si="30"/>
        <v>0</v>
      </c>
      <c r="S383" t="s">
        <v>142</v>
      </c>
      <c r="T383" t="s">
        <v>114</v>
      </c>
      <c r="U383" t="s">
        <v>142</v>
      </c>
      <c r="W383" t="s">
        <v>114</v>
      </c>
      <c r="X383" t="s">
        <v>1111</v>
      </c>
      <c r="Z383" t="s">
        <v>3449</v>
      </c>
      <c r="AA383" t="s">
        <v>3450</v>
      </c>
      <c r="AB383" s="1" t="s">
        <v>3451</v>
      </c>
      <c r="AC383" t="s">
        <v>3452</v>
      </c>
      <c r="AD383" t="s">
        <v>3450</v>
      </c>
      <c r="AH383" t="s">
        <v>123</v>
      </c>
      <c r="AI383" t="s">
        <v>124</v>
      </c>
      <c r="AJ383" t="s">
        <v>3453</v>
      </c>
      <c r="AK383" t="s">
        <v>126</v>
      </c>
      <c r="AL383" t="s">
        <v>127</v>
      </c>
      <c r="AN383" t="s">
        <v>3454</v>
      </c>
      <c r="AO383" t="s">
        <v>3455</v>
      </c>
      <c r="AP383" t="s">
        <v>3456</v>
      </c>
      <c r="AQ383" t="s">
        <v>131</v>
      </c>
      <c r="AR383" t="s">
        <v>132</v>
      </c>
      <c r="AS383" t="s">
        <v>387</v>
      </c>
      <c r="AT383" t="s">
        <v>3038</v>
      </c>
      <c r="AV383" t="s">
        <v>573</v>
      </c>
      <c r="AX383" t="s">
        <v>136</v>
      </c>
      <c r="AY383" t="s">
        <v>272</v>
      </c>
      <c r="AZ383" t="s">
        <v>273</v>
      </c>
      <c r="BA383" t="s">
        <v>3457</v>
      </c>
      <c r="BC383" t="s">
        <v>140</v>
      </c>
      <c r="BT383" s="7">
        <f t="shared" si="31"/>
        <v>0</v>
      </c>
      <c r="BU383" s="6">
        <f t="shared" si="32"/>
        <v>0</v>
      </c>
      <c r="BV383" s="6">
        <f t="shared" si="33"/>
        <v>0</v>
      </c>
      <c r="BW383" s="6">
        <f t="shared" si="34"/>
        <v>0</v>
      </c>
      <c r="BX383" s="6">
        <f t="shared" si="35"/>
        <v>0</v>
      </c>
    </row>
    <row r="384" spans="1:76" x14ac:dyDescent="0.35">
      <c r="A384" t="s">
        <v>3448</v>
      </c>
      <c r="B384" t="s">
        <v>107</v>
      </c>
      <c r="C384" t="s">
        <v>107</v>
      </c>
      <c r="E384" t="s">
        <v>108</v>
      </c>
      <c r="F384" t="s">
        <v>158</v>
      </c>
      <c r="G384" t="s">
        <v>159</v>
      </c>
      <c r="H384" t="s">
        <v>111</v>
      </c>
      <c r="I384" t="s">
        <v>341</v>
      </c>
      <c r="J384" t="s">
        <v>113</v>
      </c>
      <c r="K384" s="8" t="s">
        <v>114</v>
      </c>
      <c r="L384" t="s">
        <v>161</v>
      </c>
      <c r="M384" s="6">
        <v>459</v>
      </c>
      <c r="N384" t="s">
        <v>114</v>
      </c>
      <c r="O384" s="6">
        <v>220</v>
      </c>
      <c r="P384" t="s">
        <v>1111</v>
      </c>
      <c r="Q384" s="6">
        <v>0</v>
      </c>
      <c r="R384" s="7">
        <f t="shared" si="30"/>
        <v>239</v>
      </c>
      <c r="S384" t="s">
        <v>142</v>
      </c>
      <c r="T384" t="s">
        <v>114</v>
      </c>
      <c r="U384" t="s">
        <v>142</v>
      </c>
      <c r="W384" t="s">
        <v>114</v>
      </c>
      <c r="X384" t="s">
        <v>1111</v>
      </c>
      <c r="Z384" t="s">
        <v>3449</v>
      </c>
      <c r="AA384" t="s">
        <v>3450</v>
      </c>
      <c r="AB384" s="1" t="s">
        <v>3451</v>
      </c>
      <c r="AC384" t="s">
        <v>3452</v>
      </c>
      <c r="AD384" t="s">
        <v>3450</v>
      </c>
      <c r="AH384" t="s">
        <v>123</v>
      </c>
      <c r="AI384" t="s">
        <v>124</v>
      </c>
      <c r="AJ384" t="s">
        <v>3453</v>
      </c>
      <c r="AK384" t="s">
        <v>126</v>
      </c>
      <c r="AL384" t="s">
        <v>127</v>
      </c>
      <c r="AN384" t="s">
        <v>3454</v>
      </c>
      <c r="AO384" t="s">
        <v>3455</v>
      </c>
      <c r="AP384" t="s">
        <v>3456</v>
      </c>
      <c r="AQ384" t="s">
        <v>131</v>
      </c>
      <c r="AR384" t="s">
        <v>132</v>
      </c>
      <c r="AS384" t="s">
        <v>387</v>
      </c>
      <c r="AT384" t="s">
        <v>3038</v>
      </c>
      <c r="AV384" t="s">
        <v>573</v>
      </c>
      <c r="AX384" t="s">
        <v>136</v>
      </c>
      <c r="AY384" t="s">
        <v>177</v>
      </c>
      <c r="AZ384" t="s">
        <v>138</v>
      </c>
      <c r="BA384" t="s">
        <v>3457</v>
      </c>
      <c r="BC384" t="s">
        <v>140</v>
      </c>
      <c r="BT384" s="7">
        <f t="shared" si="31"/>
        <v>239</v>
      </c>
      <c r="BU384" s="6">
        <f t="shared" si="32"/>
        <v>223.36448598130841</v>
      </c>
      <c r="BV384" s="6">
        <f t="shared" si="33"/>
        <v>15.635514018691588</v>
      </c>
      <c r="BW384" s="6">
        <f t="shared" si="34"/>
        <v>239</v>
      </c>
      <c r="BX384" s="6">
        <f t="shared" si="35"/>
        <v>0</v>
      </c>
    </row>
    <row r="385" spans="1:76" x14ac:dyDescent="0.35">
      <c r="A385" t="s">
        <v>3458</v>
      </c>
      <c r="B385" t="s">
        <v>107</v>
      </c>
      <c r="C385" t="s">
        <v>107</v>
      </c>
      <c r="E385" t="s">
        <v>108</v>
      </c>
      <c r="F385" t="s">
        <v>338</v>
      </c>
      <c r="G385" t="s">
        <v>339</v>
      </c>
      <c r="H385" t="s">
        <v>340</v>
      </c>
      <c r="I385" t="s">
        <v>341</v>
      </c>
      <c r="J385" t="s">
        <v>113</v>
      </c>
      <c r="K385" s="8" t="s">
        <v>114</v>
      </c>
      <c r="L385" t="s">
        <v>114</v>
      </c>
      <c r="M385" s="6">
        <v>0</v>
      </c>
      <c r="N385" t="s">
        <v>114</v>
      </c>
      <c r="O385" s="6">
        <v>0</v>
      </c>
      <c r="P385" t="s">
        <v>114</v>
      </c>
      <c r="Q385" s="6">
        <v>0</v>
      </c>
      <c r="R385" s="7">
        <f t="shared" si="30"/>
        <v>0</v>
      </c>
      <c r="S385" t="s">
        <v>142</v>
      </c>
      <c r="T385" t="s">
        <v>114</v>
      </c>
      <c r="U385" t="s">
        <v>142</v>
      </c>
      <c r="W385" t="s">
        <v>114</v>
      </c>
      <c r="X385" t="s">
        <v>3459</v>
      </c>
      <c r="Z385" t="s">
        <v>3460</v>
      </c>
      <c r="AA385" t="s">
        <v>3461</v>
      </c>
      <c r="AB385" s="1" t="s">
        <v>3462</v>
      </c>
      <c r="AC385" t="s">
        <v>3463</v>
      </c>
      <c r="AD385" t="s">
        <v>3464</v>
      </c>
      <c r="AH385" t="s">
        <v>123</v>
      </c>
      <c r="AI385" t="s">
        <v>124</v>
      </c>
      <c r="AJ385" t="s">
        <v>3465</v>
      </c>
      <c r="AK385" t="s">
        <v>126</v>
      </c>
      <c r="AL385" t="s">
        <v>127</v>
      </c>
      <c r="AN385" t="s">
        <v>3466</v>
      </c>
      <c r="AO385" t="s">
        <v>3467</v>
      </c>
      <c r="AP385" t="s">
        <v>3468</v>
      </c>
      <c r="AQ385" t="s">
        <v>131</v>
      </c>
      <c r="AR385" t="s">
        <v>233</v>
      </c>
      <c r="AS385" t="s">
        <v>234</v>
      </c>
      <c r="AT385" t="s">
        <v>3469</v>
      </c>
      <c r="AV385" t="s">
        <v>354</v>
      </c>
      <c r="AW385" t="s">
        <v>175</v>
      </c>
      <c r="AX385" t="s">
        <v>155</v>
      </c>
      <c r="AY385" t="s">
        <v>177</v>
      </c>
      <c r="AZ385" t="s">
        <v>356</v>
      </c>
      <c r="BA385" t="s">
        <v>3470</v>
      </c>
      <c r="BC385" t="s">
        <v>140</v>
      </c>
      <c r="BT385" s="7">
        <f t="shared" si="31"/>
        <v>0</v>
      </c>
      <c r="BU385" s="6">
        <f t="shared" si="32"/>
        <v>0</v>
      </c>
      <c r="BV385" s="6">
        <f t="shared" si="33"/>
        <v>0</v>
      </c>
      <c r="BW385" s="6">
        <f t="shared" si="34"/>
        <v>0</v>
      </c>
      <c r="BX385" s="6">
        <f t="shared" si="35"/>
        <v>0</v>
      </c>
    </row>
    <row r="386" spans="1:76" x14ac:dyDescent="0.35">
      <c r="A386" t="s">
        <v>3458</v>
      </c>
      <c r="B386" t="s">
        <v>107</v>
      </c>
      <c r="C386" t="s">
        <v>107</v>
      </c>
      <c r="E386" t="s">
        <v>108</v>
      </c>
      <c r="F386" t="s">
        <v>358</v>
      </c>
      <c r="G386" t="s">
        <v>359</v>
      </c>
      <c r="H386" t="s">
        <v>360</v>
      </c>
      <c r="I386" t="s">
        <v>341</v>
      </c>
      <c r="J386" t="s">
        <v>113</v>
      </c>
      <c r="K386" s="8" t="s">
        <v>114</v>
      </c>
      <c r="L386" t="s">
        <v>361</v>
      </c>
      <c r="M386" s="6">
        <v>233</v>
      </c>
      <c r="N386" t="s">
        <v>114</v>
      </c>
      <c r="O386" s="6">
        <v>117</v>
      </c>
      <c r="P386" t="s">
        <v>3459</v>
      </c>
      <c r="Q386" s="6">
        <v>0</v>
      </c>
      <c r="R386" s="7">
        <f t="shared" si="30"/>
        <v>116</v>
      </c>
      <c r="S386" t="s">
        <v>142</v>
      </c>
      <c r="T386" t="s">
        <v>114</v>
      </c>
      <c r="U386" t="s">
        <v>142</v>
      </c>
      <c r="W386" t="s">
        <v>114</v>
      </c>
      <c r="X386" t="s">
        <v>3459</v>
      </c>
      <c r="Z386" t="s">
        <v>3460</v>
      </c>
      <c r="AA386" t="s">
        <v>3461</v>
      </c>
      <c r="AB386" s="1" t="s">
        <v>3462</v>
      </c>
      <c r="AC386" t="s">
        <v>3463</v>
      </c>
      <c r="AD386" t="s">
        <v>3464</v>
      </c>
      <c r="AH386" t="s">
        <v>123</v>
      </c>
      <c r="AI386" t="s">
        <v>124</v>
      </c>
      <c r="AJ386" t="s">
        <v>3465</v>
      </c>
      <c r="AK386" t="s">
        <v>126</v>
      </c>
      <c r="AL386" t="s">
        <v>127</v>
      </c>
      <c r="AN386" t="s">
        <v>3466</v>
      </c>
      <c r="AO386" t="s">
        <v>3467</v>
      </c>
      <c r="AP386" t="s">
        <v>3468</v>
      </c>
      <c r="AQ386" t="s">
        <v>131</v>
      </c>
      <c r="AR386" t="s">
        <v>233</v>
      </c>
      <c r="AS386" t="s">
        <v>234</v>
      </c>
      <c r="AT386" t="s">
        <v>3469</v>
      </c>
      <c r="AV386" t="s">
        <v>354</v>
      </c>
      <c r="AW386" t="s">
        <v>175</v>
      </c>
      <c r="AX386" t="s">
        <v>155</v>
      </c>
      <c r="AY386" t="s">
        <v>177</v>
      </c>
      <c r="AZ386" t="s">
        <v>364</v>
      </c>
      <c r="BA386" t="s">
        <v>3470</v>
      </c>
      <c r="BC386" t="s">
        <v>140</v>
      </c>
      <c r="BT386" s="7">
        <f t="shared" si="31"/>
        <v>116</v>
      </c>
      <c r="BU386" s="6">
        <f t="shared" si="32"/>
        <v>108.41121495327103</v>
      </c>
      <c r="BV386" s="6">
        <f t="shared" si="33"/>
        <v>7.5887850467289715</v>
      </c>
      <c r="BW386" s="6">
        <f t="shared" si="34"/>
        <v>116</v>
      </c>
      <c r="BX386" s="6">
        <f t="shared" si="35"/>
        <v>0</v>
      </c>
    </row>
    <row r="387" spans="1:76" x14ac:dyDescent="0.35">
      <c r="A387" t="s">
        <v>3472</v>
      </c>
      <c r="B387" t="s">
        <v>107</v>
      </c>
      <c r="C387" t="s">
        <v>107</v>
      </c>
      <c r="F387" t="s">
        <v>358</v>
      </c>
      <c r="G387" t="s">
        <v>359</v>
      </c>
      <c r="H387" t="s">
        <v>360</v>
      </c>
      <c r="I387" t="s">
        <v>341</v>
      </c>
      <c r="J387" t="s">
        <v>113</v>
      </c>
      <c r="K387" s="8" t="s">
        <v>114</v>
      </c>
      <c r="L387" t="s">
        <v>114</v>
      </c>
      <c r="M387" s="6">
        <v>0</v>
      </c>
      <c r="N387" t="s">
        <v>114</v>
      </c>
      <c r="O387" s="6">
        <v>0</v>
      </c>
      <c r="P387" t="s">
        <v>114</v>
      </c>
      <c r="Q387" s="6">
        <v>0</v>
      </c>
      <c r="R387" s="7">
        <f t="shared" si="30"/>
        <v>0</v>
      </c>
      <c r="S387" t="s">
        <v>114</v>
      </c>
      <c r="T387" t="s">
        <v>114</v>
      </c>
      <c r="U387" t="s">
        <v>114</v>
      </c>
      <c r="W387" t="s">
        <v>114</v>
      </c>
      <c r="X387" t="s">
        <v>114</v>
      </c>
      <c r="Z387" t="s">
        <v>3473</v>
      </c>
      <c r="AA387" t="s">
        <v>3473</v>
      </c>
      <c r="AB387" s="1" t="s">
        <v>3474</v>
      </c>
      <c r="AC387" t="s">
        <v>3475</v>
      </c>
      <c r="AD387" t="s">
        <v>3476</v>
      </c>
      <c r="AH387" t="s">
        <v>123</v>
      </c>
      <c r="AI387" t="s">
        <v>124</v>
      </c>
      <c r="AJ387" t="s">
        <v>3477</v>
      </c>
      <c r="AK387" t="s">
        <v>126</v>
      </c>
      <c r="AL387" t="s">
        <v>127</v>
      </c>
      <c r="AN387" t="s">
        <v>3478</v>
      </c>
      <c r="AO387" t="s">
        <v>3479</v>
      </c>
      <c r="AP387" t="s">
        <v>3480</v>
      </c>
      <c r="AQ387" t="s">
        <v>131</v>
      </c>
      <c r="AR387" t="s">
        <v>132</v>
      </c>
      <c r="AS387" t="s">
        <v>3481</v>
      </c>
      <c r="AT387" t="s">
        <v>3482</v>
      </c>
      <c r="AV387" t="s">
        <v>625</v>
      </c>
      <c r="AY387" t="s">
        <v>177</v>
      </c>
      <c r="AZ387" t="s">
        <v>364</v>
      </c>
      <c r="BA387" t="s">
        <v>3483</v>
      </c>
      <c r="BC387" t="s">
        <v>140</v>
      </c>
      <c r="BT387" s="7">
        <f t="shared" si="31"/>
        <v>0</v>
      </c>
      <c r="BU387" s="6">
        <f t="shared" si="32"/>
        <v>0</v>
      </c>
      <c r="BV387" s="6">
        <f t="shared" si="33"/>
        <v>0</v>
      </c>
      <c r="BW387" s="6">
        <f t="shared" si="34"/>
        <v>0</v>
      </c>
      <c r="BX387" s="6">
        <f t="shared" si="35"/>
        <v>0</v>
      </c>
    </row>
    <row r="388" spans="1:76" x14ac:dyDescent="0.35">
      <c r="A388" t="s">
        <v>3484</v>
      </c>
      <c r="B388" t="s">
        <v>107</v>
      </c>
      <c r="C388" t="s">
        <v>107</v>
      </c>
      <c r="E388" t="s">
        <v>108</v>
      </c>
      <c r="F388" t="s">
        <v>268</v>
      </c>
      <c r="G388" t="s">
        <v>269</v>
      </c>
      <c r="H388" t="s">
        <v>2268</v>
      </c>
      <c r="I388" t="s">
        <v>271</v>
      </c>
      <c r="J388" t="s">
        <v>113</v>
      </c>
      <c r="K388" s="8" t="s">
        <v>114</v>
      </c>
      <c r="L388" t="s">
        <v>114</v>
      </c>
      <c r="M388" s="6">
        <v>0</v>
      </c>
      <c r="N388" t="s">
        <v>114</v>
      </c>
      <c r="O388" s="6">
        <v>0</v>
      </c>
      <c r="P388" t="s">
        <v>114</v>
      </c>
      <c r="Q388" s="6">
        <v>0</v>
      </c>
      <c r="R388" s="7">
        <f t="shared" si="30"/>
        <v>0</v>
      </c>
      <c r="S388" t="s">
        <v>180</v>
      </c>
      <c r="T388" t="s">
        <v>114</v>
      </c>
      <c r="U388" t="s">
        <v>180</v>
      </c>
      <c r="W388" t="s">
        <v>114</v>
      </c>
      <c r="X388" t="s">
        <v>1111</v>
      </c>
      <c r="Z388" t="s">
        <v>3485</v>
      </c>
      <c r="AA388" t="s">
        <v>3486</v>
      </c>
      <c r="AB388" s="1" t="s">
        <v>3487</v>
      </c>
      <c r="AC388" t="s">
        <v>3488</v>
      </c>
      <c r="AD388" t="s">
        <v>3486</v>
      </c>
      <c r="AH388" t="s">
        <v>123</v>
      </c>
      <c r="AI388" t="s">
        <v>124</v>
      </c>
      <c r="AJ388" t="s">
        <v>3489</v>
      </c>
      <c r="AK388" t="s">
        <v>126</v>
      </c>
      <c r="AL388" t="s">
        <v>127</v>
      </c>
      <c r="AN388" t="s">
        <v>3490</v>
      </c>
      <c r="AO388" t="s">
        <v>3491</v>
      </c>
      <c r="AP388" t="s">
        <v>3492</v>
      </c>
      <c r="AQ388" t="s">
        <v>131</v>
      </c>
      <c r="AR388" t="s">
        <v>132</v>
      </c>
      <c r="AS388" t="s">
        <v>331</v>
      </c>
      <c r="AT388" t="s">
        <v>3493</v>
      </c>
      <c r="AV388" t="s">
        <v>516</v>
      </c>
      <c r="AX388" t="s">
        <v>136</v>
      </c>
      <c r="AY388" t="s">
        <v>272</v>
      </c>
      <c r="AZ388" t="s">
        <v>273</v>
      </c>
      <c r="BA388" t="s">
        <v>3494</v>
      </c>
      <c r="BC388" t="s">
        <v>140</v>
      </c>
      <c r="BT388" s="7">
        <f t="shared" si="31"/>
        <v>0</v>
      </c>
      <c r="BU388" s="6">
        <f t="shared" si="32"/>
        <v>0</v>
      </c>
      <c r="BV388" s="6">
        <f t="shared" si="33"/>
        <v>0</v>
      </c>
      <c r="BW388" s="6">
        <f t="shared" si="34"/>
        <v>0</v>
      </c>
      <c r="BX388" s="6">
        <f t="shared" si="35"/>
        <v>0</v>
      </c>
    </row>
    <row r="389" spans="1:76" x14ac:dyDescent="0.35">
      <c r="A389" t="s">
        <v>3484</v>
      </c>
      <c r="B389" t="s">
        <v>107</v>
      </c>
      <c r="C389" t="s">
        <v>107</v>
      </c>
      <c r="E389" t="s">
        <v>108</v>
      </c>
      <c r="F389" t="s">
        <v>158</v>
      </c>
      <c r="G389" t="s">
        <v>159</v>
      </c>
      <c r="H389" t="s">
        <v>111</v>
      </c>
      <c r="I389" t="s">
        <v>341</v>
      </c>
      <c r="J389" t="s">
        <v>113</v>
      </c>
      <c r="K389" s="8" t="s">
        <v>114</v>
      </c>
      <c r="L389" t="s">
        <v>161</v>
      </c>
      <c r="M389" s="6">
        <v>459</v>
      </c>
      <c r="N389" t="s">
        <v>114</v>
      </c>
      <c r="O389" s="6">
        <v>220</v>
      </c>
      <c r="P389" t="s">
        <v>1111</v>
      </c>
      <c r="Q389" s="6">
        <v>0</v>
      </c>
      <c r="R389" s="7">
        <f t="shared" ref="R389:R452" si="36">M389-O389+Q389</f>
        <v>239</v>
      </c>
      <c r="S389" t="s">
        <v>180</v>
      </c>
      <c r="T389" t="s">
        <v>114</v>
      </c>
      <c r="U389" t="s">
        <v>180</v>
      </c>
      <c r="W389" t="s">
        <v>114</v>
      </c>
      <c r="X389" t="s">
        <v>1111</v>
      </c>
      <c r="Z389" t="s">
        <v>3485</v>
      </c>
      <c r="AA389" t="s">
        <v>3486</v>
      </c>
      <c r="AB389" s="1" t="s">
        <v>3487</v>
      </c>
      <c r="AC389" t="s">
        <v>3488</v>
      </c>
      <c r="AD389" t="s">
        <v>3486</v>
      </c>
      <c r="AH389" t="s">
        <v>123</v>
      </c>
      <c r="AI389" t="s">
        <v>124</v>
      </c>
      <c r="AJ389" t="s">
        <v>3489</v>
      </c>
      <c r="AK389" t="s">
        <v>126</v>
      </c>
      <c r="AL389" t="s">
        <v>127</v>
      </c>
      <c r="AN389" t="s">
        <v>3490</v>
      </c>
      <c r="AO389" t="s">
        <v>3491</v>
      </c>
      <c r="AP389" t="s">
        <v>3492</v>
      </c>
      <c r="AQ389" t="s">
        <v>131</v>
      </c>
      <c r="AR389" t="s">
        <v>132</v>
      </c>
      <c r="AS389" t="s">
        <v>331</v>
      </c>
      <c r="AT389" t="s">
        <v>3493</v>
      </c>
      <c r="AV389" t="s">
        <v>516</v>
      </c>
      <c r="AX389" t="s">
        <v>136</v>
      </c>
      <c r="AY389" t="s">
        <v>177</v>
      </c>
      <c r="AZ389" t="s">
        <v>138</v>
      </c>
      <c r="BA389" t="s">
        <v>3494</v>
      </c>
      <c r="BC389" t="s">
        <v>140</v>
      </c>
      <c r="BT389" s="7">
        <f t="shared" ref="BT389:BT452" si="37">+R389</f>
        <v>239</v>
      </c>
      <c r="BU389" s="6">
        <f t="shared" ref="BU389:BU452" si="38">+BT389/1.07</f>
        <v>223.36448598130841</v>
      </c>
      <c r="BV389" s="6">
        <f t="shared" ref="BV389:BV452" si="39">+BU389*7/100</f>
        <v>15.635514018691588</v>
      </c>
      <c r="BW389" s="6">
        <f t="shared" ref="BW389:BW452" si="40">+BU389+BV389</f>
        <v>239</v>
      </c>
      <c r="BX389" s="6">
        <f t="shared" ref="BX389:BX452" si="41">+BW389-BT389</f>
        <v>0</v>
      </c>
    </row>
    <row r="390" spans="1:76" x14ac:dyDescent="0.35">
      <c r="A390" t="s">
        <v>3495</v>
      </c>
      <c r="B390" t="s">
        <v>107</v>
      </c>
      <c r="C390" t="s">
        <v>107</v>
      </c>
      <c r="F390" t="s">
        <v>358</v>
      </c>
      <c r="G390" t="s">
        <v>359</v>
      </c>
      <c r="H390" t="s">
        <v>360</v>
      </c>
      <c r="I390" t="s">
        <v>341</v>
      </c>
      <c r="J390" t="s">
        <v>113</v>
      </c>
      <c r="K390" s="8" t="s">
        <v>114</v>
      </c>
      <c r="L390" t="s">
        <v>114</v>
      </c>
      <c r="M390" s="6">
        <v>0</v>
      </c>
      <c r="N390" t="s">
        <v>114</v>
      </c>
      <c r="O390" s="6">
        <v>0</v>
      </c>
      <c r="P390" t="s">
        <v>114</v>
      </c>
      <c r="Q390" s="6">
        <v>0</v>
      </c>
      <c r="R390" s="7">
        <f t="shared" si="36"/>
        <v>0</v>
      </c>
      <c r="S390" t="s">
        <v>114</v>
      </c>
      <c r="T390" t="s">
        <v>114</v>
      </c>
      <c r="U390" t="s">
        <v>114</v>
      </c>
      <c r="W390" t="s">
        <v>114</v>
      </c>
      <c r="X390" t="s">
        <v>114</v>
      </c>
      <c r="Z390" t="s">
        <v>3496</v>
      </c>
      <c r="AA390" t="s">
        <v>3496</v>
      </c>
      <c r="AB390" s="1" t="s">
        <v>3497</v>
      </c>
      <c r="AC390" t="s">
        <v>3498</v>
      </c>
      <c r="AD390" t="s">
        <v>3499</v>
      </c>
      <c r="AH390" t="s">
        <v>123</v>
      </c>
      <c r="AI390" t="s">
        <v>124</v>
      </c>
      <c r="AJ390" t="s">
        <v>3500</v>
      </c>
      <c r="AK390" t="s">
        <v>126</v>
      </c>
      <c r="AL390" t="s">
        <v>127</v>
      </c>
      <c r="AN390" t="s">
        <v>3501</v>
      </c>
      <c r="AO390" t="s">
        <v>3502</v>
      </c>
      <c r="AP390" t="s">
        <v>3503</v>
      </c>
      <c r="AQ390" t="s">
        <v>131</v>
      </c>
      <c r="AR390" t="s">
        <v>132</v>
      </c>
      <c r="AS390" t="s">
        <v>756</v>
      </c>
      <c r="AT390" t="s">
        <v>3504</v>
      </c>
      <c r="AV390" t="s">
        <v>1183</v>
      </c>
      <c r="AW390" t="s">
        <v>1095</v>
      </c>
      <c r="AY390" t="s">
        <v>177</v>
      </c>
      <c r="AZ390" t="s">
        <v>364</v>
      </c>
      <c r="BA390" t="s">
        <v>3505</v>
      </c>
      <c r="BC390" t="s">
        <v>140</v>
      </c>
      <c r="BT390" s="7">
        <f t="shared" si="37"/>
        <v>0</v>
      </c>
      <c r="BU390" s="6">
        <f t="shared" si="38"/>
        <v>0</v>
      </c>
      <c r="BV390" s="6">
        <f t="shared" si="39"/>
        <v>0</v>
      </c>
      <c r="BW390" s="6">
        <f t="shared" si="40"/>
        <v>0</v>
      </c>
      <c r="BX390" s="6">
        <f t="shared" si="41"/>
        <v>0</v>
      </c>
    </row>
    <row r="391" spans="1:76" x14ac:dyDescent="0.35">
      <c r="A391" t="s">
        <v>3506</v>
      </c>
      <c r="B391" t="s">
        <v>107</v>
      </c>
      <c r="C391" t="s">
        <v>107</v>
      </c>
      <c r="E391" t="s">
        <v>108</v>
      </c>
      <c r="F391" t="s">
        <v>338</v>
      </c>
      <c r="G391" t="s">
        <v>339</v>
      </c>
      <c r="H391" t="s">
        <v>340</v>
      </c>
      <c r="I391" t="s">
        <v>341</v>
      </c>
      <c r="J391" t="s">
        <v>113</v>
      </c>
      <c r="K391" s="8" t="s">
        <v>114</v>
      </c>
      <c r="L391" t="s">
        <v>114</v>
      </c>
      <c r="M391" s="6">
        <v>0</v>
      </c>
      <c r="N391" t="s">
        <v>114</v>
      </c>
      <c r="O391" s="6">
        <v>0</v>
      </c>
      <c r="P391" t="s">
        <v>114</v>
      </c>
      <c r="Q391" s="6">
        <v>0</v>
      </c>
      <c r="R391" s="7">
        <f t="shared" si="36"/>
        <v>0</v>
      </c>
      <c r="S391" t="s">
        <v>142</v>
      </c>
      <c r="T391" t="s">
        <v>114</v>
      </c>
      <c r="U391" t="s">
        <v>142</v>
      </c>
      <c r="W391" t="s">
        <v>114</v>
      </c>
      <c r="X391" t="s">
        <v>562</v>
      </c>
      <c r="Z391" t="s">
        <v>3507</v>
      </c>
      <c r="AA391" t="s">
        <v>3508</v>
      </c>
      <c r="AB391" s="1" t="s">
        <v>3509</v>
      </c>
      <c r="AC391" t="s">
        <v>3510</v>
      </c>
      <c r="AD391" t="s">
        <v>3511</v>
      </c>
      <c r="AH391" t="s">
        <v>123</v>
      </c>
      <c r="AI391" t="s">
        <v>124</v>
      </c>
      <c r="AJ391" t="s">
        <v>3512</v>
      </c>
      <c r="AK391" t="s">
        <v>126</v>
      </c>
      <c r="AL391" t="s">
        <v>127</v>
      </c>
      <c r="AN391" t="s">
        <v>3513</v>
      </c>
      <c r="AO391" t="s">
        <v>3514</v>
      </c>
      <c r="AP391" t="s">
        <v>3515</v>
      </c>
      <c r="AQ391" t="s">
        <v>131</v>
      </c>
      <c r="AR391" t="s">
        <v>132</v>
      </c>
      <c r="AS391" t="s">
        <v>152</v>
      </c>
      <c r="AT391" t="s">
        <v>3516</v>
      </c>
      <c r="AV391" t="s">
        <v>918</v>
      </c>
      <c r="AW391" t="s">
        <v>496</v>
      </c>
      <c r="AX391" t="s">
        <v>655</v>
      </c>
      <c r="AY391" t="s">
        <v>177</v>
      </c>
      <c r="AZ391" t="s">
        <v>356</v>
      </c>
      <c r="BA391" t="s">
        <v>3517</v>
      </c>
      <c r="BC391" t="s">
        <v>140</v>
      </c>
      <c r="BT391" s="7">
        <f t="shared" si="37"/>
        <v>0</v>
      </c>
      <c r="BU391" s="6">
        <f t="shared" si="38"/>
        <v>0</v>
      </c>
      <c r="BV391" s="6">
        <f t="shared" si="39"/>
        <v>0</v>
      </c>
      <c r="BW391" s="6">
        <f t="shared" si="40"/>
        <v>0</v>
      </c>
      <c r="BX391" s="6">
        <f t="shared" si="41"/>
        <v>0</v>
      </c>
    </row>
    <row r="392" spans="1:76" x14ac:dyDescent="0.35">
      <c r="A392" t="s">
        <v>3506</v>
      </c>
      <c r="B392" t="s">
        <v>107</v>
      </c>
      <c r="C392" t="s">
        <v>107</v>
      </c>
      <c r="E392" t="s">
        <v>108</v>
      </c>
      <c r="F392" t="s">
        <v>358</v>
      </c>
      <c r="G392" t="s">
        <v>359</v>
      </c>
      <c r="H392" t="s">
        <v>360</v>
      </c>
      <c r="I392" t="s">
        <v>341</v>
      </c>
      <c r="J392" t="s">
        <v>113</v>
      </c>
      <c r="K392" s="8" t="s">
        <v>114</v>
      </c>
      <c r="L392" t="s">
        <v>361</v>
      </c>
      <c r="M392" s="6">
        <v>233</v>
      </c>
      <c r="N392" t="s">
        <v>113</v>
      </c>
      <c r="O392" s="6">
        <v>127</v>
      </c>
      <c r="P392" t="s">
        <v>562</v>
      </c>
      <c r="Q392" s="6">
        <v>0</v>
      </c>
      <c r="R392" s="7">
        <f t="shared" si="36"/>
        <v>106</v>
      </c>
      <c r="S392" t="s">
        <v>142</v>
      </c>
      <c r="T392" t="s">
        <v>114</v>
      </c>
      <c r="U392" t="s">
        <v>142</v>
      </c>
      <c r="W392" t="s">
        <v>114</v>
      </c>
      <c r="X392" t="s">
        <v>562</v>
      </c>
      <c r="Z392" t="s">
        <v>3507</v>
      </c>
      <c r="AA392" t="s">
        <v>3508</v>
      </c>
      <c r="AB392" s="1" t="s">
        <v>3509</v>
      </c>
      <c r="AC392" t="s">
        <v>3510</v>
      </c>
      <c r="AD392" t="s">
        <v>3511</v>
      </c>
      <c r="AH392" t="s">
        <v>123</v>
      </c>
      <c r="AI392" t="s">
        <v>124</v>
      </c>
      <c r="AJ392" t="s">
        <v>3512</v>
      </c>
      <c r="AK392" t="s">
        <v>126</v>
      </c>
      <c r="AL392" t="s">
        <v>127</v>
      </c>
      <c r="AN392" t="s">
        <v>3513</v>
      </c>
      <c r="AO392" t="s">
        <v>3514</v>
      </c>
      <c r="AP392" t="s">
        <v>3515</v>
      </c>
      <c r="AQ392" t="s">
        <v>131</v>
      </c>
      <c r="AR392" t="s">
        <v>132</v>
      </c>
      <c r="AS392" t="s">
        <v>152</v>
      </c>
      <c r="AT392" t="s">
        <v>3516</v>
      </c>
      <c r="AV392" t="s">
        <v>918</v>
      </c>
      <c r="AW392" t="s">
        <v>496</v>
      </c>
      <c r="AX392" t="s">
        <v>655</v>
      </c>
      <c r="AY392" t="s">
        <v>177</v>
      </c>
      <c r="AZ392" t="s">
        <v>364</v>
      </c>
      <c r="BA392" t="s">
        <v>3517</v>
      </c>
      <c r="BC392" t="s">
        <v>140</v>
      </c>
      <c r="BT392" s="7">
        <f t="shared" si="37"/>
        <v>106</v>
      </c>
      <c r="BU392" s="6">
        <f t="shared" si="38"/>
        <v>99.065420560747654</v>
      </c>
      <c r="BV392" s="6">
        <f t="shared" si="39"/>
        <v>6.9345794392523361</v>
      </c>
      <c r="BW392" s="6">
        <f t="shared" si="40"/>
        <v>105.99999999999999</v>
      </c>
      <c r="BX392" s="6">
        <f t="shared" si="41"/>
        <v>0</v>
      </c>
    </row>
    <row r="393" spans="1:76" x14ac:dyDescent="0.35">
      <c r="A393" t="s">
        <v>3518</v>
      </c>
      <c r="B393" t="s">
        <v>107</v>
      </c>
      <c r="C393" t="s">
        <v>107</v>
      </c>
      <c r="E393" t="s">
        <v>108</v>
      </c>
      <c r="F393" t="s">
        <v>158</v>
      </c>
      <c r="G393" t="s">
        <v>159</v>
      </c>
      <c r="H393" t="s">
        <v>111</v>
      </c>
      <c r="I393" t="s">
        <v>341</v>
      </c>
      <c r="J393" t="s">
        <v>113</v>
      </c>
      <c r="K393" s="8" t="s">
        <v>114</v>
      </c>
      <c r="L393" t="s">
        <v>161</v>
      </c>
      <c r="M393" s="6">
        <v>459</v>
      </c>
      <c r="N393" t="s">
        <v>994</v>
      </c>
      <c r="O393" s="6">
        <v>220</v>
      </c>
      <c r="P393" t="s">
        <v>1151</v>
      </c>
      <c r="Q393" s="6">
        <v>0</v>
      </c>
      <c r="R393" s="7">
        <f t="shared" si="36"/>
        <v>239</v>
      </c>
      <c r="S393" t="s">
        <v>180</v>
      </c>
      <c r="T393" t="s">
        <v>114</v>
      </c>
      <c r="U393" t="s">
        <v>180</v>
      </c>
      <c r="W393" t="s">
        <v>114</v>
      </c>
      <c r="X393" t="s">
        <v>1151</v>
      </c>
      <c r="Z393" t="s">
        <v>3519</v>
      </c>
      <c r="AA393" t="s">
        <v>3520</v>
      </c>
      <c r="AB393" s="1" t="s">
        <v>3521</v>
      </c>
      <c r="AC393" t="s">
        <v>3522</v>
      </c>
      <c r="AD393" t="s">
        <v>3520</v>
      </c>
      <c r="AH393" t="s">
        <v>123</v>
      </c>
      <c r="AI393" t="s">
        <v>124</v>
      </c>
      <c r="AJ393" t="s">
        <v>3523</v>
      </c>
      <c r="AK393" t="s">
        <v>126</v>
      </c>
      <c r="AL393" t="s">
        <v>127</v>
      </c>
      <c r="AN393" t="s">
        <v>3524</v>
      </c>
      <c r="AO393" t="s">
        <v>3525</v>
      </c>
      <c r="AP393" t="s">
        <v>3526</v>
      </c>
      <c r="AQ393" t="s">
        <v>131</v>
      </c>
      <c r="AR393" t="s">
        <v>132</v>
      </c>
      <c r="AS393" t="s">
        <v>2618</v>
      </c>
      <c r="AT393" t="s">
        <v>2619</v>
      </c>
      <c r="AV393" t="s">
        <v>1821</v>
      </c>
      <c r="AX393" t="s">
        <v>136</v>
      </c>
      <c r="AY393" t="s">
        <v>177</v>
      </c>
      <c r="AZ393" t="s">
        <v>138</v>
      </c>
      <c r="BA393" t="s">
        <v>3527</v>
      </c>
      <c r="BC393" t="s">
        <v>140</v>
      </c>
      <c r="BT393" s="7">
        <f t="shared" si="37"/>
        <v>239</v>
      </c>
      <c r="BU393" s="6">
        <f t="shared" si="38"/>
        <v>223.36448598130841</v>
      </c>
      <c r="BV393" s="6">
        <f t="shared" si="39"/>
        <v>15.635514018691588</v>
      </c>
      <c r="BW393" s="6">
        <f t="shared" si="40"/>
        <v>239</v>
      </c>
      <c r="BX393" s="6">
        <f t="shared" si="41"/>
        <v>0</v>
      </c>
    </row>
    <row r="394" spans="1:76" x14ac:dyDescent="0.35">
      <c r="A394" t="s">
        <v>3518</v>
      </c>
      <c r="B394" t="s">
        <v>107</v>
      </c>
      <c r="C394" t="s">
        <v>107</v>
      </c>
      <c r="E394" t="s">
        <v>108</v>
      </c>
      <c r="F394" t="s">
        <v>268</v>
      </c>
      <c r="G394" t="s">
        <v>269</v>
      </c>
      <c r="H394" t="s">
        <v>2268</v>
      </c>
      <c r="I394" t="s">
        <v>271</v>
      </c>
      <c r="J394" t="s">
        <v>113</v>
      </c>
      <c r="K394" s="8" t="s">
        <v>114</v>
      </c>
      <c r="L394" t="s">
        <v>114</v>
      </c>
      <c r="M394" s="6">
        <v>0</v>
      </c>
      <c r="N394" t="s">
        <v>114</v>
      </c>
      <c r="O394" s="6">
        <v>0</v>
      </c>
      <c r="P394" t="s">
        <v>114</v>
      </c>
      <c r="Q394" s="6">
        <v>0</v>
      </c>
      <c r="R394" s="7">
        <f t="shared" si="36"/>
        <v>0</v>
      </c>
      <c r="S394" t="s">
        <v>180</v>
      </c>
      <c r="T394" t="s">
        <v>114</v>
      </c>
      <c r="U394" t="s">
        <v>180</v>
      </c>
      <c r="W394" t="s">
        <v>114</v>
      </c>
      <c r="X394" t="s">
        <v>1151</v>
      </c>
      <c r="Z394" t="s">
        <v>3519</v>
      </c>
      <c r="AA394" t="s">
        <v>3520</v>
      </c>
      <c r="AB394" s="1" t="s">
        <v>3521</v>
      </c>
      <c r="AC394" t="s">
        <v>3522</v>
      </c>
      <c r="AD394" t="s">
        <v>3520</v>
      </c>
      <c r="AH394" t="s">
        <v>123</v>
      </c>
      <c r="AI394" t="s">
        <v>124</v>
      </c>
      <c r="AJ394" t="s">
        <v>3523</v>
      </c>
      <c r="AK394" t="s">
        <v>126</v>
      </c>
      <c r="AL394" t="s">
        <v>127</v>
      </c>
      <c r="AN394" t="s">
        <v>3524</v>
      </c>
      <c r="AO394" t="s">
        <v>3525</v>
      </c>
      <c r="AP394" t="s">
        <v>3526</v>
      </c>
      <c r="AQ394" t="s">
        <v>131</v>
      </c>
      <c r="AR394" t="s">
        <v>132</v>
      </c>
      <c r="AS394" t="s">
        <v>2618</v>
      </c>
      <c r="AT394" t="s">
        <v>2619</v>
      </c>
      <c r="AV394" t="s">
        <v>1821</v>
      </c>
      <c r="AX394" t="s">
        <v>136</v>
      </c>
      <c r="AY394" t="s">
        <v>272</v>
      </c>
      <c r="AZ394" t="s">
        <v>273</v>
      </c>
      <c r="BA394" t="s">
        <v>3527</v>
      </c>
      <c r="BC394" t="s">
        <v>140</v>
      </c>
      <c r="BT394" s="7">
        <f t="shared" si="37"/>
        <v>0</v>
      </c>
      <c r="BU394" s="6">
        <f t="shared" si="38"/>
        <v>0</v>
      </c>
      <c r="BV394" s="6">
        <f t="shared" si="39"/>
        <v>0</v>
      </c>
      <c r="BW394" s="6">
        <f t="shared" si="40"/>
        <v>0</v>
      </c>
      <c r="BX394" s="6">
        <f t="shared" si="41"/>
        <v>0</v>
      </c>
    </row>
    <row r="395" spans="1:76" x14ac:dyDescent="0.35">
      <c r="A395" t="s">
        <v>3528</v>
      </c>
      <c r="B395" t="s">
        <v>107</v>
      </c>
      <c r="C395" t="s">
        <v>107</v>
      </c>
      <c r="F395" t="s">
        <v>358</v>
      </c>
      <c r="G395" t="s">
        <v>359</v>
      </c>
      <c r="H395" t="s">
        <v>360</v>
      </c>
      <c r="I395" t="s">
        <v>341</v>
      </c>
      <c r="J395" t="s">
        <v>113</v>
      </c>
      <c r="K395" s="8" t="s">
        <v>114</v>
      </c>
      <c r="L395" t="s">
        <v>114</v>
      </c>
      <c r="M395" s="6">
        <v>0</v>
      </c>
      <c r="N395" t="s">
        <v>114</v>
      </c>
      <c r="O395" s="6">
        <v>0</v>
      </c>
      <c r="P395" t="s">
        <v>114</v>
      </c>
      <c r="Q395" s="6">
        <v>0</v>
      </c>
      <c r="R395" s="7">
        <f t="shared" si="36"/>
        <v>0</v>
      </c>
      <c r="S395" t="s">
        <v>114</v>
      </c>
      <c r="T395" t="s">
        <v>114</v>
      </c>
      <c r="U395" t="s">
        <v>114</v>
      </c>
      <c r="W395" t="s">
        <v>114</v>
      </c>
      <c r="X395" t="s">
        <v>114</v>
      </c>
      <c r="Z395" t="s">
        <v>3529</v>
      </c>
      <c r="AA395" t="s">
        <v>3530</v>
      </c>
      <c r="AB395" s="1" t="s">
        <v>3531</v>
      </c>
      <c r="AC395" t="s">
        <v>3532</v>
      </c>
      <c r="AD395" t="s">
        <v>3533</v>
      </c>
      <c r="AH395" t="s">
        <v>123</v>
      </c>
      <c r="AI395" t="s">
        <v>124</v>
      </c>
      <c r="AJ395" t="s">
        <v>3534</v>
      </c>
      <c r="AK395" t="s">
        <v>126</v>
      </c>
      <c r="AL395" t="s">
        <v>127</v>
      </c>
      <c r="AN395" t="s">
        <v>3535</v>
      </c>
      <c r="AO395" t="s">
        <v>3536</v>
      </c>
      <c r="AP395" t="s">
        <v>3537</v>
      </c>
      <c r="AQ395" t="s">
        <v>131</v>
      </c>
      <c r="AR395" t="s">
        <v>132</v>
      </c>
      <c r="AS395" t="s">
        <v>202</v>
      </c>
      <c r="AT395" t="s">
        <v>1489</v>
      </c>
      <c r="AV395" t="s">
        <v>3239</v>
      </c>
      <c r="AW395" t="s">
        <v>481</v>
      </c>
      <c r="AY395" t="s">
        <v>177</v>
      </c>
      <c r="AZ395" t="s">
        <v>364</v>
      </c>
      <c r="BA395" t="s">
        <v>3538</v>
      </c>
      <c r="BC395" t="s">
        <v>140</v>
      </c>
      <c r="BT395" s="7">
        <f t="shared" si="37"/>
        <v>0</v>
      </c>
      <c r="BU395" s="6">
        <f t="shared" si="38"/>
        <v>0</v>
      </c>
      <c r="BV395" s="6">
        <f t="shared" si="39"/>
        <v>0</v>
      </c>
      <c r="BW395" s="6">
        <f t="shared" si="40"/>
        <v>0</v>
      </c>
      <c r="BX395" s="6">
        <f t="shared" si="41"/>
        <v>0</v>
      </c>
    </row>
    <row r="396" spans="1:76" x14ac:dyDescent="0.35">
      <c r="A396" t="s">
        <v>3539</v>
      </c>
      <c r="B396" t="s">
        <v>107</v>
      </c>
      <c r="C396" t="s">
        <v>107</v>
      </c>
      <c r="F396" t="s">
        <v>358</v>
      </c>
      <c r="G396" t="s">
        <v>359</v>
      </c>
      <c r="H396" t="s">
        <v>360</v>
      </c>
      <c r="I396" t="s">
        <v>341</v>
      </c>
      <c r="J396" t="s">
        <v>113</v>
      </c>
      <c r="K396" s="8" t="s">
        <v>114</v>
      </c>
      <c r="L396" t="s">
        <v>114</v>
      </c>
      <c r="M396" s="6">
        <v>0</v>
      </c>
      <c r="N396" t="s">
        <v>114</v>
      </c>
      <c r="O396" s="6">
        <v>0</v>
      </c>
      <c r="P396" t="s">
        <v>114</v>
      </c>
      <c r="Q396" s="6">
        <v>0</v>
      </c>
      <c r="R396" s="7">
        <f t="shared" si="36"/>
        <v>0</v>
      </c>
      <c r="S396" t="s">
        <v>114</v>
      </c>
      <c r="T396" t="s">
        <v>114</v>
      </c>
      <c r="U396" t="s">
        <v>114</v>
      </c>
      <c r="W396" t="s">
        <v>114</v>
      </c>
      <c r="X396" t="s">
        <v>114</v>
      </c>
      <c r="Z396" t="s">
        <v>3540</v>
      </c>
      <c r="AA396" t="s">
        <v>3540</v>
      </c>
      <c r="AB396" s="1" t="s">
        <v>3541</v>
      </c>
      <c r="AC396" t="s">
        <v>3542</v>
      </c>
      <c r="AD396" t="s">
        <v>3543</v>
      </c>
      <c r="AH396" t="s">
        <v>123</v>
      </c>
      <c r="AI396" t="s">
        <v>124</v>
      </c>
      <c r="AJ396" t="s">
        <v>3544</v>
      </c>
      <c r="AK396" t="s">
        <v>126</v>
      </c>
      <c r="AL396" t="s">
        <v>127</v>
      </c>
      <c r="AN396" t="s">
        <v>3545</v>
      </c>
      <c r="AO396" t="s">
        <v>3546</v>
      </c>
      <c r="AP396" t="s">
        <v>3547</v>
      </c>
      <c r="AQ396" t="s">
        <v>131</v>
      </c>
      <c r="AR396" t="s">
        <v>132</v>
      </c>
      <c r="AS396" t="s">
        <v>2076</v>
      </c>
      <c r="AT396" t="s">
        <v>3548</v>
      </c>
      <c r="AV396" t="s">
        <v>219</v>
      </c>
      <c r="AW396" t="s">
        <v>389</v>
      </c>
      <c r="AY396" t="s">
        <v>177</v>
      </c>
      <c r="AZ396" t="s">
        <v>364</v>
      </c>
      <c r="BA396" t="s">
        <v>3549</v>
      </c>
      <c r="BC396" t="s">
        <v>140</v>
      </c>
      <c r="BT396" s="7">
        <f t="shared" si="37"/>
        <v>0</v>
      </c>
      <c r="BU396" s="6">
        <f t="shared" si="38"/>
        <v>0</v>
      </c>
      <c r="BV396" s="6">
        <f t="shared" si="39"/>
        <v>0</v>
      </c>
      <c r="BW396" s="6">
        <f t="shared" si="40"/>
        <v>0</v>
      </c>
      <c r="BX396" s="6">
        <f t="shared" si="41"/>
        <v>0</v>
      </c>
    </row>
    <row r="397" spans="1:76" x14ac:dyDescent="0.35">
      <c r="A397" t="s">
        <v>3550</v>
      </c>
      <c r="B397" t="s">
        <v>107</v>
      </c>
      <c r="C397" t="s">
        <v>107</v>
      </c>
      <c r="F397" t="s">
        <v>358</v>
      </c>
      <c r="G397" t="s">
        <v>359</v>
      </c>
      <c r="H397" t="s">
        <v>360</v>
      </c>
      <c r="I397" t="s">
        <v>341</v>
      </c>
      <c r="J397" t="s">
        <v>113</v>
      </c>
      <c r="K397" s="8" t="s">
        <v>114</v>
      </c>
      <c r="L397" t="s">
        <v>114</v>
      </c>
      <c r="M397" s="6">
        <v>0</v>
      </c>
      <c r="N397" t="s">
        <v>114</v>
      </c>
      <c r="O397" s="6">
        <v>0</v>
      </c>
      <c r="P397" t="s">
        <v>114</v>
      </c>
      <c r="Q397" s="6">
        <v>0</v>
      </c>
      <c r="R397" s="7">
        <f t="shared" si="36"/>
        <v>0</v>
      </c>
      <c r="S397" t="s">
        <v>114</v>
      </c>
      <c r="T397" t="s">
        <v>114</v>
      </c>
      <c r="U397" t="s">
        <v>114</v>
      </c>
      <c r="W397" t="s">
        <v>114</v>
      </c>
      <c r="X397" t="s">
        <v>114</v>
      </c>
      <c r="Z397" t="s">
        <v>3551</v>
      </c>
      <c r="AA397" t="s">
        <v>3551</v>
      </c>
      <c r="AB397" s="1" t="s">
        <v>3552</v>
      </c>
      <c r="AC397" t="s">
        <v>3553</v>
      </c>
      <c r="AD397" t="s">
        <v>3554</v>
      </c>
      <c r="AH397" t="s">
        <v>123</v>
      </c>
      <c r="AI397" t="s">
        <v>124</v>
      </c>
      <c r="AJ397" t="s">
        <v>3555</v>
      </c>
      <c r="AK397" t="s">
        <v>126</v>
      </c>
      <c r="AL397" t="s">
        <v>127</v>
      </c>
      <c r="AN397" t="s">
        <v>3556</v>
      </c>
      <c r="AO397" t="s">
        <v>3557</v>
      </c>
      <c r="AP397" t="s">
        <v>3558</v>
      </c>
      <c r="AQ397" t="s">
        <v>131</v>
      </c>
      <c r="AR397" t="s">
        <v>132</v>
      </c>
      <c r="AS397" t="s">
        <v>448</v>
      </c>
      <c r="AT397" t="s">
        <v>3559</v>
      </c>
      <c r="AV397" t="s">
        <v>1059</v>
      </c>
      <c r="AW397" t="s">
        <v>3560</v>
      </c>
      <c r="AY397" t="s">
        <v>177</v>
      </c>
      <c r="AZ397" t="s">
        <v>364</v>
      </c>
      <c r="BA397" t="s">
        <v>3561</v>
      </c>
      <c r="BC397" t="s">
        <v>140</v>
      </c>
      <c r="BT397" s="7">
        <f t="shared" si="37"/>
        <v>0</v>
      </c>
      <c r="BU397" s="6">
        <f t="shared" si="38"/>
        <v>0</v>
      </c>
      <c r="BV397" s="6">
        <f t="shared" si="39"/>
        <v>0</v>
      </c>
      <c r="BW397" s="6">
        <f t="shared" si="40"/>
        <v>0</v>
      </c>
      <c r="BX397" s="6">
        <f t="shared" si="41"/>
        <v>0</v>
      </c>
    </row>
    <row r="398" spans="1:76" x14ac:dyDescent="0.35">
      <c r="A398" t="s">
        <v>3562</v>
      </c>
      <c r="B398" t="s">
        <v>107</v>
      </c>
      <c r="C398" t="s">
        <v>107</v>
      </c>
      <c r="E398" t="s">
        <v>108</v>
      </c>
      <c r="F398" t="s">
        <v>158</v>
      </c>
      <c r="G398" t="s">
        <v>159</v>
      </c>
      <c r="H398" t="s">
        <v>111</v>
      </c>
      <c r="I398" t="s">
        <v>341</v>
      </c>
      <c r="J398" t="s">
        <v>113</v>
      </c>
      <c r="K398" s="8" t="s">
        <v>114</v>
      </c>
      <c r="L398" t="s">
        <v>161</v>
      </c>
      <c r="M398" s="6">
        <v>459</v>
      </c>
      <c r="N398" t="s">
        <v>979</v>
      </c>
      <c r="O398" s="6">
        <v>220</v>
      </c>
      <c r="P398" t="s">
        <v>3563</v>
      </c>
      <c r="Q398" s="6">
        <v>0</v>
      </c>
      <c r="R398" s="7">
        <f t="shared" si="36"/>
        <v>239</v>
      </c>
      <c r="S398" t="s">
        <v>180</v>
      </c>
      <c r="T398" t="s">
        <v>114</v>
      </c>
      <c r="U398" t="s">
        <v>180</v>
      </c>
      <c r="W398" t="s">
        <v>114</v>
      </c>
      <c r="X398" t="s">
        <v>3563</v>
      </c>
      <c r="Z398" t="s">
        <v>3564</v>
      </c>
      <c r="AA398" t="s">
        <v>3565</v>
      </c>
      <c r="AB398" s="1" t="s">
        <v>3566</v>
      </c>
      <c r="AC398" t="s">
        <v>3567</v>
      </c>
      <c r="AD398" t="s">
        <v>3565</v>
      </c>
      <c r="AH398" t="s">
        <v>123</v>
      </c>
      <c r="AI398" t="s">
        <v>124</v>
      </c>
      <c r="AJ398" t="s">
        <v>3568</v>
      </c>
      <c r="AK398" t="s">
        <v>126</v>
      </c>
      <c r="AL398" t="s">
        <v>127</v>
      </c>
      <c r="AN398" t="s">
        <v>3569</v>
      </c>
      <c r="AO398" t="s">
        <v>3570</v>
      </c>
      <c r="AP398" t="s">
        <v>3571</v>
      </c>
      <c r="AQ398" t="s">
        <v>131</v>
      </c>
      <c r="AR398" t="s">
        <v>132</v>
      </c>
      <c r="AS398" t="s">
        <v>756</v>
      </c>
      <c r="AT398" t="s">
        <v>1832</v>
      </c>
      <c r="AV398" t="s">
        <v>610</v>
      </c>
      <c r="AX398" t="s">
        <v>136</v>
      </c>
      <c r="AY398" t="s">
        <v>177</v>
      </c>
      <c r="AZ398" t="s">
        <v>138</v>
      </c>
      <c r="BA398" t="s">
        <v>3572</v>
      </c>
      <c r="BC398" t="s">
        <v>140</v>
      </c>
      <c r="BT398" s="7">
        <f t="shared" si="37"/>
        <v>239</v>
      </c>
      <c r="BU398" s="6">
        <f t="shared" si="38"/>
        <v>223.36448598130841</v>
      </c>
      <c r="BV398" s="6">
        <f t="shared" si="39"/>
        <v>15.635514018691588</v>
      </c>
      <c r="BW398" s="6">
        <f t="shared" si="40"/>
        <v>239</v>
      </c>
      <c r="BX398" s="6">
        <f t="shared" si="41"/>
        <v>0</v>
      </c>
    </row>
    <row r="399" spans="1:76" x14ac:dyDescent="0.35">
      <c r="A399" t="s">
        <v>3562</v>
      </c>
      <c r="B399" t="s">
        <v>107</v>
      </c>
      <c r="C399" t="s">
        <v>107</v>
      </c>
      <c r="E399" t="s">
        <v>108</v>
      </c>
      <c r="F399" t="s">
        <v>268</v>
      </c>
      <c r="G399" t="s">
        <v>269</v>
      </c>
      <c r="H399" t="s">
        <v>2268</v>
      </c>
      <c r="I399" t="s">
        <v>271</v>
      </c>
      <c r="J399" t="s">
        <v>113</v>
      </c>
      <c r="K399" s="8" t="s">
        <v>114</v>
      </c>
      <c r="L399" t="s">
        <v>114</v>
      </c>
      <c r="M399" s="6">
        <v>0</v>
      </c>
      <c r="N399" t="s">
        <v>114</v>
      </c>
      <c r="O399" s="6">
        <v>0</v>
      </c>
      <c r="P399" t="s">
        <v>114</v>
      </c>
      <c r="Q399" s="6">
        <v>0</v>
      </c>
      <c r="R399" s="7">
        <f t="shared" si="36"/>
        <v>0</v>
      </c>
      <c r="S399" t="s">
        <v>180</v>
      </c>
      <c r="T399" t="s">
        <v>114</v>
      </c>
      <c r="U399" t="s">
        <v>180</v>
      </c>
      <c r="W399" t="s">
        <v>114</v>
      </c>
      <c r="X399" t="s">
        <v>3563</v>
      </c>
      <c r="Z399" t="s">
        <v>3564</v>
      </c>
      <c r="AA399" t="s">
        <v>3565</v>
      </c>
      <c r="AB399" s="1" t="s">
        <v>3566</v>
      </c>
      <c r="AC399" t="s">
        <v>3567</v>
      </c>
      <c r="AD399" t="s">
        <v>3565</v>
      </c>
      <c r="AH399" t="s">
        <v>123</v>
      </c>
      <c r="AI399" t="s">
        <v>124</v>
      </c>
      <c r="AJ399" t="s">
        <v>3568</v>
      </c>
      <c r="AK399" t="s">
        <v>126</v>
      </c>
      <c r="AL399" t="s">
        <v>127</v>
      </c>
      <c r="AN399" t="s">
        <v>3569</v>
      </c>
      <c r="AO399" t="s">
        <v>3570</v>
      </c>
      <c r="AP399" t="s">
        <v>3571</v>
      </c>
      <c r="AQ399" t="s">
        <v>131</v>
      </c>
      <c r="AR399" t="s">
        <v>132</v>
      </c>
      <c r="AS399" t="s">
        <v>756</v>
      </c>
      <c r="AT399" t="s">
        <v>1832</v>
      </c>
      <c r="AV399" t="s">
        <v>610</v>
      </c>
      <c r="AX399" t="s">
        <v>136</v>
      </c>
      <c r="AY399" t="s">
        <v>272</v>
      </c>
      <c r="AZ399" t="s">
        <v>273</v>
      </c>
      <c r="BA399" t="s">
        <v>3572</v>
      </c>
      <c r="BC399" t="s">
        <v>140</v>
      </c>
      <c r="BT399" s="7">
        <f t="shared" si="37"/>
        <v>0</v>
      </c>
      <c r="BU399" s="6">
        <f t="shared" si="38"/>
        <v>0</v>
      </c>
      <c r="BV399" s="6">
        <f t="shared" si="39"/>
        <v>0</v>
      </c>
      <c r="BW399" s="6">
        <f t="shared" si="40"/>
        <v>0</v>
      </c>
      <c r="BX399" s="6">
        <f t="shared" si="41"/>
        <v>0</v>
      </c>
    </row>
    <row r="400" spans="1:76" x14ac:dyDescent="0.35">
      <c r="A400" t="s">
        <v>3573</v>
      </c>
      <c r="B400" t="s">
        <v>107</v>
      </c>
      <c r="C400" t="s">
        <v>107</v>
      </c>
      <c r="F400" t="s">
        <v>358</v>
      </c>
      <c r="G400" t="s">
        <v>359</v>
      </c>
      <c r="H400" t="s">
        <v>360</v>
      </c>
      <c r="I400" t="s">
        <v>341</v>
      </c>
      <c r="J400" t="s">
        <v>113</v>
      </c>
      <c r="K400" s="8" t="s">
        <v>114</v>
      </c>
      <c r="L400" t="s">
        <v>114</v>
      </c>
      <c r="M400" s="6">
        <v>0</v>
      </c>
      <c r="N400" t="s">
        <v>114</v>
      </c>
      <c r="O400" s="6">
        <v>0</v>
      </c>
      <c r="P400" t="s">
        <v>114</v>
      </c>
      <c r="Q400" s="6">
        <v>0</v>
      </c>
      <c r="R400" s="7">
        <f t="shared" si="36"/>
        <v>0</v>
      </c>
      <c r="S400" t="s">
        <v>114</v>
      </c>
      <c r="T400" t="s">
        <v>114</v>
      </c>
      <c r="U400" t="s">
        <v>114</v>
      </c>
      <c r="W400" t="s">
        <v>114</v>
      </c>
      <c r="X400" t="s">
        <v>114</v>
      </c>
      <c r="Z400" t="s">
        <v>3574</v>
      </c>
      <c r="AA400" t="s">
        <v>3574</v>
      </c>
      <c r="AB400" s="1" t="s">
        <v>3575</v>
      </c>
      <c r="AC400" t="s">
        <v>3576</v>
      </c>
      <c r="AD400" t="s">
        <v>3577</v>
      </c>
      <c r="AH400" t="s">
        <v>123</v>
      </c>
      <c r="AI400" t="s">
        <v>124</v>
      </c>
      <c r="AJ400" t="s">
        <v>3578</v>
      </c>
      <c r="AK400" t="s">
        <v>126</v>
      </c>
      <c r="AL400" t="s">
        <v>127</v>
      </c>
      <c r="AN400" t="s">
        <v>3579</v>
      </c>
      <c r="AO400" t="s">
        <v>3580</v>
      </c>
      <c r="AP400" t="s">
        <v>3581</v>
      </c>
      <c r="AQ400" t="s">
        <v>131</v>
      </c>
      <c r="AR400" t="s">
        <v>132</v>
      </c>
      <c r="AS400" t="s">
        <v>352</v>
      </c>
      <c r="AT400" t="s">
        <v>667</v>
      </c>
      <c r="AV400" t="s">
        <v>773</v>
      </c>
      <c r="AW400" t="s">
        <v>585</v>
      </c>
      <c r="AY400" t="s">
        <v>177</v>
      </c>
      <c r="AZ400" t="s">
        <v>364</v>
      </c>
      <c r="BA400" t="s">
        <v>3582</v>
      </c>
      <c r="BC400" t="s">
        <v>140</v>
      </c>
      <c r="BT400" s="7">
        <f t="shared" si="37"/>
        <v>0</v>
      </c>
      <c r="BU400" s="6">
        <f t="shared" si="38"/>
        <v>0</v>
      </c>
      <c r="BV400" s="6">
        <f t="shared" si="39"/>
        <v>0</v>
      </c>
      <c r="BW400" s="6">
        <f t="shared" si="40"/>
        <v>0</v>
      </c>
      <c r="BX400" s="6">
        <f t="shared" si="41"/>
        <v>0</v>
      </c>
    </row>
    <row r="401" spans="1:76" x14ac:dyDescent="0.35">
      <c r="A401" t="s">
        <v>3583</v>
      </c>
      <c r="B401" t="s">
        <v>107</v>
      </c>
      <c r="C401" t="s">
        <v>107</v>
      </c>
      <c r="E401" t="s">
        <v>108</v>
      </c>
      <c r="F401" t="s">
        <v>358</v>
      </c>
      <c r="G401" t="s">
        <v>359</v>
      </c>
      <c r="H401" t="s">
        <v>360</v>
      </c>
      <c r="I401" t="s">
        <v>341</v>
      </c>
      <c r="J401" t="s">
        <v>113</v>
      </c>
      <c r="K401" s="8" t="s">
        <v>114</v>
      </c>
      <c r="L401" t="s">
        <v>361</v>
      </c>
      <c r="M401" s="6">
        <v>233</v>
      </c>
      <c r="N401" t="s">
        <v>113</v>
      </c>
      <c r="O401" s="6">
        <v>127</v>
      </c>
      <c r="P401" t="s">
        <v>562</v>
      </c>
      <c r="Q401" s="6">
        <v>0</v>
      </c>
      <c r="R401" s="7">
        <f t="shared" si="36"/>
        <v>106</v>
      </c>
      <c r="S401" t="s">
        <v>180</v>
      </c>
      <c r="T401" t="s">
        <v>114</v>
      </c>
      <c r="U401" t="s">
        <v>180</v>
      </c>
      <c r="W401" t="s">
        <v>114</v>
      </c>
      <c r="X401" t="s">
        <v>562</v>
      </c>
      <c r="Z401" t="s">
        <v>3584</v>
      </c>
      <c r="AA401" t="s">
        <v>3585</v>
      </c>
      <c r="AB401" s="1" t="s">
        <v>3586</v>
      </c>
      <c r="AC401" t="s">
        <v>3587</v>
      </c>
      <c r="AD401" t="s">
        <v>3585</v>
      </c>
      <c r="AH401" t="s">
        <v>123</v>
      </c>
      <c r="AI401" t="s">
        <v>124</v>
      </c>
      <c r="AJ401" t="s">
        <v>3588</v>
      </c>
      <c r="AK401" t="s">
        <v>126</v>
      </c>
      <c r="AL401" t="s">
        <v>127</v>
      </c>
      <c r="AN401" t="s">
        <v>3589</v>
      </c>
      <c r="AO401" t="s">
        <v>3590</v>
      </c>
      <c r="AP401" t="s">
        <v>3591</v>
      </c>
      <c r="AQ401" t="s">
        <v>131</v>
      </c>
      <c r="AR401" t="s">
        <v>132</v>
      </c>
      <c r="AS401" t="s">
        <v>284</v>
      </c>
      <c r="AT401" t="s">
        <v>3592</v>
      </c>
      <c r="AV401" t="s">
        <v>1896</v>
      </c>
      <c r="AX401" t="s">
        <v>136</v>
      </c>
      <c r="AY401" t="s">
        <v>177</v>
      </c>
      <c r="AZ401" t="s">
        <v>364</v>
      </c>
      <c r="BA401" t="s">
        <v>3593</v>
      </c>
      <c r="BC401" t="s">
        <v>140</v>
      </c>
      <c r="BT401" s="7">
        <f t="shared" si="37"/>
        <v>106</v>
      </c>
      <c r="BU401" s="6">
        <f t="shared" si="38"/>
        <v>99.065420560747654</v>
      </c>
      <c r="BV401" s="6">
        <f t="shared" si="39"/>
        <v>6.9345794392523361</v>
      </c>
      <c r="BW401" s="6">
        <f t="shared" si="40"/>
        <v>105.99999999999999</v>
      </c>
      <c r="BX401" s="6">
        <f t="shared" si="41"/>
        <v>0</v>
      </c>
    </row>
    <row r="402" spans="1:76" x14ac:dyDescent="0.35">
      <c r="A402" t="s">
        <v>3583</v>
      </c>
      <c r="B402" t="s">
        <v>107</v>
      </c>
      <c r="C402" t="s">
        <v>107</v>
      </c>
      <c r="E402" t="s">
        <v>108</v>
      </c>
      <c r="F402" t="s">
        <v>338</v>
      </c>
      <c r="G402" t="s">
        <v>339</v>
      </c>
      <c r="H402" t="s">
        <v>340</v>
      </c>
      <c r="I402" t="s">
        <v>341</v>
      </c>
      <c r="J402" t="s">
        <v>113</v>
      </c>
      <c r="K402" s="8" t="s">
        <v>114</v>
      </c>
      <c r="L402" t="s">
        <v>114</v>
      </c>
      <c r="M402" s="6">
        <v>0</v>
      </c>
      <c r="N402" t="s">
        <v>114</v>
      </c>
      <c r="O402" s="6">
        <v>0</v>
      </c>
      <c r="P402" t="s">
        <v>114</v>
      </c>
      <c r="Q402" s="6">
        <v>0</v>
      </c>
      <c r="R402" s="7">
        <f t="shared" si="36"/>
        <v>0</v>
      </c>
      <c r="S402" t="s">
        <v>180</v>
      </c>
      <c r="T402" t="s">
        <v>114</v>
      </c>
      <c r="U402" t="s">
        <v>180</v>
      </c>
      <c r="W402" t="s">
        <v>114</v>
      </c>
      <c r="X402" t="s">
        <v>562</v>
      </c>
      <c r="Z402" t="s">
        <v>3584</v>
      </c>
      <c r="AA402" t="s">
        <v>3585</v>
      </c>
      <c r="AB402" s="1" t="s">
        <v>3586</v>
      </c>
      <c r="AC402" t="s">
        <v>3587</v>
      </c>
      <c r="AD402" t="s">
        <v>3585</v>
      </c>
      <c r="AH402" t="s">
        <v>123</v>
      </c>
      <c r="AI402" t="s">
        <v>124</v>
      </c>
      <c r="AJ402" t="s">
        <v>3588</v>
      </c>
      <c r="AK402" t="s">
        <v>126</v>
      </c>
      <c r="AL402" t="s">
        <v>127</v>
      </c>
      <c r="AN402" t="s">
        <v>3589</v>
      </c>
      <c r="AO402" t="s">
        <v>3590</v>
      </c>
      <c r="AP402" t="s">
        <v>3591</v>
      </c>
      <c r="AQ402" t="s">
        <v>131</v>
      </c>
      <c r="AR402" t="s">
        <v>132</v>
      </c>
      <c r="AS402" t="s">
        <v>284</v>
      </c>
      <c r="AT402" t="s">
        <v>3592</v>
      </c>
      <c r="AV402" t="s">
        <v>1896</v>
      </c>
      <c r="AX402" t="s">
        <v>136</v>
      </c>
      <c r="AY402" t="s">
        <v>177</v>
      </c>
      <c r="AZ402" t="s">
        <v>356</v>
      </c>
      <c r="BA402" t="s">
        <v>3593</v>
      </c>
      <c r="BC402" t="s">
        <v>140</v>
      </c>
      <c r="BT402" s="7">
        <f t="shared" si="37"/>
        <v>0</v>
      </c>
      <c r="BU402" s="6">
        <f t="shared" si="38"/>
        <v>0</v>
      </c>
      <c r="BV402" s="6">
        <f t="shared" si="39"/>
        <v>0</v>
      </c>
      <c r="BW402" s="6">
        <f t="shared" si="40"/>
        <v>0</v>
      </c>
      <c r="BX402" s="6">
        <f t="shared" si="41"/>
        <v>0</v>
      </c>
    </row>
    <row r="403" spans="1:76" x14ac:dyDescent="0.35">
      <c r="A403" t="s">
        <v>3594</v>
      </c>
      <c r="B403" t="s">
        <v>107</v>
      </c>
      <c r="C403" t="s">
        <v>107</v>
      </c>
      <c r="E403" t="s">
        <v>108</v>
      </c>
      <c r="F403" t="s">
        <v>158</v>
      </c>
      <c r="G403" t="s">
        <v>159</v>
      </c>
      <c r="H403" t="s">
        <v>111</v>
      </c>
      <c r="I403" t="s">
        <v>341</v>
      </c>
      <c r="J403" t="s">
        <v>113</v>
      </c>
      <c r="K403" s="8" t="s">
        <v>114</v>
      </c>
      <c r="L403" t="s">
        <v>161</v>
      </c>
      <c r="M403" s="6">
        <v>459</v>
      </c>
      <c r="N403" t="s">
        <v>3595</v>
      </c>
      <c r="O403" s="6">
        <v>220</v>
      </c>
      <c r="P403" t="s">
        <v>3596</v>
      </c>
      <c r="Q403" s="6">
        <v>0</v>
      </c>
      <c r="R403" s="7">
        <f t="shared" si="36"/>
        <v>239</v>
      </c>
      <c r="S403" t="s">
        <v>180</v>
      </c>
      <c r="T403" t="s">
        <v>114</v>
      </c>
      <c r="U403" t="s">
        <v>180</v>
      </c>
      <c r="W403" t="s">
        <v>114</v>
      </c>
      <c r="X403" t="s">
        <v>3596</v>
      </c>
      <c r="Z403" t="s">
        <v>3597</v>
      </c>
      <c r="AA403" t="s">
        <v>3598</v>
      </c>
      <c r="AB403" s="1" t="s">
        <v>3599</v>
      </c>
      <c r="AC403" t="s">
        <v>3600</v>
      </c>
      <c r="AD403" t="s">
        <v>3598</v>
      </c>
      <c r="AH403" t="s">
        <v>123</v>
      </c>
      <c r="AI403" t="s">
        <v>124</v>
      </c>
      <c r="AJ403" t="s">
        <v>3601</v>
      </c>
      <c r="AK403" t="s">
        <v>126</v>
      </c>
      <c r="AL403" t="s">
        <v>127</v>
      </c>
      <c r="AN403" t="s">
        <v>3602</v>
      </c>
      <c r="AO403" t="s">
        <v>3603</v>
      </c>
      <c r="AP403" t="s">
        <v>3604</v>
      </c>
      <c r="AQ403" t="s">
        <v>131</v>
      </c>
      <c r="AR403" t="s">
        <v>132</v>
      </c>
      <c r="AS403" t="s">
        <v>1056</v>
      </c>
      <c r="AT403" t="s">
        <v>3605</v>
      </c>
      <c r="AV403" t="s">
        <v>3361</v>
      </c>
      <c r="AX403" t="s">
        <v>136</v>
      </c>
      <c r="AY403" t="s">
        <v>177</v>
      </c>
      <c r="AZ403" t="s">
        <v>138</v>
      </c>
      <c r="BA403" t="s">
        <v>3606</v>
      </c>
      <c r="BC403" t="s">
        <v>140</v>
      </c>
      <c r="BT403" s="7">
        <f t="shared" si="37"/>
        <v>239</v>
      </c>
      <c r="BU403" s="6">
        <f t="shared" si="38"/>
        <v>223.36448598130841</v>
      </c>
      <c r="BV403" s="6">
        <f t="shared" si="39"/>
        <v>15.635514018691588</v>
      </c>
      <c r="BW403" s="6">
        <f t="shared" si="40"/>
        <v>239</v>
      </c>
      <c r="BX403" s="6">
        <f t="shared" si="41"/>
        <v>0</v>
      </c>
    </row>
    <row r="404" spans="1:76" x14ac:dyDescent="0.35">
      <c r="A404" t="s">
        <v>3594</v>
      </c>
      <c r="B404" t="s">
        <v>107</v>
      </c>
      <c r="C404" t="s">
        <v>107</v>
      </c>
      <c r="E404" t="s">
        <v>108</v>
      </c>
      <c r="F404" t="s">
        <v>268</v>
      </c>
      <c r="G404" t="s">
        <v>269</v>
      </c>
      <c r="H404" t="s">
        <v>2268</v>
      </c>
      <c r="I404" t="s">
        <v>271</v>
      </c>
      <c r="J404" t="s">
        <v>113</v>
      </c>
      <c r="K404" s="8" t="s">
        <v>114</v>
      </c>
      <c r="L404" t="s">
        <v>114</v>
      </c>
      <c r="M404" s="6">
        <v>0</v>
      </c>
      <c r="N404" t="s">
        <v>114</v>
      </c>
      <c r="O404" s="6">
        <v>0</v>
      </c>
      <c r="P404" t="s">
        <v>114</v>
      </c>
      <c r="Q404" s="6">
        <v>0</v>
      </c>
      <c r="R404" s="7">
        <f t="shared" si="36"/>
        <v>0</v>
      </c>
      <c r="S404" t="s">
        <v>180</v>
      </c>
      <c r="T404" t="s">
        <v>114</v>
      </c>
      <c r="U404" t="s">
        <v>180</v>
      </c>
      <c r="W404" t="s">
        <v>114</v>
      </c>
      <c r="X404" t="s">
        <v>3596</v>
      </c>
      <c r="Z404" t="s">
        <v>3597</v>
      </c>
      <c r="AA404" t="s">
        <v>3598</v>
      </c>
      <c r="AB404" s="1" t="s">
        <v>3599</v>
      </c>
      <c r="AC404" t="s">
        <v>3600</v>
      </c>
      <c r="AD404" t="s">
        <v>3598</v>
      </c>
      <c r="AH404" t="s">
        <v>123</v>
      </c>
      <c r="AI404" t="s">
        <v>124</v>
      </c>
      <c r="AJ404" t="s">
        <v>3601</v>
      </c>
      <c r="AK404" t="s">
        <v>126</v>
      </c>
      <c r="AL404" t="s">
        <v>127</v>
      </c>
      <c r="AN404" t="s">
        <v>3602</v>
      </c>
      <c r="AO404" t="s">
        <v>3603</v>
      </c>
      <c r="AP404" t="s">
        <v>3604</v>
      </c>
      <c r="AQ404" t="s">
        <v>131</v>
      </c>
      <c r="AR404" t="s">
        <v>132</v>
      </c>
      <c r="AS404" t="s">
        <v>1056</v>
      </c>
      <c r="AT404" t="s">
        <v>3605</v>
      </c>
      <c r="AV404" t="s">
        <v>3361</v>
      </c>
      <c r="AX404" t="s">
        <v>136</v>
      </c>
      <c r="AY404" t="s">
        <v>272</v>
      </c>
      <c r="AZ404" t="s">
        <v>273</v>
      </c>
      <c r="BA404" t="s">
        <v>3606</v>
      </c>
      <c r="BC404" t="s">
        <v>140</v>
      </c>
      <c r="BT404" s="7">
        <f t="shared" si="37"/>
        <v>0</v>
      </c>
      <c r="BU404" s="6">
        <f t="shared" si="38"/>
        <v>0</v>
      </c>
      <c r="BV404" s="6">
        <f t="shared" si="39"/>
        <v>0</v>
      </c>
      <c r="BW404" s="6">
        <f t="shared" si="40"/>
        <v>0</v>
      </c>
      <c r="BX404" s="6">
        <f t="shared" si="41"/>
        <v>0</v>
      </c>
    </row>
    <row r="405" spans="1:76" x14ac:dyDescent="0.35">
      <c r="A405" t="s">
        <v>3607</v>
      </c>
      <c r="B405" t="s">
        <v>107</v>
      </c>
      <c r="C405" t="s">
        <v>107</v>
      </c>
      <c r="E405" t="s">
        <v>108</v>
      </c>
      <c r="F405" t="s">
        <v>499</v>
      </c>
      <c r="G405" t="s">
        <v>500</v>
      </c>
      <c r="H405" t="s">
        <v>501</v>
      </c>
      <c r="I405" t="s">
        <v>341</v>
      </c>
      <c r="J405" t="s">
        <v>113</v>
      </c>
      <c r="K405" s="8" t="s">
        <v>114</v>
      </c>
      <c r="L405" t="s">
        <v>502</v>
      </c>
      <c r="M405" s="6">
        <v>348</v>
      </c>
      <c r="N405" t="s">
        <v>113</v>
      </c>
      <c r="O405" s="6">
        <v>209</v>
      </c>
      <c r="P405" t="s">
        <v>3608</v>
      </c>
      <c r="Q405" s="6">
        <v>0</v>
      </c>
      <c r="R405" s="7">
        <f t="shared" si="36"/>
        <v>139</v>
      </c>
      <c r="S405" t="s">
        <v>180</v>
      </c>
      <c r="T405" t="s">
        <v>114</v>
      </c>
      <c r="U405" t="s">
        <v>180</v>
      </c>
      <c r="V405" t="s">
        <v>3609</v>
      </c>
      <c r="W405" t="s">
        <v>114</v>
      </c>
      <c r="X405" t="s">
        <v>3610</v>
      </c>
      <c r="Z405" t="s">
        <v>3611</v>
      </c>
      <c r="AA405" t="s">
        <v>3612</v>
      </c>
      <c r="AB405" s="1" t="s">
        <v>3613</v>
      </c>
      <c r="AC405" t="s">
        <v>3614</v>
      </c>
      <c r="AD405" t="s">
        <v>3615</v>
      </c>
      <c r="AH405" t="s">
        <v>123</v>
      </c>
      <c r="AI405" t="s">
        <v>124</v>
      </c>
      <c r="AJ405" t="s">
        <v>3616</v>
      </c>
      <c r="AK405" t="s">
        <v>126</v>
      </c>
      <c r="AL405" t="s">
        <v>127</v>
      </c>
      <c r="AN405" t="s">
        <v>3617</v>
      </c>
      <c r="AO405" t="s">
        <v>3618</v>
      </c>
      <c r="AP405" t="s">
        <v>3619</v>
      </c>
      <c r="AQ405" t="s">
        <v>131</v>
      </c>
      <c r="AR405" t="s">
        <v>132</v>
      </c>
      <c r="AS405" t="s">
        <v>3271</v>
      </c>
      <c r="AT405" t="s">
        <v>3272</v>
      </c>
      <c r="AV405" t="s">
        <v>495</v>
      </c>
      <c r="AW405" t="s">
        <v>668</v>
      </c>
      <c r="AX405" t="s">
        <v>655</v>
      </c>
      <c r="AY405" t="s">
        <v>177</v>
      </c>
      <c r="AZ405" t="s">
        <v>517</v>
      </c>
      <c r="BA405" t="s">
        <v>3620</v>
      </c>
      <c r="BC405" t="s">
        <v>140</v>
      </c>
      <c r="BT405" s="7">
        <f t="shared" si="37"/>
        <v>139</v>
      </c>
      <c r="BU405" s="6">
        <f t="shared" si="38"/>
        <v>129.90654205607476</v>
      </c>
      <c r="BV405" s="6">
        <f t="shared" si="39"/>
        <v>9.0934579439252339</v>
      </c>
      <c r="BW405" s="6">
        <f t="shared" si="40"/>
        <v>139</v>
      </c>
      <c r="BX405" s="6">
        <f t="shared" si="41"/>
        <v>0</v>
      </c>
    </row>
    <row r="406" spans="1:76" x14ac:dyDescent="0.35">
      <c r="A406" t="s">
        <v>3621</v>
      </c>
      <c r="B406" t="s">
        <v>107</v>
      </c>
      <c r="C406" t="s">
        <v>107</v>
      </c>
      <c r="F406" t="s">
        <v>358</v>
      </c>
      <c r="G406" t="s">
        <v>359</v>
      </c>
      <c r="H406" t="s">
        <v>360</v>
      </c>
      <c r="I406" t="s">
        <v>341</v>
      </c>
      <c r="J406" t="s">
        <v>113</v>
      </c>
      <c r="K406" s="8" t="s">
        <v>114</v>
      </c>
      <c r="L406" t="s">
        <v>114</v>
      </c>
      <c r="M406" s="6">
        <v>0</v>
      </c>
      <c r="N406" t="s">
        <v>114</v>
      </c>
      <c r="O406" s="6">
        <v>0</v>
      </c>
      <c r="P406" t="s">
        <v>114</v>
      </c>
      <c r="Q406" s="6">
        <v>0</v>
      </c>
      <c r="R406" s="7">
        <f t="shared" si="36"/>
        <v>0</v>
      </c>
      <c r="S406" t="s">
        <v>114</v>
      </c>
      <c r="T406" t="s">
        <v>114</v>
      </c>
      <c r="U406" t="s">
        <v>114</v>
      </c>
      <c r="W406" t="s">
        <v>114</v>
      </c>
      <c r="X406" t="s">
        <v>114</v>
      </c>
      <c r="Z406" t="s">
        <v>3622</v>
      </c>
      <c r="AA406" t="s">
        <v>3622</v>
      </c>
      <c r="AB406" s="1" t="s">
        <v>3623</v>
      </c>
      <c r="AC406" t="s">
        <v>3624</v>
      </c>
      <c r="AD406" t="s">
        <v>3625</v>
      </c>
      <c r="AH406" t="s">
        <v>123</v>
      </c>
      <c r="AI406" t="s">
        <v>124</v>
      </c>
      <c r="AJ406" t="s">
        <v>3626</v>
      </c>
      <c r="AK406" t="s">
        <v>126</v>
      </c>
      <c r="AL406" t="s">
        <v>127</v>
      </c>
      <c r="AN406" t="s">
        <v>3627</v>
      </c>
      <c r="AO406" t="s">
        <v>3536</v>
      </c>
      <c r="AP406" t="s">
        <v>3628</v>
      </c>
      <c r="AQ406" t="s">
        <v>131</v>
      </c>
      <c r="AR406" t="s">
        <v>132</v>
      </c>
      <c r="AS406" t="s">
        <v>152</v>
      </c>
      <c r="AT406" t="s">
        <v>3629</v>
      </c>
      <c r="AV406" t="s">
        <v>1703</v>
      </c>
      <c r="AY406" t="s">
        <v>177</v>
      </c>
      <c r="AZ406" t="s">
        <v>364</v>
      </c>
      <c r="BA406" t="s">
        <v>3630</v>
      </c>
      <c r="BC406" t="s">
        <v>140</v>
      </c>
      <c r="BT406" s="7">
        <f t="shared" si="37"/>
        <v>0</v>
      </c>
      <c r="BU406" s="6">
        <f t="shared" si="38"/>
        <v>0</v>
      </c>
      <c r="BV406" s="6">
        <f t="shared" si="39"/>
        <v>0</v>
      </c>
      <c r="BW406" s="6">
        <f t="shared" si="40"/>
        <v>0</v>
      </c>
      <c r="BX406" s="6">
        <f t="shared" si="41"/>
        <v>0</v>
      </c>
    </row>
    <row r="407" spans="1:76" x14ac:dyDescent="0.35">
      <c r="A407" t="s">
        <v>3631</v>
      </c>
      <c r="B407" t="s">
        <v>107</v>
      </c>
      <c r="C407" t="s">
        <v>107</v>
      </c>
      <c r="F407" t="s">
        <v>533</v>
      </c>
      <c r="G407" t="s">
        <v>534</v>
      </c>
      <c r="H407" t="s">
        <v>2360</v>
      </c>
      <c r="I407" t="s">
        <v>536</v>
      </c>
      <c r="J407" t="s">
        <v>113</v>
      </c>
      <c r="K407" s="8" t="s">
        <v>114</v>
      </c>
      <c r="L407" t="s">
        <v>114</v>
      </c>
      <c r="M407" s="6">
        <v>0</v>
      </c>
      <c r="N407" t="s">
        <v>114</v>
      </c>
      <c r="O407" s="6">
        <v>0</v>
      </c>
      <c r="P407" t="s">
        <v>114</v>
      </c>
      <c r="Q407" s="6">
        <v>0</v>
      </c>
      <c r="R407" s="7">
        <f t="shared" si="36"/>
        <v>0</v>
      </c>
      <c r="S407" t="s">
        <v>114</v>
      </c>
      <c r="T407" t="s">
        <v>114</v>
      </c>
      <c r="U407" t="s">
        <v>114</v>
      </c>
      <c r="W407" t="s">
        <v>114</v>
      </c>
      <c r="X407" t="s">
        <v>114</v>
      </c>
      <c r="Z407" t="s">
        <v>3632</v>
      </c>
      <c r="AA407" t="s">
        <v>3632</v>
      </c>
      <c r="AB407" s="1" t="s">
        <v>3633</v>
      </c>
      <c r="AC407" t="s">
        <v>3634</v>
      </c>
      <c r="AD407" t="s">
        <v>3635</v>
      </c>
      <c r="AH407" t="s">
        <v>123</v>
      </c>
      <c r="AI407" t="s">
        <v>124</v>
      </c>
      <c r="AJ407" t="s">
        <v>3636</v>
      </c>
      <c r="AK407" t="s">
        <v>126</v>
      </c>
      <c r="AL407" t="s">
        <v>127</v>
      </c>
      <c r="AN407" t="s">
        <v>3637</v>
      </c>
      <c r="AO407" t="s">
        <v>3638</v>
      </c>
      <c r="AP407" t="s">
        <v>3639</v>
      </c>
      <c r="AQ407" t="s">
        <v>131</v>
      </c>
      <c r="AR407" t="s">
        <v>132</v>
      </c>
      <c r="AS407" t="s">
        <v>1181</v>
      </c>
      <c r="AT407" t="s">
        <v>3206</v>
      </c>
      <c r="AV407" t="s">
        <v>3049</v>
      </c>
      <c r="AY407" t="s">
        <v>547</v>
      </c>
      <c r="AZ407" t="s">
        <v>364</v>
      </c>
      <c r="BA407" t="s">
        <v>3640</v>
      </c>
      <c r="BC407" t="s">
        <v>140</v>
      </c>
      <c r="BT407" s="7">
        <f t="shared" si="37"/>
        <v>0</v>
      </c>
      <c r="BU407" s="6">
        <f t="shared" si="38"/>
        <v>0</v>
      </c>
      <c r="BV407" s="6">
        <f t="shared" si="39"/>
        <v>0</v>
      </c>
      <c r="BW407" s="6">
        <f t="shared" si="40"/>
        <v>0</v>
      </c>
      <c r="BX407" s="6">
        <f t="shared" si="41"/>
        <v>0</v>
      </c>
    </row>
    <row r="408" spans="1:76" x14ac:dyDescent="0.35">
      <c r="A408" t="s">
        <v>3641</v>
      </c>
      <c r="B408" t="s">
        <v>107</v>
      </c>
      <c r="C408" t="s">
        <v>107</v>
      </c>
      <c r="F408" t="s">
        <v>613</v>
      </c>
      <c r="G408" t="s">
        <v>614</v>
      </c>
      <c r="H408" t="s">
        <v>615</v>
      </c>
      <c r="I408" t="s">
        <v>271</v>
      </c>
      <c r="J408" t="s">
        <v>113</v>
      </c>
      <c r="K408" s="8" t="s">
        <v>114</v>
      </c>
      <c r="L408" t="s">
        <v>114</v>
      </c>
      <c r="M408" s="6">
        <v>0</v>
      </c>
      <c r="N408" t="s">
        <v>114</v>
      </c>
      <c r="O408" s="6">
        <v>0</v>
      </c>
      <c r="P408" t="s">
        <v>114</v>
      </c>
      <c r="Q408" s="6">
        <v>0</v>
      </c>
      <c r="R408" s="7">
        <f t="shared" si="36"/>
        <v>0</v>
      </c>
      <c r="S408" t="s">
        <v>114</v>
      </c>
      <c r="T408" t="s">
        <v>114</v>
      </c>
      <c r="U408" t="s">
        <v>114</v>
      </c>
      <c r="W408" t="s">
        <v>114</v>
      </c>
      <c r="X408" t="s">
        <v>114</v>
      </c>
      <c r="Z408" t="s">
        <v>3642</v>
      </c>
      <c r="AA408" t="s">
        <v>3642</v>
      </c>
      <c r="AB408" s="1" t="s">
        <v>3643</v>
      </c>
      <c r="AC408" t="s">
        <v>3644</v>
      </c>
      <c r="AD408" t="s">
        <v>3645</v>
      </c>
      <c r="AH408" t="s">
        <v>123</v>
      </c>
      <c r="AI408" t="s">
        <v>124</v>
      </c>
      <c r="AJ408" t="s">
        <v>3646</v>
      </c>
      <c r="AK408" t="s">
        <v>126</v>
      </c>
      <c r="AL408" t="s">
        <v>127</v>
      </c>
      <c r="AN408" t="s">
        <v>3647</v>
      </c>
      <c r="AO408" t="s">
        <v>3648</v>
      </c>
      <c r="AP408" t="s">
        <v>3649</v>
      </c>
      <c r="AQ408" t="s">
        <v>131</v>
      </c>
      <c r="AR408" t="s">
        <v>132</v>
      </c>
      <c r="AS408" t="s">
        <v>152</v>
      </c>
      <c r="AT408" t="s">
        <v>3650</v>
      </c>
      <c r="AV408" t="s">
        <v>2425</v>
      </c>
      <c r="AY408" t="s">
        <v>177</v>
      </c>
      <c r="AZ408" t="s">
        <v>627</v>
      </c>
      <c r="BA408" t="s">
        <v>3651</v>
      </c>
      <c r="BC408" t="s">
        <v>140</v>
      </c>
      <c r="BT408" s="7">
        <f t="shared" si="37"/>
        <v>0</v>
      </c>
      <c r="BU408" s="6">
        <f t="shared" si="38"/>
        <v>0</v>
      </c>
      <c r="BV408" s="6">
        <f t="shared" si="39"/>
        <v>0</v>
      </c>
      <c r="BW408" s="6">
        <f t="shared" si="40"/>
        <v>0</v>
      </c>
      <c r="BX408" s="6">
        <f t="shared" si="41"/>
        <v>0</v>
      </c>
    </row>
    <row r="409" spans="1:76" x14ac:dyDescent="0.35">
      <c r="A409" t="s">
        <v>3652</v>
      </c>
      <c r="B409" t="s">
        <v>107</v>
      </c>
      <c r="C409" t="s">
        <v>107</v>
      </c>
      <c r="F409" t="s">
        <v>533</v>
      </c>
      <c r="G409" t="s">
        <v>534</v>
      </c>
      <c r="H409" t="s">
        <v>2360</v>
      </c>
      <c r="I409" t="s">
        <v>536</v>
      </c>
      <c r="J409" t="s">
        <v>113</v>
      </c>
      <c r="K409" s="8" t="s">
        <v>114</v>
      </c>
      <c r="L409" t="s">
        <v>114</v>
      </c>
      <c r="M409" s="6">
        <v>0</v>
      </c>
      <c r="N409" t="s">
        <v>114</v>
      </c>
      <c r="O409" s="6">
        <v>0</v>
      </c>
      <c r="P409" t="s">
        <v>114</v>
      </c>
      <c r="Q409" s="6">
        <v>0</v>
      </c>
      <c r="R409" s="7">
        <f t="shared" si="36"/>
        <v>0</v>
      </c>
      <c r="S409" t="s">
        <v>114</v>
      </c>
      <c r="T409" t="s">
        <v>114</v>
      </c>
      <c r="U409" t="s">
        <v>114</v>
      </c>
      <c r="W409" t="s">
        <v>114</v>
      </c>
      <c r="X409" t="s">
        <v>114</v>
      </c>
      <c r="Z409" t="s">
        <v>3653</v>
      </c>
      <c r="AA409" t="s">
        <v>3654</v>
      </c>
      <c r="AB409" s="1" t="s">
        <v>3655</v>
      </c>
      <c r="AC409" t="s">
        <v>3656</v>
      </c>
      <c r="AD409" t="s">
        <v>3657</v>
      </c>
      <c r="AH409" t="s">
        <v>123</v>
      </c>
      <c r="AI409" t="s">
        <v>124</v>
      </c>
      <c r="AJ409" t="s">
        <v>3658</v>
      </c>
      <c r="AK409" t="s">
        <v>126</v>
      </c>
      <c r="AL409" t="s">
        <v>127</v>
      </c>
      <c r="AN409" t="s">
        <v>3659</v>
      </c>
      <c r="AO409" t="s">
        <v>3660</v>
      </c>
      <c r="AP409" t="s">
        <v>3661</v>
      </c>
      <c r="AQ409" t="s">
        <v>131</v>
      </c>
      <c r="AR409" t="s">
        <v>132</v>
      </c>
      <c r="AS409" t="s">
        <v>1280</v>
      </c>
      <c r="AT409" t="s">
        <v>1281</v>
      </c>
      <c r="AV409" t="s">
        <v>758</v>
      </c>
      <c r="AY409" t="s">
        <v>547</v>
      </c>
      <c r="AZ409" t="s">
        <v>364</v>
      </c>
      <c r="BA409" t="s">
        <v>3662</v>
      </c>
      <c r="BC409" t="s">
        <v>140</v>
      </c>
      <c r="BT409" s="7">
        <f t="shared" si="37"/>
        <v>0</v>
      </c>
      <c r="BU409" s="6">
        <f t="shared" si="38"/>
        <v>0</v>
      </c>
      <c r="BV409" s="6">
        <f t="shared" si="39"/>
        <v>0</v>
      </c>
      <c r="BW409" s="6">
        <f t="shared" si="40"/>
        <v>0</v>
      </c>
      <c r="BX409" s="6">
        <f t="shared" si="41"/>
        <v>0</v>
      </c>
    </row>
    <row r="410" spans="1:76" x14ac:dyDescent="0.35">
      <c r="A410" t="s">
        <v>3663</v>
      </c>
      <c r="B410" t="s">
        <v>107</v>
      </c>
      <c r="C410" t="s">
        <v>107</v>
      </c>
      <c r="F410" t="s">
        <v>358</v>
      </c>
      <c r="G410" t="s">
        <v>359</v>
      </c>
      <c r="H410" t="s">
        <v>360</v>
      </c>
      <c r="I410" t="s">
        <v>341</v>
      </c>
      <c r="J410" t="s">
        <v>113</v>
      </c>
      <c r="K410" s="8" t="s">
        <v>114</v>
      </c>
      <c r="L410" t="s">
        <v>114</v>
      </c>
      <c r="M410" s="6">
        <v>0</v>
      </c>
      <c r="N410" t="s">
        <v>114</v>
      </c>
      <c r="O410" s="6">
        <v>0</v>
      </c>
      <c r="P410" t="s">
        <v>114</v>
      </c>
      <c r="Q410" s="6">
        <v>0</v>
      </c>
      <c r="R410" s="7">
        <f t="shared" si="36"/>
        <v>0</v>
      </c>
      <c r="S410" t="s">
        <v>114</v>
      </c>
      <c r="T410" t="s">
        <v>114</v>
      </c>
      <c r="U410" t="s">
        <v>114</v>
      </c>
      <c r="W410" t="s">
        <v>114</v>
      </c>
      <c r="X410" t="s">
        <v>114</v>
      </c>
      <c r="Z410" t="s">
        <v>3664</v>
      </c>
      <c r="AA410" t="s">
        <v>3664</v>
      </c>
      <c r="AB410" s="1" t="s">
        <v>3665</v>
      </c>
      <c r="AC410" t="s">
        <v>3666</v>
      </c>
      <c r="AD410" t="s">
        <v>3667</v>
      </c>
      <c r="AH410" t="s">
        <v>123</v>
      </c>
      <c r="AI410" t="s">
        <v>124</v>
      </c>
      <c r="AJ410" t="s">
        <v>3668</v>
      </c>
      <c r="AK410" t="s">
        <v>126</v>
      </c>
      <c r="AL410" t="s">
        <v>127</v>
      </c>
      <c r="AN410" t="s">
        <v>3669</v>
      </c>
      <c r="AO410" t="s">
        <v>3670</v>
      </c>
      <c r="AP410" t="s">
        <v>3671</v>
      </c>
      <c r="AQ410" t="s">
        <v>131</v>
      </c>
      <c r="AR410" t="s">
        <v>132</v>
      </c>
      <c r="AS410" t="s">
        <v>989</v>
      </c>
      <c r="AT410" t="s">
        <v>990</v>
      </c>
      <c r="AV410" t="s">
        <v>354</v>
      </c>
      <c r="AY410" t="s">
        <v>177</v>
      </c>
      <c r="AZ410" t="s">
        <v>364</v>
      </c>
      <c r="BA410" t="s">
        <v>3672</v>
      </c>
      <c r="BC410" t="s">
        <v>140</v>
      </c>
      <c r="BT410" s="7">
        <f t="shared" si="37"/>
        <v>0</v>
      </c>
      <c r="BU410" s="6">
        <f t="shared" si="38"/>
        <v>0</v>
      </c>
      <c r="BV410" s="6">
        <f t="shared" si="39"/>
        <v>0</v>
      </c>
      <c r="BW410" s="6">
        <f t="shared" si="40"/>
        <v>0</v>
      </c>
      <c r="BX410" s="6">
        <f t="shared" si="41"/>
        <v>0</v>
      </c>
    </row>
    <row r="411" spans="1:76" x14ac:dyDescent="0.35">
      <c r="A411" t="s">
        <v>3673</v>
      </c>
      <c r="B411" t="s">
        <v>107</v>
      </c>
      <c r="C411" t="s">
        <v>107</v>
      </c>
      <c r="F411" t="s">
        <v>613</v>
      </c>
      <c r="G411" t="s">
        <v>614</v>
      </c>
      <c r="H411" t="s">
        <v>615</v>
      </c>
      <c r="I411" t="s">
        <v>271</v>
      </c>
      <c r="J411" t="s">
        <v>113</v>
      </c>
      <c r="K411" s="8" t="s">
        <v>114</v>
      </c>
      <c r="L411" t="s">
        <v>114</v>
      </c>
      <c r="M411" s="6">
        <v>0</v>
      </c>
      <c r="N411" t="s">
        <v>114</v>
      </c>
      <c r="O411" s="6">
        <v>0</v>
      </c>
      <c r="P411" t="s">
        <v>114</v>
      </c>
      <c r="Q411" s="6">
        <v>0</v>
      </c>
      <c r="R411" s="7">
        <f t="shared" si="36"/>
        <v>0</v>
      </c>
      <c r="S411" t="s">
        <v>114</v>
      </c>
      <c r="T411" t="s">
        <v>114</v>
      </c>
      <c r="U411" t="s">
        <v>114</v>
      </c>
      <c r="W411" t="s">
        <v>114</v>
      </c>
      <c r="X411" t="s">
        <v>114</v>
      </c>
      <c r="Z411" t="s">
        <v>3674</v>
      </c>
      <c r="AA411" t="s">
        <v>3674</v>
      </c>
      <c r="AB411" s="1" t="s">
        <v>3675</v>
      </c>
      <c r="AC411" t="s">
        <v>3676</v>
      </c>
      <c r="AD411" t="s">
        <v>3677</v>
      </c>
      <c r="AH411" t="s">
        <v>123</v>
      </c>
      <c r="AI411" t="s">
        <v>124</v>
      </c>
      <c r="AJ411" t="s">
        <v>3678</v>
      </c>
      <c r="AK411" t="s">
        <v>126</v>
      </c>
      <c r="AL411" t="s">
        <v>127</v>
      </c>
      <c r="AN411" t="s">
        <v>3679</v>
      </c>
      <c r="AO411" t="s">
        <v>3680</v>
      </c>
      <c r="AP411" t="s">
        <v>3681</v>
      </c>
      <c r="AQ411" t="s">
        <v>131</v>
      </c>
      <c r="AR411" t="s">
        <v>132</v>
      </c>
      <c r="AS411" t="s">
        <v>387</v>
      </c>
      <c r="AT411" t="s">
        <v>388</v>
      </c>
      <c r="AV411" t="s">
        <v>516</v>
      </c>
      <c r="AY411" t="s">
        <v>177</v>
      </c>
      <c r="AZ411" t="s">
        <v>627</v>
      </c>
      <c r="BA411" t="s">
        <v>3682</v>
      </c>
      <c r="BC411" t="s">
        <v>140</v>
      </c>
      <c r="BT411" s="7">
        <f t="shared" si="37"/>
        <v>0</v>
      </c>
      <c r="BU411" s="6">
        <f t="shared" si="38"/>
        <v>0</v>
      </c>
      <c r="BV411" s="6">
        <f t="shared" si="39"/>
        <v>0</v>
      </c>
      <c r="BW411" s="6">
        <f t="shared" si="40"/>
        <v>0</v>
      </c>
      <c r="BX411" s="6">
        <f t="shared" si="41"/>
        <v>0</v>
      </c>
    </row>
    <row r="412" spans="1:76" x14ac:dyDescent="0.35">
      <c r="A412" t="s">
        <v>3683</v>
      </c>
      <c r="B412" t="s">
        <v>107</v>
      </c>
      <c r="C412" t="s">
        <v>107</v>
      </c>
      <c r="F412" t="s">
        <v>613</v>
      </c>
      <c r="G412" t="s">
        <v>614</v>
      </c>
      <c r="H412" t="s">
        <v>615</v>
      </c>
      <c r="I412" t="s">
        <v>271</v>
      </c>
      <c r="J412" t="s">
        <v>113</v>
      </c>
      <c r="K412" s="8" t="s">
        <v>114</v>
      </c>
      <c r="L412" t="s">
        <v>114</v>
      </c>
      <c r="M412" s="6">
        <v>0</v>
      </c>
      <c r="N412" t="s">
        <v>114</v>
      </c>
      <c r="O412" s="6">
        <v>0</v>
      </c>
      <c r="P412" t="s">
        <v>114</v>
      </c>
      <c r="Q412" s="6">
        <v>0</v>
      </c>
      <c r="R412" s="7">
        <f t="shared" si="36"/>
        <v>0</v>
      </c>
      <c r="S412" t="s">
        <v>114</v>
      </c>
      <c r="T412" t="s">
        <v>114</v>
      </c>
      <c r="U412" t="s">
        <v>114</v>
      </c>
      <c r="W412" t="s">
        <v>114</v>
      </c>
      <c r="X412" t="s">
        <v>114</v>
      </c>
      <c r="Z412" t="s">
        <v>3684</v>
      </c>
      <c r="AA412" t="s">
        <v>3684</v>
      </c>
      <c r="AB412" s="1" t="s">
        <v>3685</v>
      </c>
      <c r="AC412" t="s">
        <v>3686</v>
      </c>
      <c r="AD412" t="s">
        <v>3687</v>
      </c>
      <c r="AH412" t="s">
        <v>123</v>
      </c>
      <c r="AI412" t="s">
        <v>124</v>
      </c>
      <c r="AJ412" t="s">
        <v>3688</v>
      </c>
      <c r="AK412" t="s">
        <v>126</v>
      </c>
      <c r="AL412" t="s">
        <v>127</v>
      </c>
      <c r="AN412" t="s">
        <v>3689</v>
      </c>
      <c r="AO412" t="s">
        <v>3690</v>
      </c>
      <c r="AP412" t="s">
        <v>3691</v>
      </c>
      <c r="AQ412" t="s">
        <v>131</v>
      </c>
      <c r="AR412" t="s">
        <v>132</v>
      </c>
      <c r="AS412" t="s">
        <v>352</v>
      </c>
      <c r="AT412" t="s">
        <v>374</v>
      </c>
      <c r="AV412" t="s">
        <v>626</v>
      </c>
      <c r="AY412" t="s">
        <v>177</v>
      </c>
      <c r="AZ412" t="s">
        <v>627</v>
      </c>
      <c r="BA412" t="s">
        <v>3692</v>
      </c>
      <c r="BC412" t="s">
        <v>140</v>
      </c>
      <c r="BT412" s="7">
        <f t="shared" si="37"/>
        <v>0</v>
      </c>
      <c r="BU412" s="6">
        <f t="shared" si="38"/>
        <v>0</v>
      </c>
      <c r="BV412" s="6">
        <f t="shared" si="39"/>
        <v>0</v>
      </c>
      <c r="BW412" s="6">
        <f t="shared" si="40"/>
        <v>0</v>
      </c>
      <c r="BX412" s="6">
        <f t="shared" si="41"/>
        <v>0</v>
      </c>
    </row>
    <row r="413" spans="1:76" x14ac:dyDescent="0.35">
      <c r="A413" t="s">
        <v>3693</v>
      </c>
      <c r="B413" t="s">
        <v>107</v>
      </c>
      <c r="C413" t="s">
        <v>107</v>
      </c>
      <c r="F413" t="s">
        <v>358</v>
      </c>
      <c r="G413" t="s">
        <v>359</v>
      </c>
      <c r="H413" t="s">
        <v>360</v>
      </c>
      <c r="I413" t="s">
        <v>341</v>
      </c>
      <c r="J413" t="s">
        <v>113</v>
      </c>
      <c r="K413" s="8" t="s">
        <v>114</v>
      </c>
      <c r="L413" t="s">
        <v>114</v>
      </c>
      <c r="M413" s="6">
        <v>0</v>
      </c>
      <c r="N413" t="s">
        <v>114</v>
      </c>
      <c r="O413" s="6">
        <v>0</v>
      </c>
      <c r="P413" t="s">
        <v>114</v>
      </c>
      <c r="Q413" s="6">
        <v>0</v>
      </c>
      <c r="R413" s="7">
        <f t="shared" si="36"/>
        <v>0</v>
      </c>
      <c r="S413" t="s">
        <v>114</v>
      </c>
      <c r="T413" t="s">
        <v>114</v>
      </c>
      <c r="U413" t="s">
        <v>114</v>
      </c>
      <c r="W413" t="s">
        <v>114</v>
      </c>
      <c r="X413" t="s">
        <v>114</v>
      </c>
      <c r="Z413" t="s">
        <v>3694</v>
      </c>
      <c r="AA413" t="s">
        <v>3694</v>
      </c>
      <c r="AB413" s="1" t="s">
        <v>3695</v>
      </c>
      <c r="AC413" t="s">
        <v>3696</v>
      </c>
      <c r="AD413" t="s">
        <v>3697</v>
      </c>
      <c r="AH413" t="s">
        <v>123</v>
      </c>
      <c r="AI413" t="s">
        <v>124</v>
      </c>
      <c r="AJ413" t="s">
        <v>3698</v>
      </c>
      <c r="AK413" t="s">
        <v>126</v>
      </c>
      <c r="AL413" t="s">
        <v>127</v>
      </c>
      <c r="AN413" t="s">
        <v>3699</v>
      </c>
      <c r="AO413" t="s">
        <v>3700</v>
      </c>
      <c r="AP413" t="s">
        <v>3701</v>
      </c>
      <c r="AQ413" t="s">
        <v>131</v>
      </c>
      <c r="AR413" t="s">
        <v>132</v>
      </c>
      <c r="AS413" t="s">
        <v>756</v>
      </c>
      <c r="AT413" t="s">
        <v>3702</v>
      </c>
      <c r="AV413" t="s">
        <v>389</v>
      </c>
      <c r="AW413" t="s">
        <v>626</v>
      </c>
      <c r="AY413" t="s">
        <v>177</v>
      </c>
      <c r="AZ413" t="s">
        <v>364</v>
      </c>
      <c r="BA413" t="s">
        <v>3703</v>
      </c>
      <c r="BC413" t="s">
        <v>140</v>
      </c>
      <c r="BT413" s="7">
        <f t="shared" si="37"/>
        <v>0</v>
      </c>
      <c r="BU413" s="6">
        <f t="shared" si="38"/>
        <v>0</v>
      </c>
      <c r="BV413" s="6">
        <f t="shared" si="39"/>
        <v>0</v>
      </c>
      <c r="BW413" s="6">
        <f t="shared" si="40"/>
        <v>0</v>
      </c>
      <c r="BX413" s="6">
        <f t="shared" si="41"/>
        <v>0</v>
      </c>
    </row>
    <row r="414" spans="1:76" x14ac:dyDescent="0.35">
      <c r="A414" t="s">
        <v>3704</v>
      </c>
      <c r="B414" t="s">
        <v>107</v>
      </c>
      <c r="C414" t="s">
        <v>107</v>
      </c>
      <c r="F414" t="s">
        <v>613</v>
      </c>
      <c r="G414" t="s">
        <v>614</v>
      </c>
      <c r="H414" t="s">
        <v>615</v>
      </c>
      <c r="I414" t="s">
        <v>271</v>
      </c>
      <c r="J414" t="s">
        <v>113</v>
      </c>
      <c r="K414" s="8" t="s">
        <v>114</v>
      </c>
      <c r="L414" t="s">
        <v>114</v>
      </c>
      <c r="M414" s="6">
        <v>0</v>
      </c>
      <c r="N414" t="s">
        <v>114</v>
      </c>
      <c r="O414" s="6">
        <v>0</v>
      </c>
      <c r="P414" t="s">
        <v>114</v>
      </c>
      <c r="Q414" s="6">
        <v>0</v>
      </c>
      <c r="R414" s="7">
        <f t="shared" si="36"/>
        <v>0</v>
      </c>
      <c r="S414" t="s">
        <v>114</v>
      </c>
      <c r="T414" t="s">
        <v>114</v>
      </c>
      <c r="U414" t="s">
        <v>114</v>
      </c>
      <c r="W414" t="s">
        <v>114</v>
      </c>
      <c r="X414" t="s">
        <v>114</v>
      </c>
      <c r="Z414" t="s">
        <v>3705</v>
      </c>
      <c r="AA414" t="s">
        <v>3706</v>
      </c>
      <c r="AB414" s="1" t="s">
        <v>3707</v>
      </c>
      <c r="AC414" t="s">
        <v>3686</v>
      </c>
      <c r="AD414" t="s">
        <v>3708</v>
      </c>
      <c r="AH414" t="s">
        <v>123</v>
      </c>
      <c r="AI414" t="s">
        <v>124</v>
      </c>
      <c r="AJ414" t="s">
        <v>3709</v>
      </c>
      <c r="AK414" t="s">
        <v>126</v>
      </c>
      <c r="AL414" t="s">
        <v>127</v>
      </c>
      <c r="AN414" t="s">
        <v>3710</v>
      </c>
      <c r="AO414" t="s">
        <v>3711</v>
      </c>
      <c r="AP414" t="s">
        <v>3712</v>
      </c>
      <c r="AQ414" t="s">
        <v>131</v>
      </c>
      <c r="AR414" t="s">
        <v>132</v>
      </c>
      <c r="AS414" t="s">
        <v>1267</v>
      </c>
      <c r="AT414" t="s">
        <v>2503</v>
      </c>
      <c r="AV414" t="s">
        <v>481</v>
      </c>
      <c r="AW414" t="s">
        <v>1135</v>
      </c>
      <c r="AY414" t="s">
        <v>177</v>
      </c>
      <c r="AZ414" t="s">
        <v>627</v>
      </c>
      <c r="BA414" t="s">
        <v>3713</v>
      </c>
      <c r="BC414" t="s">
        <v>140</v>
      </c>
      <c r="BT414" s="7">
        <f t="shared" si="37"/>
        <v>0</v>
      </c>
      <c r="BU414" s="6">
        <f t="shared" si="38"/>
        <v>0</v>
      </c>
      <c r="BV414" s="6">
        <f t="shared" si="39"/>
        <v>0</v>
      </c>
      <c r="BW414" s="6">
        <f t="shared" si="40"/>
        <v>0</v>
      </c>
      <c r="BX414" s="6">
        <f t="shared" si="41"/>
        <v>0</v>
      </c>
    </row>
    <row r="415" spans="1:76" x14ac:dyDescent="0.35">
      <c r="A415" t="s">
        <v>3714</v>
      </c>
      <c r="B415" t="s">
        <v>107</v>
      </c>
      <c r="C415" t="s">
        <v>107</v>
      </c>
      <c r="F415" t="s">
        <v>358</v>
      </c>
      <c r="G415" t="s">
        <v>359</v>
      </c>
      <c r="H415" t="s">
        <v>360</v>
      </c>
      <c r="I415" t="s">
        <v>341</v>
      </c>
      <c r="J415" t="s">
        <v>113</v>
      </c>
      <c r="K415" s="8" t="s">
        <v>114</v>
      </c>
      <c r="L415" t="s">
        <v>114</v>
      </c>
      <c r="M415" s="6">
        <v>0</v>
      </c>
      <c r="N415" t="s">
        <v>114</v>
      </c>
      <c r="O415" s="6">
        <v>0</v>
      </c>
      <c r="P415" t="s">
        <v>114</v>
      </c>
      <c r="Q415" s="6">
        <v>0</v>
      </c>
      <c r="R415" s="7">
        <f t="shared" si="36"/>
        <v>0</v>
      </c>
      <c r="S415" t="s">
        <v>114</v>
      </c>
      <c r="T415" t="s">
        <v>114</v>
      </c>
      <c r="U415" t="s">
        <v>114</v>
      </c>
      <c r="W415" t="s">
        <v>114</v>
      </c>
      <c r="X415" t="s">
        <v>114</v>
      </c>
      <c r="Z415" t="s">
        <v>3715</v>
      </c>
      <c r="AA415" t="s">
        <v>3715</v>
      </c>
      <c r="AB415" s="1" t="s">
        <v>3707</v>
      </c>
      <c r="AC415" t="s">
        <v>3716</v>
      </c>
      <c r="AD415" t="s">
        <v>3717</v>
      </c>
      <c r="AH415" t="s">
        <v>123</v>
      </c>
      <c r="AI415" t="s">
        <v>124</v>
      </c>
      <c r="AJ415" t="s">
        <v>3718</v>
      </c>
      <c r="AK415" t="s">
        <v>126</v>
      </c>
      <c r="AL415" t="s">
        <v>127</v>
      </c>
      <c r="AN415" t="s">
        <v>3719</v>
      </c>
      <c r="AO415" t="s">
        <v>3720</v>
      </c>
      <c r="AP415" t="s">
        <v>3721</v>
      </c>
      <c r="AQ415" t="s">
        <v>131</v>
      </c>
      <c r="AR415" t="s">
        <v>132</v>
      </c>
      <c r="AS415" t="s">
        <v>152</v>
      </c>
      <c r="AT415" t="s">
        <v>3516</v>
      </c>
      <c r="AV415" t="s">
        <v>3722</v>
      </c>
      <c r="AY415" t="s">
        <v>177</v>
      </c>
      <c r="AZ415" t="s">
        <v>364</v>
      </c>
      <c r="BA415" t="s">
        <v>3723</v>
      </c>
      <c r="BC415" t="s">
        <v>140</v>
      </c>
      <c r="BT415" s="7">
        <f t="shared" si="37"/>
        <v>0</v>
      </c>
      <c r="BU415" s="6">
        <f t="shared" si="38"/>
        <v>0</v>
      </c>
      <c r="BV415" s="6">
        <f t="shared" si="39"/>
        <v>0</v>
      </c>
      <c r="BW415" s="6">
        <f t="shared" si="40"/>
        <v>0</v>
      </c>
      <c r="BX415" s="6">
        <f t="shared" si="41"/>
        <v>0</v>
      </c>
    </row>
    <row r="416" spans="1:76" x14ac:dyDescent="0.35">
      <c r="A416" t="s">
        <v>3724</v>
      </c>
      <c r="B416" t="s">
        <v>107</v>
      </c>
      <c r="C416" t="s">
        <v>107</v>
      </c>
      <c r="F416" t="s">
        <v>358</v>
      </c>
      <c r="G416" t="s">
        <v>359</v>
      </c>
      <c r="H416" t="s">
        <v>360</v>
      </c>
      <c r="I416" t="s">
        <v>341</v>
      </c>
      <c r="J416" t="s">
        <v>113</v>
      </c>
      <c r="K416" s="8" t="s">
        <v>114</v>
      </c>
      <c r="L416" t="s">
        <v>114</v>
      </c>
      <c r="M416" s="6">
        <v>0</v>
      </c>
      <c r="N416" t="s">
        <v>114</v>
      </c>
      <c r="O416" s="6">
        <v>0</v>
      </c>
      <c r="P416" t="s">
        <v>114</v>
      </c>
      <c r="Q416" s="6">
        <v>0</v>
      </c>
      <c r="R416" s="7">
        <f t="shared" si="36"/>
        <v>0</v>
      </c>
      <c r="S416" t="s">
        <v>114</v>
      </c>
      <c r="T416" t="s">
        <v>114</v>
      </c>
      <c r="U416" t="s">
        <v>114</v>
      </c>
      <c r="W416" t="s">
        <v>114</v>
      </c>
      <c r="X416" t="s">
        <v>114</v>
      </c>
      <c r="Z416" t="s">
        <v>3725</v>
      </c>
      <c r="AA416" t="s">
        <v>3725</v>
      </c>
      <c r="AB416" s="1" t="s">
        <v>3726</v>
      </c>
      <c r="AC416" t="s">
        <v>3727</v>
      </c>
      <c r="AD416" t="s">
        <v>3728</v>
      </c>
      <c r="AH416" t="s">
        <v>123</v>
      </c>
      <c r="AI416" t="s">
        <v>124</v>
      </c>
      <c r="AJ416" t="s">
        <v>3729</v>
      </c>
      <c r="AK416" t="s">
        <v>126</v>
      </c>
      <c r="AL416" t="s">
        <v>127</v>
      </c>
      <c r="AN416" t="s">
        <v>3730</v>
      </c>
      <c r="AO416" t="s">
        <v>3731</v>
      </c>
      <c r="AP416" t="s">
        <v>3732</v>
      </c>
      <c r="AQ416" t="s">
        <v>131</v>
      </c>
      <c r="AR416" t="s">
        <v>132</v>
      </c>
      <c r="AS416" t="s">
        <v>1440</v>
      </c>
      <c r="AT416" t="s">
        <v>494</v>
      </c>
      <c r="AV416" t="s">
        <v>1821</v>
      </c>
      <c r="AY416" t="s">
        <v>177</v>
      </c>
      <c r="AZ416" t="s">
        <v>364</v>
      </c>
      <c r="BA416" t="s">
        <v>3733</v>
      </c>
      <c r="BC416" t="s">
        <v>140</v>
      </c>
      <c r="BT416" s="7">
        <f t="shared" si="37"/>
        <v>0</v>
      </c>
      <c r="BU416" s="6">
        <f t="shared" si="38"/>
        <v>0</v>
      </c>
      <c r="BV416" s="6">
        <f t="shared" si="39"/>
        <v>0</v>
      </c>
      <c r="BW416" s="6">
        <f t="shared" si="40"/>
        <v>0</v>
      </c>
      <c r="BX416" s="6">
        <f t="shared" si="41"/>
        <v>0</v>
      </c>
    </row>
    <row r="417" spans="1:76" x14ac:dyDescent="0.35">
      <c r="A417" t="s">
        <v>3734</v>
      </c>
      <c r="B417" t="s">
        <v>107</v>
      </c>
      <c r="C417" t="s">
        <v>107</v>
      </c>
      <c r="F417" t="s">
        <v>358</v>
      </c>
      <c r="G417" t="s">
        <v>359</v>
      </c>
      <c r="H417" t="s">
        <v>360</v>
      </c>
      <c r="I417" t="s">
        <v>341</v>
      </c>
      <c r="J417" t="s">
        <v>113</v>
      </c>
      <c r="K417" s="8" t="s">
        <v>114</v>
      </c>
      <c r="L417" t="s">
        <v>114</v>
      </c>
      <c r="M417" s="6">
        <v>0</v>
      </c>
      <c r="N417" t="s">
        <v>114</v>
      </c>
      <c r="O417" s="6">
        <v>0</v>
      </c>
      <c r="P417" t="s">
        <v>114</v>
      </c>
      <c r="Q417" s="6">
        <v>0</v>
      </c>
      <c r="R417" s="7">
        <f t="shared" si="36"/>
        <v>0</v>
      </c>
      <c r="S417" t="s">
        <v>114</v>
      </c>
      <c r="T417" t="s">
        <v>114</v>
      </c>
      <c r="U417" t="s">
        <v>114</v>
      </c>
      <c r="W417" t="s">
        <v>114</v>
      </c>
      <c r="X417" t="s">
        <v>114</v>
      </c>
      <c r="Z417" t="s">
        <v>3735</v>
      </c>
      <c r="AA417" t="s">
        <v>3735</v>
      </c>
      <c r="AB417" s="1" t="s">
        <v>3736</v>
      </c>
      <c r="AC417" t="s">
        <v>3737</v>
      </c>
      <c r="AD417" t="s">
        <v>3738</v>
      </c>
      <c r="AH417" t="s">
        <v>123</v>
      </c>
      <c r="AI417" t="s">
        <v>124</v>
      </c>
      <c r="AJ417" t="s">
        <v>3739</v>
      </c>
      <c r="AK417" t="s">
        <v>126</v>
      </c>
      <c r="AL417" t="s">
        <v>127</v>
      </c>
      <c r="AN417" t="s">
        <v>3740</v>
      </c>
      <c r="AO417" t="s">
        <v>3741</v>
      </c>
      <c r="AP417" t="s">
        <v>3742</v>
      </c>
      <c r="AQ417" t="s">
        <v>131</v>
      </c>
      <c r="AR417" t="s">
        <v>132</v>
      </c>
      <c r="AS417" t="s">
        <v>202</v>
      </c>
      <c r="AT417" t="s">
        <v>1489</v>
      </c>
      <c r="AV417" t="s">
        <v>1195</v>
      </c>
      <c r="AW417" t="s">
        <v>892</v>
      </c>
      <c r="AY417" t="s">
        <v>177</v>
      </c>
      <c r="AZ417" t="s">
        <v>364</v>
      </c>
      <c r="BA417" t="s">
        <v>3743</v>
      </c>
      <c r="BC417" t="s">
        <v>140</v>
      </c>
      <c r="BT417" s="7">
        <f t="shared" si="37"/>
        <v>0</v>
      </c>
      <c r="BU417" s="6">
        <f t="shared" si="38"/>
        <v>0</v>
      </c>
      <c r="BV417" s="6">
        <f t="shared" si="39"/>
        <v>0</v>
      </c>
      <c r="BW417" s="6">
        <f t="shared" si="40"/>
        <v>0</v>
      </c>
      <c r="BX417" s="6">
        <f t="shared" si="41"/>
        <v>0</v>
      </c>
    </row>
    <row r="418" spans="1:76" x14ac:dyDescent="0.35">
      <c r="A418" t="s">
        <v>3744</v>
      </c>
      <c r="B418" t="s">
        <v>107</v>
      </c>
      <c r="C418" t="s">
        <v>107</v>
      </c>
      <c r="F418" t="s">
        <v>358</v>
      </c>
      <c r="G418" t="s">
        <v>359</v>
      </c>
      <c r="H418" t="s">
        <v>360</v>
      </c>
      <c r="I418" t="s">
        <v>341</v>
      </c>
      <c r="J418" t="s">
        <v>113</v>
      </c>
      <c r="K418" s="8" t="s">
        <v>114</v>
      </c>
      <c r="L418" t="s">
        <v>114</v>
      </c>
      <c r="M418" s="6">
        <v>0</v>
      </c>
      <c r="N418" t="s">
        <v>114</v>
      </c>
      <c r="O418" s="6">
        <v>0</v>
      </c>
      <c r="P418" t="s">
        <v>114</v>
      </c>
      <c r="Q418" s="6">
        <v>0</v>
      </c>
      <c r="R418" s="7">
        <f t="shared" si="36"/>
        <v>0</v>
      </c>
      <c r="S418" t="s">
        <v>114</v>
      </c>
      <c r="T418" t="s">
        <v>114</v>
      </c>
      <c r="U418" t="s">
        <v>114</v>
      </c>
      <c r="W418" t="s">
        <v>114</v>
      </c>
      <c r="X418" t="s">
        <v>114</v>
      </c>
      <c r="Z418" t="s">
        <v>3745</v>
      </c>
      <c r="AA418" t="s">
        <v>3745</v>
      </c>
      <c r="AB418" s="1" t="s">
        <v>3746</v>
      </c>
      <c r="AC418" t="s">
        <v>3747</v>
      </c>
      <c r="AD418" t="s">
        <v>3748</v>
      </c>
      <c r="AH418" t="s">
        <v>123</v>
      </c>
      <c r="AI418" t="s">
        <v>124</v>
      </c>
      <c r="AJ418" t="s">
        <v>3749</v>
      </c>
      <c r="AK418" t="s">
        <v>126</v>
      </c>
      <c r="AL418" t="s">
        <v>127</v>
      </c>
      <c r="AN418" t="s">
        <v>3750</v>
      </c>
      <c r="AO418" t="s">
        <v>3751</v>
      </c>
      <c r="AP418" t="s">
        <v>3136</v>
      </c>
      <c r="AQ418" t="s">
        <v>131</v>
      </c>
      <c r="AR418" t="s">
        <v>132</v>
      </c>
      <c r="AS418" t="s">
        <v>466</v>
      </c>
      <c r="AT418" t="s">
        <v>467</v>
      </c>
      <c r="AV418" t="s">
        <v>1607</v>
      </c>
      <c r="AW418" t="s">
        <v>190</v>
      </c>
      <c r="AY418" t="s">
        <v>177</v>
      </c>
      <c r="AZ418" t="s">
        <v>364</v>
      </c>
      <c r="BA418" t="s">
        <v>3752</v>
      </c>
      <c r="BC418" t="s">
        <v>140</v>
      </c>
      <c r="BT418" s="7">
        <f t="shared" si="37"/>
        <v>0</v>
      </c>
      <c r="BU418" s="6">
        <f t="shared" si="38"/>
        <v>0</v>
      </c>
      <c r="BV418" s="6">
        <f t="shared" si="39"/>
        <v>0</v>
      </c>
      <c r="BW418" s="6">
        <f t="shared" si="40"/>
        <v>0</v>
      </c>
      <c r="BX418" s="6">
        <f t="shared" si="41"/>
        <v>0</v>
      </c>
    </row>
    <row r="419" spans="1:76" x14ac:dyDescent="0.35">
      <c r="A419" t="s">
        <v>3753</v>
      </c>
      <c r="B419" t="s">
        <v>107</v>
      </c>
      <c r="C419" t="s">
        <v>107</v>
      </c>
      <c r="F419" t="s">
        <v>358</v>
      </c>
      <c r="G419" t="s">
        <v>359</v>
      </c>
      <c r="H419" t="s">
        <v>360</v>
      </c>
      <c r="I419" t="s">
        <v>341</v>
      </c>
      <c r="J419" t="s">
        <v>113</v>
      </c>
      <c r="K419" s="8" t="s">
        <v>114</v>
      </c>
      <c r="L419" t="s">
        <v>114</v>
      </c>
      <c r="M419" s="6">
        <v>0</v>
      </c>
      <c r="N419" t="s">
        <v>114</v>
      </c>
      <c r="O419" s="6">
        <v>0</v>
      </c>
      <c r="P419" t="s">
        <v>114</v>
      </c>
      <c r="Q419" s="6">
        <v>0</v>
      </c>
      <c r="R419" s="7">
        <f t="shared" si="36"/>
        <v>0</v>
      </c>
      <c r="S419" t="s">
        <v>114</v>
      </c>
      <c r="T419" t="s">
        <v>114</v>
      </c>
      <c r="U419" t="s">
        <v>114</v>
      </c>
      <c r="W419" t="s">
        <v>114</v>
      </c>
      <c r="X419" t="s">
        <v>114</v>
      </c>
      <c r="Z419" t="s">
        <v>3754</v>
      </c>
      <c r="AA419" t="s">
        <v>3754</v>
      </c>
      <c r="AB419" s="1" t="s">
        <v>3755</v>
      </c>
      <c r="AC419" t="s">
        <v>3756</v>
      </c>
      <c r="AD419" t="s">
        <v>3757</v>
      </c>
      <c r="AH419" t="s">
        <v>123</v>
      </c>
      <c r="AI419" t="s">
        <v>124</v>
      </c>
      <c r="AJ419" t="s">
        <v>3758</v>
      </c>
      <c r="AK419" t="s">
        <v>126</v>
      </c>
      <c r="AL419" t="s">
        <v>127</v>
      </c>
      <c r="AN419" t="s">
        <v>3759</v>
      </c>
      <c r="AO419" t="s">
        <v>3760</v>
      </c>
      <c r="AP419" t="s">
        <v>3761</v>
      </c>
      <c r="AQ419" t="s">
        <v>131</v>
      </c>
      <c r="AR419" t="s">
        <v>132</v>
      </c>
      <c r="AS419" t="s">
        <v>839</v>
      </c>
      <c r="AT419" t="s">
        <v>840</v>
      </c>
      <c r="AV419" t="s">
        <v>759</v>
      </c>
      <c r="AW419" t="s">
        <v>375</v>
      </c>
      <c r="AY419" t="s">
        <v>177</v>
      </c>
      <c r="AZ419" t="s">
        <v>364</v>
      </c>
      <c r="BA419" t="s">
        <v>3762</v>
      </c>
      <c r="BC419" t="s">
        <v>140</v>
      </c>
      <c r="BT419" s="7">
        <f t="shared" si="37"/>
        <v>0</v>
      </c>
      <c r="BU419" s="6">
        <f t="shared" si="38"/>
        <v>0</v>
      </c>
      <c r="BV419" s="6">
        <f t="shared" si="39"/>
        <v>0</v>
      </c>
      <c r="BW419" s="6">
        <f t="shared" si="40"/>
        <v>0</v>
      </c>
      <c r="BX419" s="6">
        <f t="shared" si="41"/>
        <v>0</v>
      </c>
    </row>
    <row r="420" spans="1:76" x14ac:dyDescent="0.35">
      <c r="A420" t="s">
        <v>3763</v>
      </c>
      <c r="B420" t="s">
        <v>107</v>
      </c>
      <c r="C420" t="s">
        <v>107</v>
      </c>
      <c r="E420" t="s">
        <v>108</v>
      </c>
      <c r="F420" t="s">
        <v>613</v>
      </c>
      <c r="G420" t="s">
        <v>614</v>
      </c>
      <c r="H420" t="s">
        <v>615</v>
      </c>
      <c r="I420" t="s">
        <v>271</v>
      </c>
      <c r="J420" t="s">
        <v>113</v>
      </c>
      <c r="K420" s="8" t="s">
        <v>114</v>
      </c>
      <c r="L420" t="s">
        <v>2550</v>
      </c>
      <c r="M420" s="6">
        <v>196</v>
      </c>
      <c r="N420" t="s">
        <v>114</v>
      </c>
      <c r="O420" s="6">
        <v>118</v>
      </c>
      <c r="P420" t="s">
        <v>2552</v>
      </c>
      <c r="Q420" s="6">
        <v>0</v>
      </c>
      <c r="R420" s="7">
        <f t="shared" si="36"/>
        <v>78</v>
      </c>
      <c r="S420" t="s">
        <v>180</v>
      </c>
      <c r="T420" t="s">
        <v>114</v>
      </c>
      <c r="U420" t="s">
        <v>180</v>
      </c>
      <c r="W420" t="s">
        <v>114</v>
      </c>
      <c r="X420" t="s">
        <v>2552</v>
      </c>
      <c r="Z420" t="s">
        <v>3764</v>
      </c>
      <c r="AA420" t="s">
        <v>3765</v>
      </c>
      <c r="AB420" s="1" t="s">
        <v>3766</v>
      </c>
      <c r="AC420" t="s">
        <v>3767</v>
      </c>
      <c r="AD420" t="s">
        <v>3768</v>
      </c>
      <c r="AH420" t="s">
        <v>123</v>
      </c>
      <c r="AI420" t="s">
        <v>124</v>
      </c>
      <c r="AJ420" t="s">
        <v>3769</v>
      </c>
      <c r="AK420" t="s">
        <v>126</v>
      </c>
      <c r="AL420" t="s">
        <v>127</v>
      </c>
      <c r="AN420" t="s">
        <v>3770</v>
      </c>
      <c r="AO420" t="s">
        <v>1305</v>
      </c>
      <c r="AP420" t="s">
        <v>3771</v>
      </c>
      <c r="AQ420" t="s">
        <v>131</v>
      </c>
      <c r="AR420" t="s">
        <v>132</v>
      </c>
      <c r="AS420" t="s">
        <v>1318</v>
      </c>
      <c r="AT420" t="s">
        <v>1319</v>
      </c>
      <c r="AV420" t="s">
        <v>3150</v>
      </c>
      <c r="AW420" t="s">
        <v>1928</v>
      </c>
      <c r="AX420" t="s">
        <v>317</v>
      </c>
      <c r="AY420" t="s">
        <v>177</v>
      </c>
      <c r="AZ420" t="s">
        <v>627</v>
      </c>
      <c r="BA420" t="s">
        <v>3772</v>
      </c>
      <c r="BC420" t="s">
        <v>140</v>
      </c>
      <c r="BT420" s="7">
        <f t="shared" si="37"/>
        <v>78</v>
      </c>
      <c r="BU420" s="6">
        <f t="shared" si="38"/>
        <v>72.89719626168224</v>
      </c>
      <c r="BV420" s="6">
        <f t="shared" si="39"/>
        <v>5.1028037383177569</v>
      </c>
      <c r="BW420" s="6">
        <f t="shared" si="40"/>
        <v>78</v>
      </c>
      <c r="BX420" s="6">
        <f t="shared" si="41"/>
        <v>0</v>
      </c>
    </row>
    <row r="421" spans="1:76" x14ac:dyDescent="0.35">
      <c r="A421" t="s">
        <v>3773</v>
      </c>
      <c r="B421" t="s">
        <v>107</v>
      </c>
      <c r="C421" t="s">
        <v>107</v>
      </c>
      <c r="E421" t="s">
        <v>108</v>
      </c>
      <c r="F421" t="s">
        <v>499</v>
      </c>
      <c r="G421" t="s">
        <v>500</v>
      </c>
      <c r="H421" t="s">
        <v>501</v>
      </c>
      <c r="I421" t="s">
        <v>341</v>
      </c>
      <c r="J421" t="s">
        <v>113</v>
      </c>
      <c r="K421" s="8" t="s">
        <v>114</v>
      </c>
      <c r="L421" t="s">
        <v>502</v>
      </c>
      <c r="M421" s="6">
        <v>348</v>
      </c>
      <c r="N421" t="s">
        <v>113</v>
      </c>
      <c r="O421" s="6">
        <v>209</v>
      </c>
      <c r="P421" t="s">
        <v>3608</v>
      </c>
      <c r="Q421" s="6">
        <v>3</v>
      </c>
      <c r="R421" s="7">
        <f t="shared" si="36"/>
        <v>142</v>
      </c>
      <c r="S421" t="s">
        <v>3774</v>
      </c>
      <c r="T421" t="s">
        <v>114</v>
      </c>
      <c r="U421" t="s">
        <v>114</v>
      </c>
      <c r="W421" t="s">
        <v>114</v>
      </c>
      <c r="X421" t="s">
        <v>3775</v>
      </c>
      <c r="Z421" t="s">
        <v>3776</v>
      </c>
      <c r="AA421" t="s">
        <v>3777</v>
      </c>
      <c r="AB421" s="1" t="s">
        <v>3778</v>
      </c>
      <c r="AC421" t="s">
        <v>3779</v>
      </c>
      <c r="AD421" t="s">
        <v>3777</v>
      </c>
      <c r="AH421" t="s">
        <v>123</v>
      </c>
      <c r="AI421" t="s">
        <v>124</v>
      </c>
      <c r="AJ421" t="s">
        <v>3780</v>
      </c>
      <c r="AK421" t="s">
        <v>126</v>
      </c>
      <c r="AL421" t="s">
        <v>127</v>
      </c>
      <c r="AN421" t="s">
        <v>3781</v>
      </c>
      <c r="AO421" t="s">
        <v>3782</v>
      </c>
      <c r="AP421" t="s">
        <v>3783</v>
      </c>
      <c r="AQ421" t="s">
        <v>131</v>
      </c>
      <c r="AR421" t="s">
        <v>403</v>
      </c>
      <c r="AS421" t="s">
        <v>3784</v>
      </c>
      <c r="AT421" t="s">
        <v>3785</v>
      </c>
      <c r="AV421" t="s">
        <v>940</v>
      </c>
      <c r="AX421" t="s">
        <v>136</v>
      </c>
      <c r="AY421" t="s">
        <v>177</v>
      </c>
      <c r="AZ421" t="s">
        <v>517</v>
      </c>
      <c r="BA421" t="s">
        <v>3786</v>
      </c>
      <c r="BC421" t="s">
        <v>140</v>
      </c>
      <c r="BT421" s="7">
        <f t="shared" si="37"/>
        <v>142</v>
      </c>
      <c r="BU421" s="6">
        <f t="shared" si="38"/>
        <v>132.71028037383178</v>
      </c>
      <c r="BV421" s="6">
        <f t="shared" si="39"/>
        <v>9.2897196261682247</v>
      </c>
      <c r="BW421" s="6">
        <f t="shared" si="40"/>
        <v>142</v>
      </c>
      <c r="BX421" s="6">
        <f t="shared" si="41"/>
        <v>0</v>
      </c>
    </row>
    <row r="422" spans="1:76" x14ac:dyDescent="0.35">
      <c r="A422" t="s">
        <v>3787</v>
      </c>
      <c r="B422" t="s">
        <v>336</v>
      </c>
      <c r="C422" t="s">
        <v>336</v>
      </c>
      <c r="D422" t="s">
        <v>337</v>
      </c>
      <c r="E422" t="s">
        <v>108</v>
      </c>
      <c r="F422" t="s">
        <v>613</v>
      </c>
      <c r="G422" t="s">
        <v>614</v>
      </c>
      <c r="H422" t="s">
        <v>615</v>
      </c>
      <c r="I422" t="s">
        <v>271</v>
      </c>
      <c r="J422" t="s">
        <v>113</v>
      </c>
      <c r="K422" s="8" t="s">
        <v>113</v>
      </c>
      <c r="L422" t="s">
        <v>2550</v>
      </c>
      <c r="M422" s="6">
        <v>196</v>
      </c>
      <c r="N422" t="s">
        <v>3788</v>
      </c>
      <c r="O422" s="6">
        <v>98</v>
      </c>
      <c r="P422" t="s">
        <v>3790</v>
      </c>
      <c r="Q422" s="6">
        <v>0</v>
      </c>
      <c r="R422" s="7">
        <f t="shared" si="36"/>
        <v>98</v>
      </c>
      <c r="S422" t="s">
        <v>180</v>
      </c>
      <c r="T422" t="s">
        <v>114</v>
      </c>
      <c r="U422" t="s">
        <v>180</v>
      </c>
      <c r="W422" t="s">
        <v>114</v>
      </c>
      <c r="X422" t="s">
        <v>3790</v>
      </c>
      <c r="Y422" t="s">
        <v>3790</v>
      </c>
      <c r="Z422" t="s">
        <v>3791</v>
      </c>
      <c r="AE422" t="s">
        <v>3792</v>
      </c>
      <c r="AF422" t="s">
        <v>346</v>
      </c>
      <c r="AG422" t="s">
        <v>347</v>
      </c>
      <c r="AH422" t="s">
        <v>123</v>
      </c>
      <c r="AI422" t="s">
        <v>124</v>
      </c>
      <c r="AK422" t="s">
        <v>126</v>
      </c>
      <c r="AN422" t="s">
        <v>3793</v>
      </c>
      <c r="AO422" t="s">
        <v>1144</v>
      </c>
      <c r="AP422" t="s">
        <v>3794</v>
      </c>
      <c r="AQ422" t="s">
        <v>131</v>
      </c>
      <c r="AR422" t="s">
        <v>132</v>
      </c>
      <c r="AS422" t="s">
        <v>352</v>
      </c>
      <c r="AT422" t="s">
        <v>667</v>
      </c>
      <c r="AV422" t="s">
        <v>3795</v>
      </c>
      <c r="AW422" t="s">
        <v>354</v>
      </c>
      <c r="AX422" t="s">
        <v>317</v>
      </c>
      <c r="AY422" t="s">
        <v>177</v>
      </c>
      <c r="AZ422" t="s">
        <v>627</v>
      </c>
      <c r="BT422" s="7">
        <f t="shared" si="37"/>
        <v>98</v>
      </c>
      <c r="BU422" s="6">
        <f t="shared" si="38"/>
        <v>91.588785046728972</v>
      </c>
      <c r="BV422" s="6">
        <f t="shared" si="39"/>
        <v>6.4112149532710285</v>
      </c>
      <c r="BW422" s="6">
        <f t="shared" si="40"/>
        <v>98</v>
      </c>
      <c r="BX422" s="6">
        <f t="shared" si="41"/>
        <v>0</v>
      </c>
    </row>
    <row r="423" spans="1:76" x14ac:dyDescent="0.35">
      <c r="A423" t="s">
        <v>3796</v>
      </c>
      <c r="B423" t="s">
        <v>107</v>
      </c>
      <c r="C423" t="s">
        <v>107</v>
      </c>
      <c r="F423" t="s">
        <v>158</v>
      </c>
      <c r="G423" t="s">
        <v>159</v>
      </c>
      <c r="H423" t="s">
        <v>111</v>
      </c>
      <c r="I423" t="s">
        <v>341</v>
      </c>
      <c r="J423" t="s">
        <v>113</v>
      </c>
      <c r="K423" s="8" t="s">
        <v>114</v>
      </c>
      <c r="L423" t="s">
        <v>114</v>
      </c>
      <c r="M423" s="6">
        <v>0</v>
      </c>
      <c r="N423" t="s">
        <v>114</v>
      </c>
      <c r="O423" s="6">
        <v>0</v>
      </c>
      <c r="P423" t="s">
        <v>114</v>
      </c>
      <c r="Q423" s="6">
        <v>0</v>
      </c>
      <c r="R423" s="7">
        <f t="shared" si="36"/>
        <v>0</v>
      </c>
      <c r="S423" t="s">
        <v>114</v>
      </c>
      <c r="T423" t="s">
        <v>114</v>
      </c>
      <c r="U423" t="s">
        <v>114</v>
      </c>
      <c r="W423" t="s">
        <v>114</v>
      </c>
      <c r="X423" t="s">
        <v>114</v>
      </c>
      <c r="Z423" t="s">
        <v>3797</v>
      </c>
      <c r="AA423" t="s">
        <v>3797</v>
      </c>
      <c r="AB423" s="1" t="s">
        <v>3798</v>
      </c>
      <c r="AC423" t="s">
        <v>3799</v>
      </c>
      <c r="AD423" t="s">
        <v>3800</v>
      </c>
      <c r="AH423" t="s">
        <v>123</v>
      </c>
      <c r="AI423" t="s">
        <v>124</v>
      </c>
      <c r="AJ423" t="s">
        <v>3801</v>
      </c>
      <c r="AK423" t="s">
        <v>126</v>
      </c>
      <c r="AL423" t="s">
        <v>127</v>
      </c>
      <c r="AN423" t="s">
        <v>3802</v>
      </c>
      <c r="AO423" t="s">
        <v>3803</v>
      </c>
      <c r="AP423" t="s">
        <v>3804</v>
      </c>
      <c r="AQ423" t="s">
        <v>131</v>
      </c>
      <c r="AR423" t="s">
        <v>132</v>
      </c>
      <c r="AS423" t="s">
        <v>2134</v>
      </c>
      <c r="AT423" t="s">
        <v>3805</v>
      </c>
      <c r="AV423" t="s">
        <v>625</v>
      </c>
      <c r="AY423" t="s">
        <v>177</v>
      </c>
      <c r="AZ423" t="s">
        <v>138</v>
      </c>
      <c r="BA423" t="s">
        <v>3806</v>
      </c>
      <c r="BC423" t="s">
        <v>140</v>
      </c>
      <c r="BT423" s="7">
        <f t="shared" si="37"/>
        <v>0</v>
      </c>
      <c r="BU423" s="6">
        <f t="shared" si="38"/>
        <v>0</v>
      </c>
      <c r="BV423" s="6">
        <f t="shared" si="39"/>
        <v>0</v>
      </c>
      <c r="BW423" s="6">
        <f t="shared" si="40"/>
        <v>0</v>
      </c>
      <c r="BX423" s="6">
        <f t="shared" si="41"/>
        <v>0</v>
      </c>
    </row>
    <row r="424" spans="1:76" x14ac:dyDescent="0.35">
      <c r="A424" t="s">
        <v>3807</v>
      </c>
      <c r="B424" t="s">
        <v>107</v>
      </c>
      <c r="C424" t="s">
        <v>107</v>
      </c>
      <c r="F424" t="s">
        <v>358</v>
      </c>
      <c r="G424" t="s">
        <v>359</v>
      </c>
      <c r="H424" t="s">
        <v>360</v>
      </c>
      <c r="I424" t="s">
        <v>341</v>
      </c>
      <c r="J424" t="s">
        <v>113</v>
      </c>
      <c r="K424" s="8" t="s">
        <v>114</v>
      </c>
      <c r="L424" t="s">
        <v>114</v>
      </c>
      <c r="M424" s="6">
        <v>0</v>
      </c>
      <c r="N424" t="s">
        <v>114</v>
      </c>
      <c r="O424" s="6">
        <v>0</v>
      </c>
      <c r="P424" t="s">
        <v>114</v>
      </c>
      <c r="Q424" s="6">
        <v>0</v>
      </c>
      <c r="R424" s="7">
        <f t="shared" si="36"/>
        <v>0</v>
      </c>
      <c r="S424" t="s">
        <v>114</v>
      </c>
      <c r="T424" t="s">
        <v>114</v>
      </c>
      <c r="U424" t="s">
        <v>114</v>
      </c>
      <c r="W424" t="s">
        <v>114</v>
      </c>
      <c r="X424" t="s">
        <v>114</v>
      </c>
      <c r="Z424" t="s">
        <v>3808</v>
      </c>
      <c r="AA424" t="s">
        <v>3808</v>
      </c>
      <c r="AB424" s="1" t="s">
        <v>3809</v>
      </c>
      <c r="AC424" t="s">
        <v>3810</v>
      </c>
      <c r="AD424" t="s">
        <v>3811</v>
      </c>
      <c r="AH424" t="s">
        <v>123</v>
      </c>
      <c r="AI424" t="s">
        <v>124</v>
      </c>
      <c r="AJ424" t="s">
        <v>3812</v>
      </c>
      <c r="AK424" t="s">
        <v>126</v>
      </c>
      <c r="AL424" t="s">
        <v>127</v>
      </c>
      <c r="AN424" t="s">
        <v>3813</v>
      </c>
      <c r="AO424" t="s">
        <v>3814</v>
      </c>
      <c r="AP424" t="s">
        <v>3815</v>
      </c>
      <c r="AQ424" t="s">
        <v>131</v>
      </c>
      <c r="AR424" t="s">
        <v>403</v>
      </c>
      <c r="AS424" t="s">
        <v>387</v>
      </c>
      <c r="AT424" t="s">
        <v>3038</v>
      </c>
      <c r="AV424" t="s">
        <v>1821</v>
      </c>
      <c r="AY424" t="s">
        <v>177</v>
      </c>
      <c r="AZ424" t="s">
        <v>364</v>
      </c>
      <c r="BA424" t="s">
        <v>3816</v>
      </c>
      <c r="BC424" t="s">
        <v>140</v>
      </c>
      <c r="BT424" s="7">
        <f t="shared" si="37"/>
        <v>0</v>
      </c>
      <c r="BU424" s="6">
        <f t="shared" si="38"/>
        <v>0</v>
      </c>
      <c r="BV424" s="6">
        <f t="shared" si="39"/>
        <v>0</v>
      </c>
      <c r="BW424" s="6">
        <f t="shared" si="40"/>
        <v>0</v>
      </c>
      <c r="BX424" s="6">
        <f t="shared" si="41"/>
        <v>0</v>
      </c>
    </row>
    <row r="425" spans="1:76" x14ac:dyDescent="0.35">
      <c r="A425" t="s">
        <v>3817</v>
      </c>
      <c r="B425" t="s">
        <v>107</v>
      </c>
      <c r="C425" t="s">
        <v>107</v>
      </c>
      <c r="F425" t="s">
        <v>613</v>
      </c>
      <c r="G425" t="s">
        <v>614</v>
      </c>
      <c r="H425" t="s">
        <v>615</v>
      </c>
      <c r="I425" t="s">
        <v>271</v>
      </c>
      <c r="J425" t="s">
        <v>113</v>
      </c>
      <c r="K425" s="8" t="s">
        <v>114</v>
      </c>
      <c r="L425" t="s">
        <v>114</v>
      </c>
      <c r="M425" s="6">
        <v>0</v>
      </c>
      <c r="N425" t="s">
        <v>114</v>
      </c>
      <c r="O425" s="6">
        <v>0</v>
      </c>
      <c r="P425" t="s">
        <v>114</v>
      </c>
      <c r="Q425" s="6">
        <v>0</v>
      </c>
      <c r="R425" s="7">
        <f t="shared" si="36"/>
        <v>0</v>
      </c>
      <c r="S425" t="s">
        <v>114</v>
      </c>
      <c r="T425" t="s">
        <v>114</v>
      </c>
      <c r="U425" t="s">
        <v>114</v>
      </c>
      <c r="W425" t="s">
        <v>114</v>
      </c>
      <c r="X425" t="s">
        <v>114</v>
      </c>
      <c r="Z425" t="s">
        <v>3818</v>
      </c>
      <c r="AA425" t="s">
        <v>3818</v>
      </c>
      <c r="AB425" s="1" t="s">
        <v>3819</v>
      </c>
      <c r="AC425" t="s">
        <v>3820</v>
      </c>
      <c r="AD425" t="s">
        <v>3821</v>
      </c>
      <c r="AH425" t="s">
        <v>123</v>
      </c>
      <c r="AI425" t="s">
        <v>124</v>
      </c>
      <c r="AJ425" t="s">
        <v>3822</v>
      </c>
      <c r="AK425" t="s">
        <v>126</v>
      </c>
      <c r="AL425" t="s">
        <v>127</v>
      </c>
      <c r="AN425" t="s">
        <v>3823</v>
      </c>
      <c r="AO425" t="s">
        <v>3824</v>
      </c>
      <c r="AP425" t="s">
        <v>3825</v>
      </c>
      <c r="AQ425" t="s">
        <v>131</v>
      </c>
      <c r="AR425" t="s">
        <v>132</v>
      </c>
      <c r="AS425" t="s">
        <v>3082</v>
      </c>
      <c r="AT425" t="s">
        <v>3083</v>
      </c>
      <c r="AV425" t="s">
        <v>406</v>
      </c>
      <c r="AW425" t="s">
        <v>375</v>
      </c>
      <c r="AY425" t="s">
        <v>177</v>
      </c>
      <c r="AZ425" t="s">
        <v>627</v>
      </c>
      <c r="BA425" t="s">
        <v>3826</v>
      </c>
      <c r="BC425" t="s">
        <v>140</v>
      </c>
      <c r="BT425" s="7">
        <f t="shared" si="37"/>
        <v>0</v>
      </c>
      <c r="BU425" s="6">
        <f t="shared" si="38"/>
        <v>0</v>
      </c>
      <c r="BV425" s="6">
        <f t="shared" si="39"/>
        <v>0</v>
      </c>
      <c r="BW425" s="6">
        <f t="shared" si="40"/>
        <v>0</v>
      </c>
      <c r="BX425" s="6">
        <f t="shared" si="41"/>
        <v>0</v>
      </c>
    </row>
    <row r="426" spans="1:76" x14ac:dyDescent="0.35">
      <c r="A426" t="s">
        <v>3827</v>
      </c>
      <c r="B426" t="s">
        <v>107</v>
      </c>
      <c r="C426" t="s">
        <v>107</v>
      </c>
      <c r="F426" t="s">
        <v>3828</v>
      </c>
      <c r="G426" t="s">
        <v>359</v>
      </c>
      <c r="H426" t="s">
        <v>3829</v>
      </c>
      <c r="I426" t="s">
        <v>341</v>
      </c>
      <c r="J426" t="s">
        <v>113</v>
      </c>
      <c r="K426" s="8" t="s">
        <v>114</v>
      </c>
      <c r="L426" t="s">
        <v>114</v>
      </c>
      <c r="M426" s="6">
        <v>0</v>
      </c>
      <c r="N426" t="s">
        <v>114</v>
      </c>
      <c r="O426" s="6">
        <v>0</v>
      </c>
      <c r="P426" t="s">
        <v>114</v>
      </c>
      <c r="Q426" s="6">
        <v>0</v>
      </c>
      <c r="R426" s="7">
        <f t="shared" si="36"/>
        <v>0</v>
      </c>
      <c r="S426" t="s">
        <v>114</v>
      </c>
      <c r="T426" t="s">
        <v>114</v>
      </c>
      <c r="U426" t="s">
        <v>114</v>
      </c>
      <c r="W426" t="s">
        <v>114</v>
      </c>
      <c r="X426" t="s">
        <v>114</v>
      </c>
      <c r="Z426" t="s">
        <v>3830</v>
      </c>
      <c r="AA426" t="s">
        <v>3830</v>
      </c>
      <c r="AB426" s="1" t="s">
        <v>3809</v>
      </c>
      <c r="AC426" t="s">
        <v>3820</v>
      </c>
      <c r="AD426" t="s">
        <v>3831</v>
      </c>
      <c r="AH426" t="s">
        <v>123</v>
      </c>
      <c r="AI426" t="s">
        <v>124</v>
      </c>
      <c r="AJ426" t="s">
        <v>3832</v>
      </c>
      <c r="AK426" t="s">
        <v>126</v>
      </c>
      <c r="AL426" t="s">
        <v>127</v>
      </c>
      <c r="AN426" t="s">
        <v>3833</v>
      </c>
      <c r="AO426" t="s">
        <v>3834</v>
      </c>
      <c r="AP426" t="s">
        <v>3835</v>
      </c>
      <c r="AQ426" t="s">
        <v>131</v>
      </c>
      <c r="AR426" t="s">
        <v>132</v>
      </c>
      <c r="AS426" t="s">
        <v>1440</v>
      </c>
      <c r="AT426" t="s">
        <v>1730</v>
      </c>
      <c r="AV426" t="s">
        <v>3836</v>
      </c>
      <c r="AY426" t="s">
        <v>177</v>
      </c>
      <c r="AZ426" t="s">
        <v>364</v>
      </c>
      <c r="BA426" t="s">
        <v>3837</v>
      </c>
      <c r="BC426" t="s">
        <v>140</v>
      </c>
      <c r="BT426" s="7">
        <f t="shared" si="37"/>
        <v>0</v>
      </c>
      <c r="BU426" s="6">
        <f t="shared" si="38"/>
        <v>0</v>
      </c>
      <c r="BV426" s="6">
        <f t="shared" si="39"/>
        <v>0</v>
      </c>
      <c r="BW426" s="6">
        <f t="shared" si="40"/>
        <v>0</v>
      </c>
      <c r="BX426" s="6">
        <f t="shared" si="41"/>
        <v>0</v>
      </c>
    </row>
    <row r="427" spans="1:76" x14ac:dyDescent="0.35">
      <c r="A427" t="s">
        <v>3838</v>
      </c>
      <c r="B427" t="s">
        <v>107</v>
      </c>
      <c r="C427" t="s">
        <v>107</v>
      </c>
      <c r="E427" t="s">
        <v>108</v>
      </c>
      <c r="F427" t="s">
        <v>338</v>
      </c>
      <c r="G427" t="s">
        <v>339</v>
      </c>
      <c r="H427" t="s">
        <v>340</v>
      </c>
      <c r="I427" t="s">
        <v>341</v>
      </c>
      <c r="J427" t="s">
        <v>113</v>
      </c>
      <c r="K427" s="8" t="s">
        <v>114</v>
      </c>
      <c r="L427" t="s">
        <v>114</v>
      </c>
      <c r="M427" s="6">
        <v>0</v>
      </c>
      <c r="N427" t="s">
        <v>114</v>
      </c>
      <c r="O427" s="6">
        <v>0</v>
      </c>
      <c r="P427" t="s">
        <v>114</v>
      </c>
      <c r="Q427" s="6">
        <v>0</v>
      </c>
      <c r="R427" s="7">
        <f t="shared" si="36"/>
        <v>0</v>
      </c>
      <c r="S427" t="s">
        <v>180</v>
      </c>
      <c r="T427" t="s">
        <v>114</v>
      </c>
      <c r="U427" t="s">
        <v>180</v>
      </c>
      <c r="W427" t="s">
        <v>114</v>
      </c>
      <c r="X427" t="s">
        <v>562</v>
      </c>
      <c r="Z427" t="s">
        <v>3839</v>
      </c>
      <c r="AA427" t="s">
        <v>3840</v>
      </c>
      <c r="AB427" s="1" t="s">
        <v>3841</v>
      </c>
      <c r="AC427" t="s">
        <v>3842</v>
      </c>
      <c r="AD427" t="s">
        <v>3840</v>
      </c>
      <c r="AH427" t="s">
        <v>123</v>
      </c>
      <c r="AI427" t="s">
        <v>124</v>
      </c>
      <c r="AJ427" t="s">
        <v>3843</v>
      </c>
      <c r="AK427" t="s">
        <v>126</v>
      </c>
      <c r="AL427" t="s">
        <v>127</v>
      </c>
      <c r="AN427" t="s">
        <v>3844</v>
      </c>
      <c r="AO427" t="s">
        <v>3845</v>
      </c>
      <c r="AP427" t="s">
        <v>3846</v>
      </c>
      <c r="AQ427" t="s">
        <v>131</v>
      </c>
      <c r="AR427" t="s">
        <v>132</v>
      </c>
      <c r="AS427" t="s">
        <v>623</v>
      </c>
      <c r="AT427" t="s">
        <v>3847</v>
      </c>
      <c r="AV427" t="s">
        <v>355</v>
      </c>
      <c r="AX427" t="s">
        <v>136</v>
      </c>
      <c r="AY427" t="s">
        <v>177</v>
      </c>
      <c r="AZ427" t="s">
        <v>356</v>
      </c>
      <c r="BA427" t="s">
        <v>3848</v>
      </c>
      <c r="BC427" t="s">
        <v>140</v>
      </c>
      <c r="BT427" s="7">
        <f t="shared" si="37"/>
        <v>0</v>
      </c>
      <c r="BU427" s="6">
        <f t="shared" si="38"/>
        <v>0</v>
      </c>
      <c r="BV427" s="6">
        <f t="shared" si="39"/>
        <v>0</v>
      </c>
      <c r="BW427" s="6">
        <f t="shared" si="40"/>
        <v>0</v>
      </c>
      <c r="BX427" s="6">
        <f t="shared" si="41"/>
        <v>0</v>
      </c>
    </row>
    <row r="428" spans="1:76" x14ac:dyDescent="0.35">
      <c r="A428" t="s">
        <v>3838</v>
      </c>
      <c r="B428" t="s">
        <v>107</v>
      </c>
      <c r="C428" t="s">
        <v>107</v>
      </c>
      <c r="E428" t="s">
        <v>108</v>
      </c>
      <c r="F428" t="s">
        <v>358</v>
      </c>
      <c r="G428" t="s">
        <v>359</v>
      </c>
      <c r="H428" t="s">
        <v>360</v>
      </c>
      <c r="I428" t="s">
        <v>341</v>
      </c>
      <c r="J428" t="s">
        <v>113</v>
      </c>
      <c r="K428" s="8" t="s">
        <v>114</v>
      </c>
      <c r="L428" t="s">
        <v>361</v>
      </c>
      <c r="M428" s="6">
        <v>233</v>
      </c>
      <c r="N428" t="s">
        <v>113</v>
      </c>
      <c r="O428" s="6">
        <v>127</v>
      </c>
      <c r="P428" t="s">
        <v>562</v>
      </c>
      <c r="Q428" s="6">
        <v>0</v>
      </c>
      <c r="R428" s="7">
        <f t="shared" si="36"/>
        <v>106</v>
      </c>
      <c r="S428" t="s">
        <v>180</v>
      </c>
      <c r="T428" t="s">
        <v>114</v>
      </c>
      <c r="U428" t="s">
        <v>180</v>
      </c>
      <c r="W428" t="s">
        <v>114</v>
      </c>
      <c r="X428" t="s">
        <v>562</v>
      </c>
      <c r="Z428" t="s">
        <v>3839</v>
      </c>
      <c r="AA428" t="s">
        <v>3840</v>
      </c>
      <c r="AB428" s="1" t="s">
        <v>3841</v>
      </c>
      <c r="AC428" t="s">
        <v>3842</v>
      </c>
      <c r="AD428" t="s">
        <v>3840</v>
      </c>
      <c r="AH428" t="s">
        <v>123</v>
      </c>
      <c r="AI428" t="s">
        <v>124</v>
      </c>
      <c r="AJ428" t="s">
        <v>3843</v>
      </c>
      <c r="AK428" t="s">
        <v>126</v>
      </c>
      <c r="AL428" t="s">
        <v>127</v>
      </c>
      <c r="AN428" t="s">
        <v>3844</v>
      </c>
      <c r="AO428" t="s">
        <v>3845</v>
      </c>
      <c r="AP428" t="s">
        <v>3846</v>
      </c>
      <c r="AQ428" t="s">
        <v>131</v>
      </c>
      <c r="AR428" t="s">
        <v>132</v>
      </c>
      <c r="AS428" t="s">
        <v>623</v>
      </c>
      <c r="AT428" t="s">
        <v>3847</v>
      </c>
      <c r="AV428" t="s">
        <v>355</v>
      </c>
      <c r="AX428" t="s">
        <v>136</v>
      </c>
      <c r="AY428" t="s">
        <v>177</v>
      </c>
      <c r="AZ428" t="s">
        <v>364</v>
      </c>
      <c r="BA428" t="s">
        <v>3848</v>
      </c>
      <c r="BC428" t="s">
        <v>140</v>
      </c>
      <c r="BT428" s="7">
        <f t="shared" si="37"/>
        <v>106</v>
      </c>
      <c r="BU428" s="6">
        <f t="shared" si="38"/>
        <v>99.065420560747654</v>
      </c>
      <c r="BV428" s="6">
        <f t="shared" si="39"/>
        <v>6.9345794392523361</v>
      </c>
      <c r="BW428" s="6">
        <f t="shared" si="40"/>
        <v>105.99999999999999</v>
      </c>
      <c r="BX428" s="6">
        <f t="shared" si="41"/>
        <v>0</v>
      </c>
    </row>
    <row r="429" spans="1:76" x14ac:dyDescent="0.35">
      <c r="A429" t="s">
        <v>3849</v>
      </c>
      <c r="B429" t="s">
        <v>336</v>
      </c>
      <c r="C429" t="s">
        <v>336</v>
      </c>
      <c r="D429" t="s">
        <v>337</v>
      </c>
      <c r="E429" t="s">
        <v>108</v>
      </c>
      <c r="F429" t="s">
        <v>268</v>
      </c>
      <c r="G429" t="s">
        <v>269</v>
      </c>
      <c r="H429" t="s">
        <v>2268</v>
      </c>
      <c r="I429" t="s">
        <v>271</v>
      </c>
      <c r="J429" t="s">
        <v>113</v>
      </c>
      <c r="K429" s="8" t="s">
        <v>113</v>
      </c>
      <c r="L429" t="s">
        <v>114</v>
      </c>
      <c r="M429" s="6">
        <v>0</v>
      </c>
      <c r="N429" t="s">
        <v>114</v>
      </c>
      <c r="O429" s="6">
        <v>0</v>
      </c>
      <c r="P429" t="s">
        <v>114</v>
      </c>
      <c r="Q429" s="6">
        <v>0</v>
      </c>
      <c r="R429" s="7">
        <f t="shared" si="36"/>
        <v>0</v>
      </c>
      <c r="S429" t="s">
        <v>180</v>
      </c>
      <c r="T429" t="s">
        <v>114</v>
      </c>
      <c r="U429" t="s">
        <v>180</v>
      </c>
      <c r="W429" t="s">
        <v>114</v>
      </c>
      <c r="X429" t="s">
        <v>1111</v>
      </c>
      <c r="Y429" t="s">
        <v>114</v>
      </c>
      <c r="Z429" t="s">
        <v>3850</v>
      </c>
      <c r="AE429" t="s">
        <v>3851</v>
      </c>
      <c r="AF429" t="s">
        <v>474</v>
      </c>
      <c r="AG429" t="s">
        <v>2636</v>
      </c>
      <c r="AH429" t="s">
        <v>123</v>
      </c>
      <c r="AI429" t="s">
        <v>124</v>
      </c>
      <c r="AK429" t="s">
        <v>126</v>
      </c>
      <c r="AN429" t="s">
        <v>3852</v>
      </c>
      <c r="AO429" t="s">
        <v>3853</v>
      </c>
      <c r="AP429" t="s">
        <v>3854</v>
      </c>
      <c r="AQ429" t="s">
        <v>131</v>
      </c>
      <c r="AR429" t="s">
        <v>132</v>
      </c>
      <c r="AS429" t="s">
        <v>284</v>
      </c>
      <c r="AT429" t="s">
        <v>1194</v>
      </c>
      <c r="AV429" t="s">
        <v>190</v>
      </c>
      <c r="AW429" t="s">
        <v>264</v>
      </c>
      <c r="AX429" t="s">
        <v>317</v>
      </c>
      <c r="AY429" t="s">
        <v>272</v>
      </c>
      <c r="AZ429" t="s">
        <v>273</v>
      </c>
      <c r="BT429" s="7">
        <f t="shared" si="37"/>
        <v>0</v>
      </c>
      <c r="BU429" s="6">
        <f t="shared" si="38"/>
        <v>0</v>
      </c>
      <c r="BV429" s="6">
        <f t="shared" si="39"/>
        <v>0</v>
      </c>
      <c r="BW429" s="6">
        <f t="shared" si="40"/>
        <v>0</v>
      </c>
      <c r="BX429" s="6">
        <f t="shared" si="41"/>
        <v>0</v>
      </c>
    </row>
    <row r="430" spans="1:76" x14ac:dyDescent="0.35">
      <c r="A430" t="s">
        <v>3849</v>
      </c>
      <c r="B430" t="s">
        <v>336</v>
      </c>
      <c r="C430" t="s">
        <v>336</v>
      </c>
      <c r="D430" t="s">
        <v>337</v>
      </c>
      <c r="E430" t="s">
        <v>108</v>
      </c>
      <c r="F430" t="s">
        <v>158</v>
      </c>
      <c r="G430" t="s">
        <v>159</v>
      </c>
      <c r="H430" t="s">
        <v>111</v>
      </c>
      <c r="I430" t="s">
        <v>341</v>
      </c>
      <c r="J430" t="s">
        <v>113</v>
      </c>
      <c r="K430" s="8" t="s">
        <v>113</v>
      </c>
      <c r="L430" t="s">
        <v>161</v>
      </c>
      <c r="M430" s="6">
        <v>459</v>
      </c>
      <c r="N430" t="s">
        <v>114</v>
      </c>
      <c r="O430" s="6">
        <v>220</v>
      </c>
      <c r="P430" t="s">
        <v>1111</v>
      </c>
      <c r="Q430" s="6">
        <v>0</v>
      </c>
      <c r="R430" s="7">
        <f t="shared" si="36"/>
        <v>239</v>
      </c>
      <c r="S430" t="s">
        <v>180</v>
      </c>
      <c r="T430" t="s">
        <v>114</v>
      </c>
      <c r="U430" t="s">
        <v>180</v>
      </c>
      <c r="W430" t="s">
        <v>114</v>
      </c>
      <c r="X430" t="s">
        <v>1111</v>
      </c>
      <c r="Y430" t="s">
        <v>1111</v>
      </c>
      <c r="Z430" t="s">
        <v>3850</v>
      </c>
      <c r="AE430" t="s">
        <v>3851</v>
      </c>
      <c r="AF430" t="s">
        <v>474</v>
      </c>
      <c r="AG430" t="s">
        <v>2636</v>
      </c>
      <c r="AH430" t="s">
        <v>123</v>
      </c>
      <c r="AI430" t="s">
        <v>124</v>
      </c>
      <c r="AK430" t="s">
        <v>126</v>
      </c>
      <c r="AN430" t="s">
        <v>3852</v>
      </c>
      <c r="AO430" t="s">
        <v>3853</v>
      </c>
      <c r="AP430" t="s">
        <v>3854</v>
      </c>
      <c r="AQ430" t="s">
        <v>131</v>
      </c>
      <c r="AR430" t="s">
        <v>132</v>
      </c>
      <c r="AS430" t="s">
        <v>284</v>
      </c>
      <c r="AT430" t="s">
        <v>1194</v>
      </c>
      <c r="AV430" t="s">
        <v>190</v>
      </c>
      <c r="AW430" t="s">
        <v>264</v>
      </c>
      <c r="AX430" t="s">
        <v>317</v>
      </c>
      <c r="AY430" t="s">
        <v>177</v>
      </c>
      <c r="AZ430" t="s">
        <v>138</v>
      </c>
      <c r="BT430" s="7">
        <f t="shared" si="37"/>
        <v>239</v>
      </c>
      <c r="BU430" s="6">
        <f t="shared" si="38"/>
        <v>223.36448598130841</v>
      </c>
      <c r="BV430" s="6">
        <f t="shared" si="39"/>
        <v>15.635514018691588</v>
      </c>
      <c r="BW430" s="6">
        <f t="shared" si="40"/>
        <v>239</v>
      </c>
      <c r="BX430" s="6">
        <f t="shared" si="41"/>
        <v>0</v>
      </c>
    </row>
    <row r="431" spans="1:76" x14ac:dyDescent="0.35">
      <c r="A431" t="s">
        <v>3855</v>
      </c>
      <c r="B431" t="s">
        <v>107</v>
      </c>
      <c r="C431" t="s">
        <v>107</v>
      </c>
      <c r="E431" t="s">
        <v>108</v>
      </c>
      <c r="F431" t="s">
        <v>3856</v>
      </c>
      <c r="G431" t="s">
        <v>3857</v>
      </c>
      <c r="H431" t="s">
        <v>3858</v>
      </c>
      <c r="I431" t="s">
        <v>341</v>
      </c>
      <c r="J431" t="s">
        <v>113</v>
      </c>
      <c r="K431" s="8" t="s">
        <v>114</v>
      </c>
      <c r="L431" t="s">
        <v>857</v>
      </c>
      <c r="M431" s="6">
        <v>218</v>
      </c>
      <c r="N431" t="s">
        <v>114</v>
      </c>
      <c r="O431" s="6">
        <v>116</v>
      </c>
      <c r="P431" t="s">
        <v>3859</v>
      </c>
      <c r="Q431" s="6">
        <v>0</v>
      </c>
      <c r="R431" s="7">
        <f t="shared" si="36"/>
        <v>102</v>
      </c>
      <c r="S431" t="s">
        <v>142</v>
      </c>
      <c r="T431" t="s">
        <v>114</v>
      </c>
      <c r="U431" t="s">
        <v>142</v>
      </c>
      <c r="W431" t="s">
        <v>114</v>
      </c>
      <c r="X431" t="s">
        <v>3859</v>
      </c>
      <c r="Z431" t="s">
        <v>3860</v>
      </c>
      <c r="AA431" t="s">
        <v>3861</v>
      </c>
      <c r="AB431" s="1" t="s">
        <v>3862</v>
      </c>
      <c r="AC431" t="s">
        <v>3863</v>
      </c>
      <c r="AD431" t="s">
        <v>3864</v>
      </c>
      <c r="AH431" t="s">
        <v>123</v>
      </c>
      <c r="AI431" t="s">
        <v>124</v>
      </c>
      <c r="AJ431" t="s">
        <v>3865</v>
      </c>
      <c r="AK431" t="s">
        <v>126</v>
      </c>
      <c r="AL431" t="s">
        <v>127</v>
      </c>
      <c r="AN431" t="s">
        <v>3866</v>
      </c>
      <c r="AO431" t="s">
        <v>3867</v>
      </c>
      <c r="AP431" t="s">
        <v>3868</v>
      </c>
      <c r="AQ431" t="s">
        <v>131</v>
      </c>
      <c r="AR431" t="s">
        <v>132</v>
      </c>
      <c r="AS431" t="s">
        <v>387</v>
      </c>
      <c r="AT431" t="s">
        <v>1742</v>
      </c>
      <c r="AV431" t="s">
        <v>798</v>
      </c>
      <c r="AX431" t="s">
        <v>317</v>
      </c>
      <c r="AY431" t="s">
        <v>547</v>
      </c>
      <c r="AZ431" t="s">
        <v>273</v>
      </c>
      <c r="BA431" t="s">
        <v>3869</v>
      </c>
      <c r="BC431" t="s">
        <v>140</v>
      </c>
      <c r="BT431" s="7">
        <f t="shared" si="37"/>
        <v>102</v>
      </c>
      <c r="BU431" s="6">
        <f t="shared" si="38"/>
        <v>95.327102803738313</v>
      </c>
      <c r="BV431" s="6">
        <f t="shared" si="39"/>
        <v>6.6728971962616823</v>
      </c>
      <c r="BW431" s="6">
        <f t="shared" si="40"/>
        <v>102</v>
      </c>
      <c r="BX431" s="6">
        <f t="shared" si="41"/>
        <v>0</v>
      </c>
    </row>
    <row r="432" spans="1:76" x14ac:dyDescent="0.35">
      <c r="A432" t="s">
        <v>3870</v>
      </c>
      <c r="B432" t="s">
        <v>107</v>
      </c>
      <c r="C432" t="s">
        <v>107</v>
      </c>
      <c r="E432" t="s">
        <v>108</v>
      </c>
      <c r="F432" t="s">
        <v>499</v>
      </c>
      <c r="G432" t="s">
        <v>500</v>
      </c>
      <c r="H432" t="s">
        <v>501</v>
      </c>
      <c r="I432" t="s">
        <v>341</v>
      </c>
      <c r="J432" t="s">
        <v>113</v>
      </c>
      <c r="K432" s="8" t="s">
        <v>114</v>
      </c>
      <c r="L432" t="s">
        <v>502</v>
      </c>
      <c r="M432" s="6">
        <v>348</v>
      </c>
      <c r="N432" t="s">
        <v>113</v>
      </c>
      <c r="O432" s="6">
        <v>209</v>
      </c>
      <c r="P432" t="s">
        <v>3608</v>
      </c>
      <c r="Q432" s="6">
        <v>29</v>
      </c>
      <c r="R432" s="7">
        <f t="shared" si="36"/>
        <v>168</v>
      </c>
      <c r="S432" t="s">
        <v>142</v>
      </c>
      <c r="T432" t="s">
        <v>114</v>
      </c>
      <c r="U432" t="s">
        <v>114</v>
      </c>
      <c r="W432" t="s">
        <v>114</v>
      </c>
      <c r="X432" t="s">
        <v>275</v>
      </c>
      <c r="Z432" t="s">
        <v>3871</v>
      </c>
      <c r="AA432" t="s">
        <v>3872</v>
      </c>
      <c r="AB432" s="1" t="s">
        <v>3873</v>
      </c>
      <c r="AC432" t="s">
        <v>3874</v>
      </c>
      <c r="AD432" t="s">
        <v>3875</v>
      </c>
      <c r="AH432" t="s">
        <v>123</v>
      </c>
      <c r="AI432" t="s">
        <v>124</v>
      </c>
      <c r="AJ432" t="s">
        <v>3876</v>
      </c>
      <c r="AK432" t="s">
        <v>126</v>
      </c>
      <c r="AL432" t="s">
        <v>127</v>
      </c>
      <c r="AN432" t="s">
        <v>3877</v>
      </c>
      <c r="AO432" t="s">
        <v>464</v>
      </c>
      <c r="AP432" t="s">
        <v>3878</v>
      </c>
      <c r="AQ432" t="s">
        <v>131</v>
      </c>
      <c r="AR432" t="s">
        <v>233</v>
      </c>
      <c r="AS432" t="s">
        <v>234</v>
      </c>
      <c r="AT432" t="s">
        <v>3879</v>
      </c>
      <c r="AV432" t="s">
        <v>204</v>
      </c>
      <c r="AW432" t="s">
        <v>131</v>
      </c>
      <c r="AX432" t="s">
        <v>176</v>
      </c>
      <c r="AY432" t="s">
        <v>177</v>
      </c>
      <c r="AZ432" t="s">
        <v>517</v>
      </c>
      <c r="BA432" t="s">
        <v>3880</v>
      </c>
      <c r="BC432" t="s">
        <v>140</v>
      </c>
      <c r="BT432" s="7">
        <f t="shared" si="37"/>
        <v>168</v>
      </c>
      <c r="BU432" s="6">
        <f t="shared" si="38"/>
        <v>157.00934579439252</v>
      </c>
      <c r="BV432" s="6">
        <f t="shared" si="39"/>
        <v>10.990654205607475</v>
      </c>
      <c r="BW432" s="6">
        <f t="shared" si="40"/>
        <v>168</v>
      </c>
      <c r="BX432" s="6">
        <f t="shared" si="41"/>
        <v>0</v>
      </c>
    </row>
    <row r="433" spans="1:76" x14ac:dyDescent="0.35">
      <c r="A433" t="s">
        <v>3881</v>
      </c>
      <c r="B433" t="s">
        <v>107</v>
      </c>
      <c r="C433" t="s">
        <v>107</v>
      </c>
      <c r="E433" t="s">
        <v>108</v>
      </c>
      <c r="F433" t="s">
        <v>158</v>
      </c>
      <c r="G433" t="s">
        <v>159</v>
      </c>
      <c r="H433" t="s">
        <v>111</v>
      </c>
      <c r="I433" t="s">
        <v>341</v>
      </c>
      <c r="J433" t="s">
        <v>113</v>
      </c>
      <c r="K433" s="8" t="s">
        <v>114</v>
      </c>
      <c r="L433" t="s">
        <v>161</v>
      </c>
      <c r="M433" s="6">
        <v>459</v>
      </c>
      <c r="N433" t="s">
        <v>994</v>
      </c>
      <c r="O433" s="6">
        <v>220</v>
      </c>
      <c r="P433" t="s">
        <v>1151</v>
      </c>
      <c r="Q433" s="6">
        <v>0</v>
      </c>
      <c r="R433" s="7">
        <f t="shared" si="36"/>
        <v>239</v>
      </c>
      <c r="S433" t="s">
        <v>180</v>
      </c>
      <c r="T433" t="s">
        <v>114</v>
      </c>
      <c r="U433" t="s">
        <v>180</v>
      </c>
      <c r="W433" t="s">
        <v>114</v>
      </c>
      <c r="X433" t="s">
        <v>1151</v>
      </c>
      <c r="Z433" t="s">
        <v>3882</v>
      </c>
      <c r="AA433" t="s">
        <v>3883</v>
      </c>
      <c r="AB433" s="1" t="s">
        <v>3884</v>
      </c>
      <c r="AC433" t="s">
        <v>3885</v>
      </c>
      <c r="AD433" t="s">
        <v>3883</v>
      </c>
      <c r="AH433" t="s">
        <v>123</v>
      </c>
      <c r="AI433" t="s">
        <v>124</v>
      </c>
      <c r="AJ433" t="s">
        <v>3886</v>
      </c>
      <c r="AK433" t="s">
        <v>126</v>
      </c>
      <c r="AL433" t="s">
        <v>127</v>
      </c>
      <c r="AN433" t="s">
        <v>3887</v>
      </c>
      <c r="AO433" t="s">
        <v>3888</v>
      </c>
      <c r="AP433" t="s">
        <v>3889</v>
      </c>
      <c r="AQ433" t="s">
        <v>131</v>
      </c>
      <c r="AR433" t="s">
        <v>132</v>
      </c>
      <c r="AS433" t="s">
        <v>297</v>
      </c>
      <c r="AT433" t="s">
        <v>3890</v>
      </c>
      <c r="AV433" t="s">
        <v>299</v>
      </c>
      <c r="AX433" t="s">
        <v>136</v>
      </c>
      <c r="AY433" t="s">
        <v>177</v>
      </c>
      <c r="AZ433" t="s">
        <v>138</v>
      </c>
      <c r="BA433" t="s">
        <v>3891</v>
      </c>
      <c r="BC433" t="s">
        <v>140</v>
      </c>
      <c r="BT433" s="7">
        <f t="shared" si="37"/>
        <v>239</v>
      </c>
      <c r="BU433" s="6">
        <f t="shared" si="38"/>
        <v>223.36448598130841</v>
      </c>
      <c r="BV433" s="6">
        <f t="shared" si="39"/>
        <v>15.635514018691588</v>
      </c>
      <c r="BW433" s="6">
        <f t="shared" si="40"/>
        <v>239</v>
      </c>
      <c r="BX433" s="6">
        <f t="shared" si="41"/>
        <v>0</v>
      </c>
    </row>
    <row r="434" spans="1:76" x14ac:dyDescent="0.35">
      <c r="A434" t="s">
        <v>3881</v>
      </c>
      <c r="B434" t="s">
        <v>107</v>
      </c>
      <c r="C434" t="s">
        <v>107</v>
      </c>
      <c r="E434" t="s">
        <v>108</v>
      </c>
      <c r="F434" t="s">
        <v>268</v>
      </c>
      <c r="G434" t="s">
        <v>269</v>
      </c>
      <c r="H434" t="s">
        <v>2268</v>
      </c>
      <c r="I434" t="s">
        <v>271</v>
      </c>
      <c r="J434" t="s">
        <v>113</v>
      </c>
      <c r="K434" s="8" t="s">
        <v>114</v>
      </c>
      <c r="L434" t="s">
        <v>114</v>
      </c>
      <c r="M434" s="6">
        <v>0</v>
      </c>
      <c r="N434" t="s">
        <v>114</v>
      </c>
      <c r="O434" s="6">
        <v>0</v>
      </c>
      <c r="P434" t="s">
        <v>114</v>
      </c>
      <c r="Q434" s="6">
        <v>0</v>
      </c>
      <c r="R434" s="7">
        <f t="shared" si="36"/>
        <v>0</v>
      </c>
      <c r="S434" t="s">
        <v>180</v>
      </c>
      <c r="T434" t="s">
        <v>114</v>
      </c>
      <c r="U434" t="s">
        <v>180</v>
      </c>
      <c r="W434" t="s">
        <v>114</v>
      </c>
      <c r="X434" t="s">
        <v>1151</v>
      </c>
      <c r="Z434" t="s">
        <v>3882</v>
      </c>
      <c r="AA434" t="s">
        <v>3883</v>
      </c>
      <c r="AB434" s="1" t="s">
        <v>3884</v>
      </c>
      <c r="AC434" t="s">
        <v>3885</v>
      </c>
      <c r="AD434" t="s">
        <v>3883</v>
      </c>
      <c r="AH434" t="s">
        <v>123</v>
      </c>
      <c r="AI434" t="s">
        <v>124</v>
      </c>
      <c r="AJ434" t="s">
        <v>3886</v>
      </c>
      <c r="AK434" t="s">
        <v>126</v>
      </c>
      <c r="AL434" t="s">
        <v>127</v>
      </c>
      <c r="AN434" t="s">
        <v>3887</v>
      </c>
      <c r="AO434" t="s">
        <v>3888</v>
      </c>
      <c r="AP434" t="s">
        <v>3889</v>
      </c>
      <c r="AQ434" t="s">
        <v>131</v>
      </c>
      <c r="AR434" t="s">
        <v>132</v>
      </c>
      <c r="AS434" t="s">
        <v>297</v>
      </c>
      <c r="AT434" t="s">
        <v>3890</v>
      </c>
      <c r="AV434" t="s">
        <v>299</v>
      </c>
      <c r="AX434" t="s">
        <v>136</v>
      </c>
      <c r="AY434" t="s">
        <v>272</v>
      </c>
      <c r="AZ434" t="s">
        <v>273</v>
      </c>
      <c r="BA434" t="s">
        <v>3891</v>
      </c>
      <c r="BC434" t="s">
        <v>140</v>
      </c>
      <c r="BT434" s="7">
        <f t="shared" si="37"/>
        <v>0</v>
      </c>
      <c r="BU434" s="6">
        <f t="shared" si="38"/>
        <v>0</v>
      </c>
      <c r="BV434" s="6">
        <f t="shared" si="39"/>
        <v>0</v>
      </c>
      <c r="BW434" s="6">
        <f t="shared" si="40"/>
        <v>0</v>
      </c>
      <c r="BX434" s="6">
        <f t="shared" si="41"/>
        <v>0</v>
      </c>
    </row>
    <row r="435" spans="1:76" x14ac:dyDescent="0.35">
      <c r="A435" t="s">
        <v>3892</v>
      </c>
      <c r="B435" t="s">
        <v>107</v>
      </c>
      <c r="C435" t="s">
        <v>107</v>
      </c>
      <c r="E435" t="s">
        <v>108</v>
      </c>
      <c r="F435" t="s">
        <v>338</v>
      </c>
      <c r="G435" t="s">
        <v>339</v>
      </c>
      <c r="H435" t="s">
        <v>340</v>
      </c>
      <c r="I435" t="s">
        <v>341</v>
      </c>
      <c r="J435" t="s">
        <v>113</v>
      </c>
      <c r="K435" s="8" t="s">
        <v>114</v>
      </c>
      <c r="L435" t="s">
        <v>114</v>
      </c>
      <c r="M435" s="6">
        <v>0</v>
      </c>
      <c r="N435" t="s">
        <v>114</v>
      </c>
      <c r="O435" s="6">
        <v>0</v>
      </c>
      <c r="P435" t="s">
        <v>114</v>
      </c>
      <c r="Q435" s="6">
        <v>0</v>
      </c>
      <c r="R435" s="7">
        <f t="shared" si="36"/>
        <v>0</v>
      </c>
      <c r="S435" t="s">
        <v>142</v>
      </c>
      <c r="T435" t="s">
        <v>114</v>
      </c>
      <c r="U435" t="s">
        <v>142</v>
      </c>
      <c r="W435" t="s">
        <v>114</v>
      </c>
      <c r="X435" t="s">
        <v>3893</v>
      </c>
      <c r="Z435" t="s">
        <v>3894</v>
      </c>
      <c r="AA435" t="s">
        <v>3895</v>
      </c>
      <c r="AB435" s="1" t="s">
        <v>3896</v>
      </c>
      <c r="AC435" t="s">
        <v>3897</v>
      </c>
      <c r="AD435" t="s">
        <v>3898</v>
      </c>
      <c r="AH435" t="s">
        <v>123</v>
      </c>
      <c r="AI435" t="s">
        <v>124</v>
      </c>
      <c r="AJ435" t="s">
        <v>3899</v>
      </c>
      <c r="AK435" t="s">
        <v>126</v>
      </c>
      <c r="AL435" t="s">
        <v>127</v>
      </c>
      <c r="AN435" t="s">
        <v>3900</v>
      </c>
      <c r="AO435" t="s">
        <v>3901</v>
      </c>
      <c r="AP435" t="s">
        <v>3902</v>
      </c>
      <c r="AQ435" t="s">
        <v>131</v>
      </c>
      <c r="AR435" t="s">
        <v>233</v>
      </c>
      <c r="AS435" t="s">
        <v>234</v>
      </c>
      <c r="AT435" t="s">
        <v>3903</v>
      </c>
      <c r="AV435" t="s">
        <v>1135</v>
      </c>
      <c r="AW435" t="s">
        <v>219</v>
      </c>
      <c r="AX435" t="s">
        <v>176</v>
      </c>
      <c r="AY435" t="s">
        <v>177</v>
      </c>
      <c r="AZ435" t="s">
        <v>356</v>
      </c>
      <c r="BA435" t="s">
        <v>3904</v>
      </c>
      <c r="BC435" t="s">
        <v>140</v>
      </c>
      <c r="BT435" s="7">
        <f t="shared" si="37"/>
        <v>0</v>
      </c>
      <c r="BU435" s="6">
        <f t="shared" si="38"/>
        <v>0</v>
      </c>
      <c r="BV435" s="6">
        <f t="shared" si="39"/>
        <v>0</v>
      </c>
      <c r="BW435" s="6">
        <f t="shared" si="40"/>
        <v>0</v>
      </c>
      <c r="BX435" s="6">
        <f t="shared" si="41"/>
        <v>0</v>
      </c>
    </row>
    <row r="436" spans="1:76" x14ac:dyDescent="0.35">
      <c r="A436" t="s">
        <v>3892</v>
      </c>
      <c r="B436" t="s">
        <v>107</v>
      </c>
      <c r="C436" t="s">
        <v>107</v>
      </c>
      <c r="E436" t="s">
        <v>108</v>
      </c>
      <c r="F436" t="s">
        <v>358</v>
      </c>
      <c r="G436" t="s">
        <v>359</v>
      </c>
      <c r="H436" t="s">
        <v>360</v>
      </c>
      <c r="I436" t="s">
        <v>341</v>
      </c>
      <c r="J436" t="s">
        <v>1548</v>
      </c>
      <c r="K436" s="8" t="s">
        <v>114</v>
      </c>
      <c r="L436" t="s">
        <v>361</v>
      </c>
      <c r="M436" s="6">
        <v>466</v>
      </c>
      <c r="N436" t="s">
        <v>1548</v>
      </c>
      <c r="O436" s="6">
        <v>254</v>
      </c>
      <c r="P436" t="s">
        <v>3893</v>
      </c>
      <c r="Q436" s="6">
        <v>0</v>
      </c>
      <c r="R436" s="7">
        <f t="shared" si="36"/>
        <v>212</v>
      </c>
      <c r="S436" t="s">
        <v>142</v>
      </c>
      <c r="T436" t="s">
        <v>114</v>
      </c>
      <c r="U436" t="s">
        <v>142</v>
      </c>
      <c r="W436" t="s">
        <v>114</v>
      </c>
      <c r="X436" t="s">
        <v>3893</v>
      </c>
      <c r="Z436" t="s">
        <v>3894</v>
      </c>
      <c r="AA436" t="s">
        <v>3895</v>
      </c>
      <c r="AB436" s="1" t="s">
        <v>3896</v>
      </c>
      <c r="AC436" t="s">
        <v>3897</v>
      </c>
      <c r="AD436" t="s">
        <v>3898</v>
      </c>
      <c r="AH436" t="s">
        <v>123</v>
      </c>
      <c r="AI436" t="s">
        <v>124</v>
      </c>
      <c r="AJ436" t="s">
        <v>3899</v>
      </c>
      <c r="AK436" t="s">
        <v>126</v>
      </c>
      <c r="AL436" t="s">
        <v>127</v>
      </c>
      <c r="AN436" t="s">
        <v>3900</v>
      </c>
      <c r="AO436" t="s">
        <v>3901</v>
      </c>
      <c r="AP436" t="s">
        <v>3902</v>
      </c>
      <c r="AQ436" t="s">
        <v>131</v>
      </c>
      <c r="AR436" t="s">
        <v>233</v>
      </c>
      <c r="AS436" t="s">
        <v>234</v>
      </c>
      <c r="AT436" t="s">
        <v>3903</v>
      </c>
      <c r="AV436" t="s">
        <v>1135</v>
      </c>
      <c r="AW436" t="s">
        <v>219</v>
      </c>
      <c r="AX436" t="s">
        <v>176</v>
      </c>
      <c r="AY436" t="s">
        <v>1562</v>
      </c>
      <c r="AZ436" t="s">
        <v>364</v>
      </c>
      <c r="BA436" t="s">
        <v>3904</v>
      </c>
      <c r="BC436" t="s">
        <v>140</v>
      </c>
      <c r="BT436" s="7">
        <f t="shared" si="37"/>
        <v>212</v>
      </c>
      <c r="BU436" s="6">
        <f t="shared" si="38"/>
        <v>198.13084112149531</v>
      </c>
      <c r="BV436" s="6">
        <f t="shared" si="39"/>
        <v>13.869158878504672</v>
      </c>
      <c r="BW436" s="6">
        <f t="shared" si="40"/>
        <v>211.99999999999997</v>
      </c>
      <c r="BX436" s="6">
        <f t="shared" si="41"/>
        <v>0</v>
      </c>
    </row>
    <row r="437" spans="1:76" x14ac:dyDescent="0.35">
      <c r="A437" t="s">
        <v>3907</v>
      </c>
      <c r="B437" t="s">
        <v>107</v>
      </c>
      <c r="C437" t="s">
        <v>107</v>
      </c>
      <c r="E437" t="s">
        <v>108</v>
      </c>
      <c r="F437" t="s">
        <v>338</v>
      </c>
      <c r="G437" t="s">
        <v>339</v>
      </c>
      <c r="H437" t="s">
        <v>340</v>
      </c>
      <c r="I437" t="s">
        <v>341</v>
      </c>
      <c r="J437" t="s">
        <v>113</v>
      </c>
      <c r="K437" s="8" t="s">
        <v>114</v>
      </c>
      <c r="L437" t="s">
        <v>114</v>
      </c>
      <c r="M437" s="6">
        <v>0</v>
      </c>
      <c r="N437" t="s">
        <v>114</v>
      </c>
      <c r="O437" s="6">
        <v>0</v>
      </c>
      <c r="P437" t="s">
        <v>114</v>
      </c>
      <c r="Q437" s="6">
        <v>38</v>
      </c>
      <c r="R437" s="7">
        <f t="shared" si="36"/>
        <v>38</v>
      </c>
      <c r="S437" t="s">
        <v>180</v>
      </c>
      <c r="T437" t="s">
        <v>114</v>
      </c>
      <c r="U437" t="s">
        <v>114</v>
      </c>
      <c r="W437" t="s">
        <v>114</v>
      </c>
      <c r="X437" t="s">
        <v>3908</v>
      </c>
      <c r="Z437" t="s">
        <v>3909</v>
      </c>
      <c r="AA437" t="s">
        <v>3910</v>
      </c>
      <c r="AB437" s="1" t="s">
        <v>3911</v>
      </c>
      <c r="AC437" t="s">
        <v>3912</v>
      </c>
      <c r="AD437" t="s">
        <v>3910</v>
      </c>
      <c r="AH437" t="s">
        <v>123</v>
      </c>
      <c r="AI437" t="s">
        <v>124</v>
      </c>
      <c r="AJ437" t="s">
        <v>3913</v>
      </c>
      <c r="AK437" t="s">
        <v>126</v>
      </c>
      <c r="AL437" t="s">
        <v>127</v>
      </c>
      <c r="AN437" t="s">
        <v>3914</v>
      </c>
      <c r="AO437" t="s">
        <v>3915</v>
      </c>
      <c r="AP437" t="s">
        <v>3916</v>
      </c>
      <c r="AQ437" t="s">
        <v>131</v>
      </c>
      <c r="AR437" t="s">
        <v>132</v>
      </c>
      <c r="AS437" t="s">
        <v>2300</v>
      </c>
      <c r="AT437" t="s">
        <v>2301</v>
      </c>
      <c r="AV437" t="s">
        <v>481</v>
      </c>
      <c r="AX437" t="s">
        <v>136</v>
      </c>
      <c r="AY437" t="s">
        <v>177</v>
      </c>
      <c r="AZ437" t="s">
        <v>356</v>
      </c>
      <c r="BA437" t="s">
        <v>3917</v>
      </c>
      <c r="BC437" t="s">
        <v>140</v>
      </c>
      <c r="BT437" s="7">
        <f t="shared" si="37"/>
        <v>38</v>
      </c>
      <c r="BU437" s="6">
        <f t="shared" si="38"/>
        <v>35.514018691588781</v>
      </c>
      <c r="BV437" s="6">
        <f t="shared" si="39"/>
        <v>2.4859813084112146</v>
      </c>
      <c r="BW437" s="6">
        <f t="shared" si="40"/>
        <v>37.999999999999993</v>
      </c>
      <c r="BX437" s="6">
        <f t="shared" si="41"/>
        <v>0</v>
      </c>
    </row>
    <row r="438" spans="1:76" x14ac:dyDescent="0.35">
      <c r="A438" t="s">
        <v>3907</v>
      </c>
      <c r="B438" t="s">
        <v>107</v>
      </c>
      <c r="C438" t="s">
        <v>107</v>
      </c>
      <c r="E438" t="s">
        <v>108</v>
      </c>
      <c r="F438" t="s">
        <v>358</v>
      </c>
      <c r="G438" t="s">
        <v>359</v>
      </c>
      <c r="H438" t="s">
        <v>360</v>
      </c>
      <c r="I438" t="s">
        <v>341</v>
      </c>
      <c r="J438" t="s">
        <v>113</v>
      </c>
      <c r="K438" s="8" t="s">
        <v>114</v>
      </c>
      <c r="L438" t="s">
        <v>361</v>
      </c>
      <c r="M438" s="6">
        <v>233</v>
      </c>
      <c r="N438" t="s">
        <v>113</v>
      </c>
      <c r="O438" s="6">
        <v>127</v>
      </c>
      <c r="P438" t="s">
        <v>562</v>
      </c>
      <c r="Q438" s="6">
        <v>38</v>
      </c>
      <c r="R438" s="7">
        <f t="shared" si="36"/>
        <v>144</v>
      </c>
      <c r="S438" t="s">
        <v>180</v>
      </c>
      <c r="T438" t="s">
        <v>114</v>
      </c>
      <c r="U438" t="s">
        <v>114</v>
      </c>
      <c r="W438" t="s">
        <v>114</v>
      </c>
      <c r="X438" t="s">
        <v>3908</v>
      </c>
      <c r="Z438" t="s">
        <v>3909</v>
      </c>
      <c r="AA438" t="s">
        <v>3910</v>
      </c>
      <c r="AB438" s="1" t="s">
        <v>3911</v>
      </c>
      <c r="AC438" t="s">
        <v>3912</v>
      </c>
      <c r="AD438" t="s">
        <v>3910</v>
      </c>
      <c r="AH438" t="s">
        <v>123</v>
      </c>
      <c r="AI438" t="s">
        <v>124</v>
      </c>
      <c r="AJ438" t="s">
        <v>3913</v>
      </c>
      <c r="AK438" t="s">
        <v>126</v>
      </c>
      <c r="AL438" t="s">
        <v>127</v>
      </c>
      <c r="AN438" t="s">
        <v>3914</v>
      </c>
      <c r="AO438" t="s">
        <v>3915</v>
      </c>
      <c r="AP438" t="s">
        <v>3916</v>
      </c>
      <c r="AQ438" t="s">
        <v>131</v>
      </c>
      <c r="AR438" t="s">
        <v>132</v>
      </c>
      <c r="AS438" t="s">
        <v>2300</v>
      </c>
      <c r="AT438" t="s">
        <v>2301</v>
      </c>
      <c r="AV438" t="s">
        <v>481</v>
      </c>
      <c r="AX438" t="s">
        <v>136</v>
      </c>
      <c r="AY438" t="s">
        <v>177</v>
      </c>
      <c r="AZ438" t="s">
        <v>364</v>
      </c>
      <c r="BA438" t="s">
        <v>3917</v>
      </c>
      <c r="BC438" t="s">
        <v>140</v>
      </c>
      <c r="BT438" s="7">
        <f t="shared" si="37"/>
        <v>144</v>
      </c>
      <c r="BU438" s="6">
        <f t="shared" si="38"/>
        <v>134.57943925233644</v>
      </c>
      <c r="BV438" s="6">
        <f t="shared" si="39"/>
        <v>9.4205607476635507</v>
      </c>
      <c r="BW438" s="6">
        <f t="shared" si="40"/>
        <v>144</v>
      </c>
      <c r="BX438" s="6">
        <f t="shared" si="41"/>
        <v>0</v>
      </c>
    </row>
    <row r="439" spans="1:76" x14ac:dyDescent="0.35">
      <c r="A439" t="s">
        <v>3918</v>
      </c>
      <c r="B439" t="s">
        <v>107</v>
      </c>
      <c r="C439" t="s">
        <v>107</v>
      </c>
      <c r="F439" t="s">
        <v>358</v>
      </c>
      <c r="G439" t="s">
        <v>359</v>
      </c>
      <c r="H439" t="s">
        <v>360</v>
      </c>
      <c r="I439" t="s">
        <v>341</v>
      </c>
      <c r="J439" t="s">
        <v>113</v>
      </c>
      <c r="K439" s="8" t="s">
        <v>114</v>
      </c>
      <c r="L439" t="s">
        <v>114</v>
      </c>
      <c r="M439" s="6">
        <v>0</v>
      </c>
      <c r="N439" t="s">
        <v>114</v>
      </c>
      <c r="O439" s="6">
        <v>0</v>
      </c>
      <c r="P439" t="s">
        <v>114</v>
      </c>
      <c r="Q439" s="6">
        <v>0</v>
      </c>
      <c r="R439" s="7">
        <f t="shared" si="36"/>
        <v>0</v>
      </c>
      <c r="S439" t="s">
        <v>114</v>
      </c>
      <c r="T439" t="s">
        <v>114</v>
      </c>
      <c r="U439" t="s">
        <v>114</v>
      </c>
      <c r="W439" t="s">
        <v>114</v>
      </c>
      <c r="X439" t="s">
        <v>114</v>
      </c>
      <c r="Z439" t="s">
        <v>3919</v>
      </c>
      <c r="AA439" t="s">
        <v>3919</v>
      </c>
      <c r="AB439" s="1" t="s">
        <v>3920</v>
      </c>
      <c r="AC439" t="s">
        <v>3921</v>
      </c>
      <c r="AD439" t="s">
        <v>3922</v>
      </c>
      <c r="AH439" t="s">
        <v>123</v>
      </c>
      <c r="AI439" t="s">
        <v>124</v>
      </c>
      <c r="AJ439" t="s">
        <v>3923</v>
      </c>
      <c r="AK439" t="s">
        <v>126</v>
      </c>
      <c r="AL439" t="s">
        <v>127</v>
      </c>
      <c r="AN439" t="s">
        <v>3924</v>
      </c>
      <c r="AO439" t="s">
        <v>3925</v>
      </c>
      <c r="AP439" t="s">
        <v>3926</v>
      </c>
      <c r="AQ439" t="s">
        <v>131</v>
      </c>
      <c r="AR439" t="s">
        <v>132</v>
      </c>
      <c r="AS439" t="s">
        <v>652</v>
      </c>
      <c r="AT439" t="s">
        <v>3927</v>
      </c>
      <c r="AV439" t="s">
        <v>638</v>
      </c>
      <c r="AY439" t="s">
        <v>177</v>
      </c>
      <c r="AZ439" t="s">
        <v>364</v>
      </c>
      <c r="BA439" t="s">
        <v>3928</v>
      </c>
      <c r="BC439" t="s">
        <v>140</v>
      </c>
      <c r="BT439" s="7">
        <f t="shared" si="37"/>
        <v>0</v>
      </c>
      <c r="BU439" s="6">
        <f t="shared" si="38"/>
        <v>0</v>
      </c>
      <c r="BV439" s="6">
        <f t="shared" si="39"/>
        <v>0</v>
      </c>
      <c r="BW439" s="6">
        <f t="shared" si="40"/>
        <v>0</v>
      </c>
      <c r="BX439" s="6">
        <f t="shared" si="41"/>
        <v>0</v>
      </c>
    </row>
    <row r="440" spans="1:76" x14ac:dyDescent="0.35">
      <c r="A440" t="s">
        <v>3929</v>
      </c>
      <c r="B440" t="s">
        <v>107</v>
      </c>
      <c r="C440" t="s">
        <v>107</v>
      </c>
      <c r="E440" t="s">
        <v>108</v>
      </c>
      <c r="F440" t="s">
        <v>268</v>
      </c>
      <c r="G440" t="s">
        <v>269</v>
      </c>
      <c r="H440" t="s">
        <v>2268</v>
      </c>
      <c r="I440" t="s">
        <v>271</v>
      </c>
      <c r="J440" t="s">
        <v>113</v>
      </c>
      <c r="K440" s="8" t="s">
        <v>114</v>
      </c>
      <c r="L440" t="s">
        <v>114</v>
      </c>
      <c r="M440" s="6">
        <v>0</v>
      </c>
      <c r="N440" t="s">
        <v>114</v>
      </c>
      <c r="O440" s="6">
        <v>0</v>
      </c>
      <c r="P440" t="s">
        <v>114</v>
      </c>
      <c r="Q440" s="6">
        <v>0</v>
      </c>
      <c r="R440" s="7">
        <f t="shared" si="36"/>
        <v>0</v>
      </c>
      <c r="S440" t="s">
        <v>180</v>
      </c>
      <c r="T440" t="s">
        <v>114</v>
      </c>
      <c r="U440" t="s">
        <v>180</v>
      </c>
      <c r="W440" t="s">
        <v>114</v>
      </c>
      <c r="X440" t="s">
        <v>3930</v>
      </c>
      <c r="Z440" t="s">
        <v>3931</v>
      </c>
      <c r="AA440" t="s">
        <v>3932</v>
      </c>
      <c r="AB440" s="1" t="s">
        <v>3933</v>
      </c>
      <c r="AC440" t="s">
        <v>3934</v>
      </c>
      <c r="AD440" t="s">
        <v>3935</v>
      </c>
      <c r="AH440" t="s">
        <v>123</v>
      </c>
      <c r="AI440" t="s">
        <v>124</v>
      </c>
      <c r="AJ440" t="s">
        <v>3936</v>
      </c>
      <c r="AK440" t="s">
        <v>126</v>
      </c>
      <c r="AL440" t="s">
        <v>127</v>
      </c>
      <c r="AN440" t="s">
        <v>3937</v>
      </c>
      <c r="AO440" t="s">
        <v>3938</v>
      </c>
      <c r="AP440" t="s">
        <v>3939</v>
      </c>
      <c r="AQ440" t="s">
        <v>131</v>
      </c>
      <c r="AR440" t="s">
        <v>132</v>
      </c>
      <c r="AS440" t="s">
        <v>448</v>
      </c>
      <c r="AT440" t="s">
        <v>3559</v>
      </c>
      <c r="AV440" t="s">
        <v>516</v>
      </c>
      <c r="AX440" t="s">
        <v>655</v>
      </c>
      <c r="AY440" t="s">
        <v>272</v>
      </c>
      <c r="AZ440" t="s">
        <v>273</v>
      </c>
      <c r="BA440" t="s">
        <v>3940</v>
      </c>
      <c r="BC440" t="s">
        <v>140</v>
      </c>
      <c r="BT440" s="7">
        <f t="shared" si="37"/>
        <v>0</v>
      </c>
      <c r="BU440" s="6">
        <f t="shared" si="38"/>
        <v>0</v>
      </c>
      <c r="BV440" s="6">
        <f t="shared" si="39"/>
        <v>0</v>
      </c>
      <c r="BW440" s="6">
        <f t="shared" si="40"/>
        <v>0</v>
      </c>
      <c r="BX440" s="6">
        <f t="shared" si="41"/>
        <v>0</v>
      </c>
    </row>
    <row r="441" spans="1:76" x14ac:dyDescent="0.35">
      <c r="A441" t="s">
        <v>3929</v>
      </c>
      <c r="B441" t="s">
        <v>107</v>
      </c>
      <c r="C441" t="s">
        <v>107</v>
      </c>
      <c r="E441" t="s">
        <v>108</v>
      </c>
      <c r="F441" t="s">
        <v>158</v>
      </c>
      <c r="G441" t="s">
        <v>159</v>
      </c>
      <c r="H441" t="s">
        <v>111</v>
      </c>
      <c r="I441" t="s">
        <v>341</v>
      </c>
      <c r="J441" t="s">
        <v>113</v>
      </c>
      <c r="K441" s="8" t="s">
        <v>114</v>
      </c>
      <c r="L441" t="s">
        <v>161</v>
      </c>
      <c r="M441" s="6">
        <v>459</v>
      </c>
      <c r="N441" t="s">
        <v>3941</v>
      </c>
      <c r="O441" s="6">
        <v>220</v>
      </c>
      <c r="P441" t="s">
        <v>3942</v>
      </c>
      <c r="Q441" s="6">
        <v>0</v>
      </c>
      <c r="R441" s="7">
        <f t="shared" si="36"/>
        <v>239</v>
      </c>
      <c r="S441" t="s">
        <v>180</v>
      </c>
      <c r="T441" t="s">
        <v>114</v>
      </c>
      <c r="U441" t="s">
        <v>180</v>
      </c>
      <c r="W441" t="s">
        <v>114</v>
      </c>
      <c r="X441" t="s">
        <v>3930</v>
      </c>
      <c r="Z441" t="s">
        <v>3931</v>
      </c>
      <c r="AA441" t="s">
        <v>3932</v>
      </c>
      <c r="AB441" s="1" t="s">
        <v>3933</v>
      </c>
      <c r="AC441" t="s">
        <v>3934</v>
      </c>
      <c r="AD441" t="s">
        <v>3935</v>
      </c>
      <c r="AH441" t="s">
        <v>123</v>
      </c>
      <c r="AI441" t="s">
        <v>124</v>
      </c>
      <c r="AJ441" t="s">
        <v>3936</v>
      </c>
      <c r="AK441" t="s">
        <v>126</v>
      </c>
      <c r="AL441" t="s">
        <v>127</v>
      </c>
      <c r="AN441" t="s">
        <v>3937</v>
      </c>
      <c r="AO441" t="s">
        <v>3938</v>
      </c>
      <c r="AP441" t="s">
        <v>3939</v>
      </c>
      <c r="AQ441" t="s">
        <v>131</v>
      </c>
      <c r="AR441" t="s">
        <v>132</v>
      </c>
      <c r="AS441" t="s">
        <v>448</v>
      </c>
      <c r="AT441" t="s">
        <v>3559</v>
      </c>
      <c r="AV441" t="s">
        <v>516</v>
      </c>
      <c r="AX441" t="s">
        <v>655</v>
      </c>
      <c r="AY441" t="s">
        <v>177</v>
      </c>
      <c r="AZ441" t="s">
        <v>138</v>
      </c>
      <c r="BA441" t="s">
        <v>3940</v>
      </c>
      <c r="BC441" t="s">
        <v>140</v>
      </c>
      <c r="BT441" s="7">
        <f t="shared" si="37"/>
        <v>239</v>
      </c>
      <c r="BU441" s="6">
        <f t="shared" si="38"/>
        <v>223.36448598130841</v>
      </c>
      <c r="BV441" s="6">
        <f t="shared" si="39"/>
        <v>15.635514018691588</v>
      </c>
      <c r="BW441" s="6">
        <f t="shared" si="40"/>
        <v>239</v>
      </c>
      <c r="BX441" s="6">
        <f t="shared" si="41"/>
        <v>0</v>
      </c>
    </row>
    <row r="442" spans="1:76" x14ac:dyDescent="0.35">
      <c r="A442" t="s">
        <v>3929</v>
      </c>
      <c r="B442" t="s">
        <v>107</v>
      </c>
      <c r="C442" t="s">
        <v>107</v>
      </c>
      <c r="E442" t="s">
        <v>108</v>
      </c>
      <c r="F442" t="s">
        <v>338</v>
      </c>
      <c r="G442" t="s">
        <v>339</v>
      </c>
      <c r="H442" t="s">
        <v>340</v>
      </c>
      <c r="I442" t="s">
        <v>341</v>
      </c>
      <c r="J442" t="s">
        <v>1548</v>
      </c>
      <c r="K442" s="8" t="s">
        <v>114</v>
      </c>
      <c r="L442" t="s">
        <v>2928</v>
      </c>
      <c r="M442" s="6">
        <v>100</v>
      </c>
      <c r="N442" t="s">
        <v>3943</v>
      </c>
      <c r="O442" s="6">
        <v>75</v>
      </c>
      <c r="P442" t="s">
        <v>3945</v>
      </c>
      <c r="Q442" s="6">
        <v>0</v>
      </c>
      <c r="R442" s="7">
        <f t="shared" si="36"/>
        <v>25</v>
      </c>
      <c r="S442" t="s">
        <v>180</v>
      </c>
      <c r="T442" t="s">
        <v>114</v>
      </c>
      <c r="U442" t="s">
        <v>180</v>
      </c>
      <c r="W442" t="s">
        <v>114</v>
      </c>
      <c r="X442" t="s">
        <v>3930</v>
      </c>
      <c r="Z442" t="s">
        <v>3931</v>
      </c>
      <c r="AA442" t="s">
        <v>3932</v>
      </c>
      <c r="AB442" s="1" t="s">
        <v>3933</v>
      </c>
      <c r="AC442" t="s">
        <v>3934</v>
      </c>
      <c r="AD442" t="s">
        <v>3935</v>
      </c>
      <c r="AH442" t="s">
        <v>123</v>
      </c>
      <c r="AI442" t="s">
        <v>124</v>
      </c>
      <c r="AJ442" t="s">
        <v>3936</v>
      </c>
      <c r="AK442" t="s">
        <v>126</v>
      </c>
      <c r="AL442" t="s">
        <v>127</v>
      </c>
      <c r="AN442" t="s">
        <v>3937</v>
      </c>
      <c r="AO442" t="s">
        <v>3938</v>
      </c>
      <c r="AP442" t="s">
        <v>3939</v>
      </c>
      <c r="AQ442" t="s">
        <v>131</v>
      </c>
      <c r="AR442" t="s">
        <v>132</v>
      </c>
      <c r="AS442" t="s">
        <v>448</v>
      </c>
      <c r="AT442" t="s">
        <v>3559</v>
      </c>
      <c r="AV442" t="s">
        <v>516</v>
      </c>
      <c r="AX442" t="s">
        <v>655</v>
      </c>
      <c r="AY442" t="s">
        <v>1562</v>
      </c>
      <c r="AZ442" t="s">
        <v>356</v>
      </c>
      <c r="BA442" t="s">
        <v>3940</v>
      </c>
      <c r="BC442" t="s">
        <v>140</v>
      </c>
      <c r="BT442" s="7">
        <f t="shared" si="37"/>
        <v>25</v>
      </c>
      <c r="BU442" s="6">
        <f t="shared" si="38"/>
        <v>23.364485981308409</v>
      </c>
      <c r="BV442" s="6">
        <f t="shared" si="39"/>
        <v>1.6355140186915886</v>
      </c>
      <c r="BW442" s="6">
        <f t="shared" si="40"/>
        <v>24.999999999999996</v>
      </c>
      <c r="BX442" s="6">
        <f t="shared" si="41"/>
        <v>0</v>
      </c>
    </row>
    <row r="443" spans="1:76" x14ac:dyDescent="0.35">
      <c r="A443" t="s">
        <v>3929</v>
      </c>
      <c r="B443" t="s">
        <v>107</v>
      </c>
      <c r="C443" t="s">
        <v>107</v>
      </c>
      <c r="E443" t="s">
        <v>108</v>
      </c>
      <c r="F443" t="s">
        <v>358</v>
      </c>
      <c r="G443" t="s">
        <v>359</v>
      </c>
      <c r="H443" t="s">
        <v>360</v>
      </c>
      <c r="I443" t="s">
        <v>341</v>
      </c>
      <c r="J443" t="s">
        <v>113</v>
      </c>
      <c r="K443" s="8" t="s">
        <v>114</v>
      </c>
      <c r="L443" t="s">
        <v>361</v>
      </c>
      <c r="M443" s="6">
        <v>233</v>
      </c>
      <c r="N443" t="s">
        <v>3946</v>
      </c>
      <c r="O443" s="6">
        <v>127</v>
      </c>
      <c r="P443" t="s">
        <v>3947</v>
      </c>
      <c r="Q443" s="6">
        <v>0</v>
      </c>
      <c r="R443" s="7">
        <f t="shared" si="36"/>
        <v>106</v>
      </c>
      <c r="S443" t="s">
        <v>180</v>
      </c>
      <c r="T443" t="s">
        <v>114</v>
      </c>
      <c r="U443" t="s">
        <v>180</v>
      </c>
      <c r="W443" t="s">
        <v>114</v>
      </c>
      <c r="X443" t="s">
        <v>3930</v>
      </c>
      <c r="Z443" t="s">
        <v>3931</v>
      </c>
      <c r="AA443" t="s">
        <v>3932</v>
      </c>
      <c r="AB443" s="1" t="s">
        <v>3933</v>
      </c>
      <c r="AC443" t="s">
        <v>3934</v>
      </c>
      <c r="AD443" t="s">
        <v>3935</v>
      </c>
      <c r="AH443" t="s">
        <v>123</v>
      </c>
      <c r="AI443" t="s">
        <v>124</v>
      </c>
      <c r="AJ443" t="s">
        <v>3936</v>
      </c>
      <c r="AK443" t="s">
        <v>126</v>
      </c>
      <c r="AL443" t="s">
        <v>127</v>
      </c>
      <c r="AN443" t="s">
        <v>3937</v>
      </c>
      <c r="AO443" t="s">
        <v>3938</v>
      </c>
      <c r="AP443" t="s">
        <v>3939</v>
      </c>
      <c r="AQ443" t="s">
        <v>131</v>
      </c>
      <c r="AR443" t="s">
        <v>132</v>
      </c>
      <c r="AS443" t="s">
        <v>448</v>
      </c>
      <c r="AT443" t="s">
        <v>3559</v>
      </c>
      <c r="AV443" t="s">
        <v>516</v>
      </c>
      <c r="AX443" t="s">
        <v>655</v>
      </c>
      <c r="AY443" t="s">
        <v>177</v>
      </c>
      <c r="AZ443" t="s">
        <v>364</v>
      </c>
      <c r="BA443" t="s">
        <v>3940</v>
      </c>
      <c r="BC443" t="s">
        <v>140</v>
      </c>
      <c r="BT443" s="7">
        <f t="shared" si="37"/>
        <v>106</v>
      </c>
      <c r="BU443" s="6">
        <f t="shared" si="38"/>
        <v>99.065420560747654</v>
      </c>
      <c r="BV443" s="6">
        <f t="shared" si="39"/>
        <v>6.9345794392523361</v>
      </c>
      <c r="BW443" s="6">
        <f t="shared" si="40"/>
        <v>105.99999999999999</v>
      </c>
      <c r="BX443" s="6">
        <f t="shared" si="41"/>
        <v>0</v>
      </c>
    </row>
    <row r="444" spans="1:76" x14ac:dyDescent="0.35">
      <c r="A444" t="s">
        <v>3948</v>
      </c>
      <c r="B444" t="s">
        <v>107</v>
      </c>
      <c r="C444" t="s">
        <v>107</v>
      </c>
      <c r="E444" t="s">
        <v>108</v>
      </c>
      <c r="F444" t="s">
        <v>613</v>
      </c>
      <c r="G444" t="s">
        <v>614</v>
      </c>
      <c r="H444" t="s">
        <v>615</v>
      </c>
      <c r="I444" t="s">
        <v>271</v>
      </c>
      <c r="J444" t="s">
        <v>113</v>
      </c>
      <c r="K444" s="8" t="s">
        <v>114</v>
      </c>
      <c r="L444" t="s">
        <v>2550</v>
      </c>
      <c r="M444" s="6">
        <v>196</v>
      </c>
      <c r="N444" t="s">
        <v>3949</v>
      </c>
      <c r="O444" s="6">
        <v>118</v>
      </c>
      <c r="P444" t="s">
        <v>3950</v>
      </c>
      <c r="Q444" s="6">
        <v>0</v>
      </c>
      <c r="R444" s="7">
        <f t="shared" si="36"/>
        <v>78</v>
      </c>
      <c r="S444" t="s">
        <v>180</v>
      </c>
      <c r="T444" t="s">
        <v>114</v>
      </c>
      <c r="U444" t="s">
        <v>180</v>
      </c>
      <c r="W444" t="s">
        <v>114</v>
      </c>
      <c r="X444" t="s">
        <v>3950</v>
      </c>
      <c r="Z444" t="s">
        <v>3951</v>
      </c>
      <c r="AA444" t="s">
        <v>3952</v>
      </c>
      <c r="AB444" s="1" t="s">
        <v>3953</v>
      </c>
      <c r="AC444" t="s">
        <v>3954</v>
      </c>
      <c r="AD444" t="s">
        <v>3955</v>
      </c>
      <c r="AH444" t="s">
        <v>123</v>
      </c>
      <c r="AI444" t="s">
        <v>124</v>
      </c>
      <c r="AJ444" t="s">
        <v>3956</v>
      </c>
      <c r="AK444" t="s">
        <v>126</v>
      </c>
      <c r="AL444" t="s">
        <v>127</v>
      </c>
      <c r="AN444" t="s">
        <v>3957</v>
      </c>
      <c r="AO444" t="s">
        <v>3958</v>
      </c>
      <c r="AP444" t="s">
        <v>3959</v>
      </c>
      <c r="AQ444" t="s">
        <v>131</v>
      </c>
      <c r="AR444" t="s">
        <v>132</v>
      </c>
      <c r="AS444" t="s">
        <v>756</v>
      </c>
      <c r="AT444" t="s">
        <v>1906</v>
      </c>
      <c r="AV444" t="s">
        <v>286</v>
      </c>
      <c r="AX444" t="s">
        <v>1997</v>
      </c>
      <c r="AY444" t="s">
        <v>177</v>
      </c>
      <c r="AZ444" t="s">
        <v>627</v>
      </c>
      <c r="BA444" t="s">
        <v>3960</v>
      </c>
      <c r="BC444" t="s">
        <v>140</v>
      </c>
      <c r="BT444" s="7">
        <f t="shared" si="37"/>
        <v>78</v>
      </c>
      <c r="BU444" s="6">
        <f t="shared" si="38"/>
        <v>72.89719626168224</v>
      </c>
      <c r="BV444" s="6">
        <f t="shared" si="39"/>
        <v>5.1028037383177569</v>
      </c>
      <c r="BW444" s="6">
        <f t="shared" si="40"/>
        <v>78</v>
      </c>
      <c r="BX444" s="6">
        <f t="shared" si="41"/>
        <v>0</v>
      </c>
    </row>
    <row r="445" spans="1:76" x14ac:dyDescent="0.35">
      <c r="A445" t="s">
        <v>3961</v>
      </c>
      <c r="B445" t="s">
        <v>107</v>
      </c>
      <c r="C445" t="s">
        <v>107</v>
      </c>
      <c r="F445" t="s">
        <v>613</v>
      </c>
      <c r="G445" t="s">
        <v>614</v>
      </c>
      <c r="H445" t="s">
        <v>615</v>
      </c>
      <c r="I445" t="s">
        <v>271</v>
      </c>
      <c r="J445" t="s">
        <v>113</v>
      </c>
      <c r="K445" s="8" t="s">
        <v>114</v>
      </c>
      <c r="L445" t="s">
        <v>114</v>
      </c>
      <c r="M445" s="6">
        <v>0</v>
      </c>
      <c r="N445" t="s">
        <v>114</v>
      </c>
      <c r="O445" s="6">
        <v>0</v>
      </c>
      <c r="P445" t="s">
        <v>114</v>
      </c>
      <c r="Q445" s="6">
        <v>0</v>
      </c>
      <c r="R445" s="7">
        <f t="shared" si="36"/>
        <v>0</v>
      </c>
      <c r="S445" t="s">
        <v>114</v>
      </c>
      <c r="T445" t="s">
        <v>114</v>
      </c>
      <c r="U445" t="s">
        <v>114</v>
      </c>
      <c r="W445" t="s">
        <v>114</v>
      </c>
      <c r="X445" t="s">
        <v>114</v>
      </c>
      <c r="Z445" t="s">
        <v>3962</v>
      </c>
      <c r="AA445" t="s">
        <v>3962</v>
      </c>
      <c r="AB445" s="1" t="s">
        <v>3963</v>
      </c>
      <c r="AC445" t="s">
        <v>3964</v>
      </c>
      <c r="AD445" t="s">
        <v>3965</v>
      </c>
      <c r="AH445" t="s">
        <v>123</v>
      </c>
      <c r="AI445" t="s">
        <v>124</v>
      </c>
      <c r="AJ445" t="s">
        <v>3966</v>
      </c>
      <c r="AK445" t="s">
        <v>126</v>
      </c>
      <c r="AL445" t="s">
        <v>127</v>
      </c>
      <c r="AN445" t="s">
        <v>3967</v>
      </c>
      <c r="AO445" t="s">
        <v>3968</v>
      </c>
      <c r="AP445" t="s">
        <v>3969</v>
      </c>
      <c r="AQ445" t="s">
        <v>131</v>
      </c>
      <c r="AR445" t="s">
        <v>132</v>
      </c>
      <c r="AS445" t="s">
        <v>152</v>
      </c>
      <c r="AT445" t="s">
        <v>2120</v>
      </c>
      <c r="AV445" t="s">
        <v>1607</v>
      </c>
      <c r="AY445" t="s">
        <v>177</v>
      </c>
      <c r="AZ445" t="s">
        <v>627</v>
      </c>
      <c r="BA445" t="s">
        <v>3970</v>
      </c>
      <c r="BC445" t="s">
        <v>140</v>
      </c>
      <c r="BT445" s="7">
        <f t="shared" si="37"/>
        <v>0</v>
      </c>
      <c r="BU445" s="6">
        <f t="shared" si="38"/>
        <v>0</v>
      </c>
      <c r="BV445" s="6">
        <f t="shared" si="39"/>
        <v>0</v>
      </c>
      <c r="BW445" s="6">
        <f t="shared" si="40"/>
        <v>0</v>
      </c>
      <c r="BX445" s="6">
        <f t="shared" si="41"/>
        <v>0</v>
      </c>
    </row>
    <row r="446" spans="1:76" x14ac:dyDescent="0.35">
      <c r="A446" t="s">
        <v>3971</v>
      </c>
      <c r="B446" t="s">
        <v>107</v>
      </c>
      <c r="C446" t="s">
        <v>107</v>
      </c>
      <c r="F446" t="s">
        <v>358</v>
      </c>
      <c r="G446" t="s">
        <v>359</v>
      </c>
      <c r="H446" t="s">
        <v>360</v>
      </c>
      <c r="I446" t="s">
        <v>341</v>
      </c>
      <c r="J446" t="s">
        <v>113</v>
      </c>
      <c r="K446" s="8" t="s">
        <v>114</v>
      </c>
      <c r="L446" t="s">
        <v>114</v>
      </c>
      <c r="M446" s="6">
        <v>0</v>
      </c>
      <c r="N446" t="s">
        <v>114</v>
      </c>
      <c r="O446" s="6">
        <v>0</v>
      </c>
      <c r="P446" t="s">
        <v>114</v>
      </c>
      <c r="Q446" s="6">
        <v>0</v>
      </c>
      <c r="R446" s="7">
        <f t="shared" si="36"/>
        <v>0</v>
      </c>
      <c r="S446" t="s">
        <v>114</v>
      </c>
      <c r="T446" t="s">
        <v>114</v>
      </c>
      <c r="U446" t="s">
        <v>114</v>
      </c>
      <c r="W446" t="s">
        <v>114</v>
      </c>
      <c r="X446" t="s">
        <v>114</v>
      </c>
      <c r="Z446" t="s">
        <v>3972</v>
      </c>
      <c r="AA446" t="s">
        <v>3972</v>
      </c>
      <c r="AB446" s="1" t="s">
        <v>3963</v>
      </c>
      <c r="AC446" t="s">
        <v>3973</v>
      </c>
      <c r="AD446" t="s">
        <v>3974</v>
      </c>
      <c r="AH446" t="s">
        <v>123</v>
      </c>
      <c r="AI446" t="s">
        <v>124</v>
      </c>
      <c r="AJ446" t="s">
        <v>3975</v>
      </c>
      <c r="AK446" t="s">
        <v>126</v>
      </c>
      <c r="AL446" t="s">
        <v>127</v>
      </c>
      <c r="AN446" t="s">
        <v>3976</v>
      </c>
      <c r="AO446" t="s">
        <v>3977</v>
      </c>
      <c r="AP446" t="s">
        <v>3978</v>
      </c>
      <c r="AQ446" t="s">
        <v>131</v>
      </c>
      <c r="AR446" t="s">
        <v>132</v>
      </c>
      <c r="AS446" t="s">
        <v>284</v>
      </c>
      <c r="AT446" t="s">
        <v>3592</v>
      </c>
      <c r="AV446" t="s">
        <v>965</v>
      </c>
      <c r="AW446" t="s">
        <v>638</v>
      </c>
      <c r="AY446" t="s">
        <v>177</v>
      </c>
      <c r="AZ446" t="s">
        <v>364</v>
      </c>
      <c r="BA446" t="s">
        <v>3979</v>
      </c>
      <c r="BC446" t="s">
        <v>140</v>
      </c>
      <c r="BT446" s="7">
        <f t="shared" si="37"/>
        <v>0</v>
      </c>
      <c r="BU446" s="6">
        <f t="shared" si="38"/>
        <v>0</v>
      </c>
      <c r="BV446" s="6">
        <f t="shared" si="39"/>
        <v>0</v>
      </c>
      <c r="BW446" s="6">
        <f t="shared" si="40"/>
        <v>0</v>
      </c>
      <c r="BX446" s="6">
        <f t="shared" si="41"/>
        <v>0</v>
      </c>
    </row>
    <row r="447" spans="1:76" x14ac:dyDescent="0.35">
      <c r="A447" t="s">
        <v>3980</v>
      </c>
      <c r="B447" t="s">
        <v>107</v>
      </c>
      <c r="C447" t="s">
        <v>107</v>
      </c>
      <c r="F447" t="s">
        <v>613</v>
      </c>
      <c r="G447" t="s">
        <v>614</v>
      </c>
      <c r="H447" t="s">
        <v>615</v>
      </c>
      <c r="I447" t="s">
        <v>271</v>
      </c>
      <c r="J447" t="s">
        <v>113</v>
      </c>
      <c r="K447" s="8" t="s">
        <v>114</v>
      </c>
      <c r="L447" t="s">
        <v>114</v>
      </c>
      <c r="M447" s="6">
        <v>0</v>
      </c>
      <c r="N447" t="s">
        <v>114</v>
      </c>
      <c r="O447" s="6">
        <v>0</v>
      </c>
      <c r="P447" t="s">
        <v>114</v>
      </c>
      <c r="Q447" s="6">
        <v>0</v>
      </c>
      <c r="R447" s="7">
        <f t="shared" si="36"/>
        <v>0</v>
      </c>
      <c r="S447" t="s">
        <v>114</v>
      </c>
      <c r="T447" t="s">
        <v>114</v>
      </c>
      <c r="U447" t="s">
        <v>114</v>
      </c>
      <c r="W447" t="s">
        <v>114</v>
      </c>
      <c r="X447" t="s">
        <v>114</v>
      </c>
      <c r="Z447" t="s">
        <v>3972</v>
      </c>
      <c r="AA447" t="s">
        <v>3972</v>
      </c>
      <c r="AB447" s="1" t="s">
        <v>3981</v>
      </c>
      <c r="AC447" t="s">
        <v>3982</v>
      </c>
      <c r="AD447" t="s">
        <v>3983</v>
      </c>
      <c r="AH447" t="s">
        <v>123</v>
      </c>
      <c r="AI447" t="s">
        <v>124</v>
      </c>
      <c r="AJ447" t="s">
        <v>3984</v>
      </c>
      <c r="AK447" t="s">
        <v>126</v>
      </c>
      <c r="AL447" t="s">
        <v>127</v>
      </c>
      <c r="AN447" t="s">
        <v>3985</v>
      </c>
      <c r="AO447" t="s">
        <v>3986</v>
      </c>
      <c r="AP447" t="s">
        <v>3987</v>
      </c>
      <c r="AQ447" t="s">
        <v>131</v>
      </c>
      <c r="AR447" t="s">
        <v>132</v>
      </c>
      <c r="AS447" t="s">
        <v>1862</v>
      </c>
      <c r="AT447" t="s">
        <v>3988</v>
      </c>
      <c r="AV447" t="s">
        <v>434</v>
      </c>
      <c r="AY447" t="s">
        <v>177</v>
      </c>
      <c r="AZ447" t="s">
        <v>627</v>
      </c>
      <c r="BA447" t="s">
        <v>3989</v>
      </c>
      <c r="BC447" t="s">
        <v>140</v>
      </c>
      <c r="BT447" s="7">
        <f t="shared" si="37"/>
        <v>0</v>
      </c>
      <c r="BU447" s="6">
        <f t="shared" si="38"/>
        <v>0</v>
      </c>
      <c r="BV447" s="6">
        <f t="shared" si="39"/>
        <v>0</v>
      </c>
      <c r="BW447" s="6">
        <f t="shared" si="40"/>
        <v>0</v>
      </c>
      <c r="BX447" s="6">
        <f t="shared" si="41"/>
        <v>0</v>
      </c>
    </row>
    <row r="448" spans="1:76" x14ac:dyDescent="0.35">
      <c r="A448" t="s">
        <v>3990</v>
      </c>
      <c r="B448" t="s">
        <v>107</v>
      </c>
      <c r="C448" t="s">
        <v>107</v>
      </c>
      <c r="F448" t="s">
        <v>613</v>
      </c>
      <c r="G448" t="s">
        <v>614</v>
      </c>
      <c r="H448" t="s">
        <v>615</v>
      </c>
      <c r="I448" t="s">
        <v>271</v>
      </c>
      <c r="J448" t="s">
        <v>113</v>
      </c>
      <c r="K448" s="8" t="s">
        <v>114</v>
      </c>
      <c r="L448" t="s">
        <v>114</v>
      </c>
      <c r="M448" s="6">
        <v>0</v>
      </c>
      <c r="N448" t="s">
        <v>114</v>
      </c>
      <c r="O448" s="6">
        <v>0</v>
      </c>
      <c r="P448" t="s">
        <v>114</v>
      </c>
      <c r="Q448" s="6">
        <v>0</v>
      </c>
      <c r="R448" s="7">
        <f t="shared" si="36"/>
        <v>0</v>
      </c>
      <c r="S448" t="s">
        <v>114</v>
      </c>
      <c r="T448" t="s">
        <v>114</v>
      </c>
      <c r="U448" t="s">
        <v>114</v>
      </c>
      <c r="W448" t="s">
        <v>114</v>
      </c>
      <c r="X448" t="s">
        <v>114</v>
      </c>
      <c r="Z448" t="s">
        <v>3991</v>
      </c>
      <c r="AA448" t="s">
        <v>3991</v>
      </c>
      <c r="AB448" s="1" t="s">
        <v>3981</v>
      </c>
      <c r="AC448" t="s">
        <v>3992</v>
      </c>
      <c r="AD448" t="s">
        <v>3993</v>
      </c>
      <c r="AH448" t="s">
        <v>123</v>
      </c>
      <c r="AI448" t="s">
        <v>124</v>
      </c>
      <c r="AJ448" t="s">
        <v>3994</v>
      </c>
      <c r="AK448" t="s">
        <v>126</v>
      </c>
      <c r="AL448" t="s">
        <v>127</v>
      </c>
      <c r="AN448" t="s">
        <v>3995</v>
      </c>
      <c r="AO448" t="s">
        <v>3996</v>
      </c>
      <c r="AP448" t="s">
        <v>3997</v>
      </c>
      <c r="AQ448" t="s">
        <v>131</v>
      </c>
      <c r="AR448" t="s">
        <v>132</v>
      </c>
      <c r="AS448" t="s">
        <v>152</v>
      </c>
      <c r="AT448" t="s">
        <v>3998</v>
      </c>
      <c r="AV448" t="s">
        <v>3999</v>
      </c>
      <c r="AY448" t="s">
        <v>177</v>
      </c>
      <c r="AZ448" t="s">
        <v>627</v>
      </c>
      <c r="BA448" t="s">
        <v>4000</v>
      </c>
      <c r="BC448" t="s">
        <v>140</v>
      </c>
      <c r="BT448" s="7">
        <f t="shared" si="37"/>
        <v>0</v>
      </c>
      <c r="BU448" s="6">
        <f t="shared" si="38"/>
        <v>0</v>
      </c>
      <c r="BV448" s="6">
        <f t="shared" si="39"/>
        <v>0</v>
      </c>
      <c r="BW448" s="6">
        <f t="shared" si="40"/>
        <v>0</v>
      </c>
      <c r="BX448" s="6">
        <f t="shared" si="41"/>
        <v>0</v>
      </c>
    </row>
    <row r="449" spans="1:76" x14ac:dyDescent="0.35">
      <c r="A449" t="s">
        <v>4001</v>
      </c>
      <c r="B449" t="s">
        <v>107</v>
      </c>
      <c r="C449" t="s">
        <v>107</v>
      </c>
      <c r="E449" t="s">
        <v>108</v>
      </c>
      <c r="F449" t="s">
        <v>338</v>
      </c>
      <c r="G449" t="s">
        <v>339</v>
      </c>
      <c r="H449" t="s">
        <v>340</v>
      </c>
      <c r="I449" t="s">
        <v>341</v>
      </c>
      <c r="J449" t="s">
        <v>113</v>
      </c>
      <c r="K449" s="8" t="s">
        <v>114</v>
      </c>
      <c r="L449" t="s">
        <v>114</v>
      </c>
      <c r="M449" s="6">
        <v>0</v>
      </c>
      <c r="N449" t="s">
        <v>114</v>
      </c>
      <c r="O449" s="6">
        <v>0</v>
      </c>
      <c r="P449" t="s">
        <v>114</v>
      </c>
      <c r="Q449" s="6">
        <v>0</v>
      </c>
      <c r="R449" s="7">
        <f t="shared" si="36"/>
        <v>0</v>
      </c>
      <c r="S449" t="s">
        <v>180</v>
      </c>
      <c r="T449" t="s">
        <v>114</v>
      </c>
      <c r="U449" t="s">
        <v>180</v>
      </c>
      <c r="W449" t="s">
        <v>114</v>
      </c>
      <c r="X449" t="s">
        <v>4002</v>
      </c>
      <c r="Z449" t="s">
        <v>4003</v>
      </c>
      <c r="AA449" t="s">
        <v>4004</v>
      </c>
      <c r="AB449" s="1" t="s">
        <v>4005</v>
      </c>
      <c r="AC449" t="s">
        <v>4006</v>
      </c>
      <c r="AD449" t="s">
        <v>4007</v>
      </c>
      <c r="AH449" t="s">
        <v>123</v>
      </c>
      <c r="AI449" t="s">
        <v>124</v>
      </c>
      <c r="AJ449" t="s">
        <v>4008</v>
      </c>
      <c r="AK449" t="s">
        <v>126</v>
      </c>
      <c r="AL449" t="s">
        <v>127</v>
      </c>
      <c r="AN449" t="s">
        <v>4009</v>
      </c>
      <c r="AO449" t="s">
        <v>4010</v>
      </c>
      <c r="AP449" t="s">
        <v>4011</v>
      </c>
      <c r="AQ449" t="s">
        <v>131</v>
      </c>
      <c r="AR449" t="s">
        <v>132</v>
      </c>
      <c r="AS449" t="s">
        <v>796</v>
      </c>
      <c r="AT449" t="s">
        <v>2224</v>
      </c>
      <c r="AV449" t="s">
        <v>3795</v>
      </c>
      <c r="AW449" t="s">
        <v>546</v>
      </c>
      <c r="AX449" t="s">
        <v>317</v>
      </c>
      <c r="AY449" t="s">
        <v>177</v>
      </c>
      <c r="AZ449" t="s">
        <v>356</v>
      </c>
      <c r="BA449" t="s">
        <v>4012</v>
      </c>
      <c r="BC449" t="s">
        <v>140</v>
      </c>
      <c r="BT449" s="7">
        <f t="shared" si="37"/>
        <v>0</v>
      </c>
      <c r="BU449" s="6">
        <f t="shared" si="38"/>
        <v>0</v>
      </c>
      <c r="BV449" s="6">
        <f t="shared" si="39"/>
        <v>0</v>
      </c>
      <c r="BW449" s="6">
        <f t="shared" si="40"/>
        <v>0</v>
      </c>
      <c r="BX449" s="6">
        <f t="shared" si="41"/>
        <v>0</v>
      </c>
    </row>
    <row r="450" spans="1:76" x14ac:dyDescent="0.35">
      <c r="A450" t="s">
        <v>4001</v>
      </c>
      <c r="B450" t="s">
        <v>107</v>
      </c>
      <c r="C450" t="s">
        <v>107</v>
      </c>
      <c r="E450" t="s">
        <v>108</v>
      </c>
      <c r="F450" t="s">
        <v>358</v>
      </c>
      <c r="G450" t="s">
        <v>359</v>
      </c>
      <c r="H450" t="s">
        <v>360</v>
      </c>
      <c r="I450" t="s">
        <v>341</v>
      </c>
      <c r="J450" t="s">
        <v>113</v>
      </c>
      <c r="K450" s="8" t="s">
        <v>114</v>
      </c>
      <c r="L450" t="s">
        <v>361</v>
      </c>
      <c r="M450" s="6">
        <v>233</v>
      </c>
      <c r="N450" t="s">
        <v>4013</v>
      </c>
      <c r="O450" s="6">
        <v>127</v>
      </c>
      <c r="P450" t="s">
        <v>4014</v>
      </c>
      <c r="Q450" s="6">
        <v>0</v>
      </c>
      <c r="R450" s="7">
        <f t="shared" si="36"/>
        <v>106</v>
      </c>
      <c r="S450" t="s">
        <v>180</v>
      </c>
      <c r="T450" t="s">
        <v>114</v>
      </c>
      <c r="U450" t="s">
        <v>180</v>
      </c>
      <c r="W450" t="s">
        <v>114</v>
      </c>
      <c r="X450" t="s">
        <v>4002</v>
      </c>
      <c r="Z450" t="s">
        <v>4003</v>
      </c>
      <c r="AA450" t="s">
        <v>4004</v>
      </c>
      <c r="AB450" s="1" t="s">
        <v>4005</v>
      </c>
      <c r="AC450" t="s">
        <v>4006</v>
      </c>
      <c r="AD450" t="s">
        <v>4007</v>
      </c>
      <c r="AH450" t="s">
        <v>123</v>
      </c>
      <c r="AI450" t="s">
        <v>124</v>
      </c>
      <c r="AJ450" t="s">
        <v>4008</v>
      </c>
      <c r="AK450" t="s">
        <v>126</v>
      </c>
      <c r="AL450" t="s">
        <v>127</v>
      </c>
      <c r="AN450" t="s">
        <v>4009</v>
      </c>
      <c r="AO450" t="s">
        <v>4010</v>
      </c>
      <c r="AP450" t="s">
        <v>4011</v>
      </c>
      <c r="AQ450" t="s">
        <v>131</v>
      </c>
      <c r="AR450" t="s">
        <v>132</v>
      </c>
      <c r="AS450" t="s">
        <v>796</v>
      </c>
      <c r="AT450" t="s">
        <v>2224</v>
      </c>
      <c r="AV450" t="s">
        <v>3795</v>
      </c>
      <c r="AW450" t="s">
        <v>546</v>
      </c>
      <c r="AX450" t="s">
        <v>317</v>
      </c>
      <c r="AY450" t="s">
        <v>177</v>
      </c>
      <c r="AZ450" t="s">
        <v>364</v>
      </c>
      <c r="BA450" t="s">
        <v>4012</v>
      </c>
      <c r="BC450" t="s">
        <v>140</v>
      </c>
      <c r="BT450" s="7">
        <f t="shared" si="37"/>
        <v>106</v>
      </c>
      <c r="BU450" s="6">
        <f t="shared" si="38"/>
        <v>99.065420560747654</v>
      </c>
      <c r="BV450" s="6">
        <f t="shared" si="39"/>
        <v>6.9345794392523361</v>
      </c>
      <c r="BW450" s="6">
        <f t="shared" si="40"/>
        <v>105.99999999999999</v>
      </c>
      <c r="BX450" s="6">
        <f t="shared" si="41"/>
        <v>0</v>
      </c>
    </row>
    <row r="451" spans="1:76" x14ac:dyDescent="0.35">
      <c r="A451" t="s">
        <v>4001</v>
      </c>
      <c r="B451" t="s">
        <v>107</v>
      </c>
      <c r="C451" t="s">
        <v>107</v>
      </c>
      <c r="E451" t="s">
        <v>108</v>
      </c>
      <c r="F451" t="s">
        <v>533</v>
      </c>
      <c r="G451" t="s">
        <v>534</v>
      </c>
      <c r="H451" t="s">
        <v>2360</v>
      </c>
      <c r="I451" t="s">
        <v>536</v>
      </c>
      <c r="J451" t="s">
        <v>113</v>
      </c>
      <c r="K451" s="8" t="s">
        <v>114</v>
      </c>
      <c r="L451" t="s">
        <v>115</v>
      </c>
      <c r="M451" s="6">
        <v>318</v>
      </c>
      <c r="N451" t="s">
        <v>304</v>
      </c>
      <c r="O451" s="6">
        <v>159</v>
      </c>
      <c r="P451" t="s">
        <v>3775</v>
      </c>
      <c r="Q451" s="6">
        <v>0</v>
      </c>
      <c r="R451" s="7">
        <f t="shared" si="36"/>
        <v>159</v>
      </c>
      <c r="S451" t="s">
        <v>180</v>
      </c>
      <c r="T451" t="s">
        <v>114</v>
      </c>
      <c r="U451" t="s">
        <v>180</v>
      </c>
      <c r="W451" t="s">
        <v>114</v>
      </c>
      <c r="X451" t="s">
        <v>4002</v>
      </c>
      <c r="Z451" t="s">
        <v>4003</v>
      </c>
      <c r="AA451" t="s">
        <v>4004</v>
      </c>
      <c r="AB451" s="1" t="s">
        <v>4005</v>
      </c>
      <c r="AC451" t="s">
        <v>4006</v>
      </c>
      <c r="AD451" t="s">
        <v>4007</v>
      </c>
      <c r="AH451" t="s">
        <v>123</v>
      </c>
      <c r="AI451" t="s">
        <v>124</v>
      </c>
      <c r="AJ451" t="s">
        <v>4008</v>
      </c>
      <c r="AK451" t="s">
        <v>126</v>
      </c>
      <c r="AL451" t="s">
        <v>127</v>
      </c>
      <c r="AN451" t="s">
        <v>4009</v>
      </c>
      <c r="AO451" t="s">
        <v>4010</v>
      </c>
      <c r="AP451" t="s">
        <v>4011</v>
      </c>
      <c r="AQ451" t="s">
        <v>131</v>
      </c>
      <c r="AR451" t="s">
        <v>132</v>
      </c>
      <c r="AS451" t="s">
        <v>796</v>
      </c>
      <c r="AT451" t="s">
        <v>2224</v>
      </c>
      <c r="AV451" t="s">
        <v>3795</v>
      </c>
      <c r="AW451" t="s">
        <v>546</v>
      </c>
      <c r="AX451" t="s">
        <v>317</v>
      </c>
      <c r="AY451" t="s">
        <v>547</v>
      </c>
      <c r="AZ451" t="s">
        <v>364</v>
      </c>
      <c r="BA451" t="s">
        <v>4012</v>
      </c>
      <c r="BC451" t="s">
        <v>140</v>
      </c>
      <c r="BT451" s="7">
        <f t="shared" si="37"/>
        <v>159</v>
      </c>
      <c r="BU451" s="6">
        <f t="shared" si="38"/>
        <v>148.59813084112147</v>
      </c>
      <c r="BV451" s="6">
        <f t="shared" si="39"/>
        <v>10.401869158878503</v>
      </c>
      <c r="BW451" s="6">
        <f t="shared" si="40"/>
        <v>158.99999999999997</v>
      </c>
      <c r="BX451" s="6">
        <f t="shared" si="41"/>
        <v>0</v>
      </c>
    </row>
    <row r="452" spans="1:76" x14ac:dyDescent="0.35">
      <c r="A452" t="s">
        <v>4015</v>
      </c>
      <c r="B452" t="s">
        <v>107</v>
      </c>
      <c r="C452" t="s">
        <v>107</v>
      </c>
      <c r="F452" t="s">
        <v>613</v>
      </c>
      <c r="G452" t="s">
        <v>614</v>
      </c>
      <c r="H452" t="s">
        <v>615</v>
      </c>
      <c r="I452" t="s">
        <v>271</v>
      </c>
      <c r="J452" t="s">
        <v>113</v>
      </c>
      <c r="K452" s="8" t="s">
        <v>114</v>
      </c>
      <c r="L452" t="s">
        <v>114</v>
      </c>
      <c r="M452" s="6">
        <v>0</v>
      </c>
      <c r="N452" t="s">
        <v>114</v>
      </c>
      <c r="O452" s="6">
        <v>0</v>
      </c>
      <c r="P452" t="s">
        <v>114</v>
      </c>
      <c r="Q452" s="6">
        <v>0</v>
      </c>
      <c r="R452" s="7">
        <f t="shared" si="36"/>
        <v>0</v>
      </c>
      <c r="S452" t="s">
        <v>114</v>
      </c>
      <c r="T452" t="s">
        <v>114</v>
      </c>
      <c r="U452" t="s">
        <v>114</v>
      </c>
      <c r="W452" t="s">
        <v>114</v>
      </c>
      <c r="X452" t="s">
        <v>114</v>
      </c>
      <c r="Z452" t="s">
        <v>4016</v>
      </c>
      <c r="AA452" t="s">
        <v>4016</v>
      </c>
      <c r="AB452" s="1" t="s">
        <v>4017</v>
      </c>
      <c r="AC452" t="s">
        <v>4018</v>
      </c>
      <c r="AD452" t="s">
        <v>4019</v>
      </c>
      <c r="AH452" t="s">
        <v>123</v>
      </c>
      <c r="AI452" t="s">
        <v>124</v>
      </c>
      <c r="AJ452" t="s">
        <v>4020</v>
      </c>
      <c r="AK452" t="s">
        <v>126</v>
      </c>
      <c r="AL452" t="s">
        <v>127</v>
      </c>
      <c r="AN452" t="s">
        <v>4021</v>
      </c>
      <c r="AO452" t="s">
        <v>4022</v>
      </c>
      <c r="AP452" t="s">
        <v>4023</v>
      </c>
      <c r="AQ452" t="s">
        <v>131</v>
      </c>
      <c r="AR452" t="s">
        <v>132</v>
      </c>
      <c r="AS452" t="s">
        <v>1056</v>
      </c>
      <c r="AT452" t="s">
        <v>1106</v>
      </c>
      <c r="AV452" t="s">
        <v>690</v>
      </c>
      <c r="AW452" t="s">
        <v>690</v>
      </c>
      <c r="AY452" t="s">
        <v>177</v>
      </c>
      <c r="AZ452" t="s">
        <v>627</v>
      </c>
      <c r="BA452" t="s">
        <v>4024</v>
      </c>
      <c r="BC452" t="s">
        <v>140</v>
      </c>
      <c r="BT452" s="7">
        <f t="shared" si="37"/>
        <v>0</v>
      </c>
      <c r="BU452" s="6">
        <f t="shared" si="38"/>
        <v>0</v>
      </c>
      <c r="BV452" s="6">
        <f t="shared" si="39"/>
        <v>0</v>
      </c>
      <c r="BW452" s="6">
        <f t="shared" si="40"/>
        <v>0</v>
      </c>
      <c r="BX452" s="6">
        <f t="shared" si="41"/>
        <v>0</v>
      </c>
    </row>
    <row r="453" spans="1:76" x14ac:dyDescent="0.35">
      <c r="A453" t="s">
        <v>4025</v>
      </c>
      <c r="B453" t="s">
        <v>336</v>
      </c>
      <c r="C453" t="s">
        <v>336</v>
      </c>
      <c r="D453" t="s">
        <v>337</v>
      </c>
      <c r="E453" t="s">
        <v>108</v>
      </c>
      <c r="F453" t="s">
        <v>3828</v>
      </c>
      <c r="G453" t="s">
        <v>359</v>
      </c>
      <c r="H453" t="s">
        <v>3829</v>
      </c>
      <c r="I453" t="s">
        <v>341</v>
      </c>
      <c r="J453" t="s">
        <v>113</v>
      </c>
      <c r="K453" s="8" t="s">
        <v>113</v>
      </c>
      <c r="L453" t="s">
        <v>361</v>
      </c>
      <c r="M453" s="6">
        <v>233</v>
      </c>
      <c r="N453" t="s">
        <v>114</v>
      </c>
      <c r="O453" s="6">
        <v>134</v>
      </c>
      <c r="P453" t="s">
        <v>322</v>
      </c>
      <c r="Q453" s="6">
        <v>0</v>
      </c>
      <c r="R453" s="7">
        <f t="shared" ref="R453:R516" si="42">M453-O453+Q453</f>
        <v>99</v>
      </c>
      <c r="S453" t="s">
        <v>180</v>
      </c>
      <c r="T453" t="s">
        <v>114</v>
      </c>
      <c r="U453" t="s">
        <v>180</v>
      </c>
      <c r="W453" t="s">
        <v>114</v>
      </c>
      <c r="X453" t="s">
        <v>322</v>
      </c>
      <c r="Y453" t="s">
        <v>322</v>
      </c>
      <c r="Z453" t="s">
        <v>4026</v>
      </c>
      <c r="AB453" s="1" t="s">
        <v>4027</v>
      </c>
      <c r="AC453" t="s">
        <v>4028</v>
      </c>
      <c r="AE453" t="s">
        <v>4029</v>
      </c>
      <c r="AF453" t="s">
        <v>474</v>
      </c>
      <c r="AG453" t="s">
        <v>475</v>
      </c>
      <c r="AH453" t="s">
        <v>123</v>
      </c>
      <c r="AI453" t="s">
        <v>124</v>
      </c>
      <c r="AJ453" t="s">
        <v>4030</v>
      </c>
      <c r="AK453" t="s">
        <v>126</v>
      </c>
      <c r="AL453" t="s">
        <v>127</v>
      </c>
      <c r="AN453" t="s">
        <v>4031</v>
      </c>
      <c r="AO453" t="s">
        <v>4032</v>
      </c>
      <c r="AP453" t="s">
        <v>4033</v>
      </c>
      <c r="AQ453" t="s">
        <v>131</v>
      </c>
      <c r="AR453" t="s">
        <v>132</v>
      </c>
      <c r="AS453" t="s">
        <v>596</v>
      </c>
      <c r="AT453" t="s">
        <v>4034</v>
      </c>
      <c r="AV453" t="s">
        <v>175</v>
      </c>
      <c r="AX453" t="s">
        <v>136</v>
      </c>
      <c r="AY453" t="s">
        <v>177</v>
      </c>
      <c r="AZ453" t="s">
        <v>364</v>
      </c>
      <c r="BA453" t="s">
        <v>4035</v>
      </c>
      <c r="BC453" t="s">
        <v>140</v>
      </c>
      <c r="BT453" s="7">
        <f t="shared" ref="BT453:BT516" si="43">+R453</f>
        <v>99</v>
      </c>
      <c r="BU453" s="6">
        <f t="shared" ref="BU453:BU516" si="44">+BT453/1.07</f>
        <v>92.523364485981304</v>
      </c>
      <c r="BV453" s="6">
        <f t="shared" ref="BV453:BV516" si="45">+BU453*7/100</f>
        <v>6.4766355140186906</v>
      </c>
      <c r="BW453" s="6">
        <f t="shared" ref="BW453:BW516" si="46">+BU453+BV453</f>
        <v>99</v>
      </c>
      <c r="BX453" s="6">
        <f t="shared" ref="BX453:BX516" si="47">+BW453-BT453</f>
        <v>0</v>
      </c>
    </row>
    <row r="454" spans="1:76" x14ac:dyDescent="0.35">
      <c r="A454" t="s">
        <v>4036</v>
      </c>
      <c r="B454" t="s">
        <v>107</v>
      </c>
      <c r="C454" t="s">
        <v>107</v>
      </c>
      <c r="E454" t="s">
        <v>108</v>
      </c>
      <c r="F454" t="s">
        <v>338</v>
      </c>
      <c r="G454" t="s">
        <v>339</v>
      </c>
      <c r="H454" t="s">
        <v>340</v>
      </c>
      <c r="I454" t="s">
        <v>341</v>
      </c>
      <c r="J454" t="s">
        <v>113</v>
      </c>
      <c r="K454" s="8" t="s">
        <v>114</v>
      </c>
      <c r="L454" t="s">
        <v>114</v>
      </c>
      <c r="M454" s="6">
        <v>0</v>
      </c>
      <c r="N454" t="s">
        <v>114</v>
      </c>
      <c r="O454" s="6">
        <v>0</v>
      </c>
      <c r="P454" t="s">
        <v>114</v>
      </c>
      <c r="Q454" s="6">
        <v>0</v>
      </c>
      <c r="R454" s="7">
        <f t="shared" si="42"/>
        <v>0</v>
      </c>
      <c r="S454" t="s">
        <v>180</v>
      </c>
      <c r="T454" t="s">
        <v>114</v>
      </c>
      <c r="U454" t="s">
        <v>180</v>
      </c>
      <c r="W454" t="s">
        <v>114</v>
      </c>
      <c r="X454" t="s">
        <v>4037</v>
      </c>
      <c r="Z454" t="s">
        <v>4038</v>
      </c>
      <c r="AA454" t="s">
        <v>4039</v>
      </c>
      <c r="AB454" s="1" t="s">
        <v>4040</v>
      </c>
      <c r="AC454" t="s">
        <v>4041</v>
      </c>
      <c r="AD454" t="s">
        <v>4042</v>
      </c>
      <c r="AH454" t="s">
        <v>123</v>
      </c>
      <c r="AI454" t="s">
        <v>124</v>
      </c>
      <c r="AJ454" t="s">
        <v>4043</v>
      </c>
      <c r="AK454" t="s">
        <v>126</v>
      </c>
      <c r="AL454" t="s">
        <v>127</v>
      </c>
      <c r="AN454" t="s">
        <v>4044</v>
      </c>
      <c r="AO454" t="s">
        <v>4045</v>
      </c>
      <c r="AP454" t="s">
        <v>4046</v>
      </c>
      <c r="AQ454" t="s">
        <v>131</v>
      </c>
      <c r="AR454" t="s">
        <v>132</v>
      </c>
      <c r="AS454" t="s">
        <v>743</v>
      </c>
      <c r="AT454" t="s">
        <v>4047</v>
      </c>
      <c r="AV454" t="s">
        <v>965</v>
      </c>
      <c r="AX454" t="s">
        <v>155</v>
      </c>
      <c r="AY454" t="s">
        <v>177</v>
      </c>
      <c r="AZ454" t="s">
        <v>356</v>
      </c>
      <c r="BA454" t="s">
        <v>4048</v>
      </c>
      <c r="BC454" t="s">
        <v>140</v>
      </c>
      <c r="BT454" s="7">
        <f t="shared" si="43"/>
        <v>0</v>
      </c>
      <c r="BU454" s="6">
        <f t="shared" si="44"/>
        <v>0</v>
      </c>
      <c r="BV454" s="6">
        <f t="shared" si="45"/>
        <v>0</v>
      </c>
      <c r="BW454" s="6">
        <f t="shared" si="46"/>
        <v>0</v>
      </c>
      <c r="BX454" s="6">
        <f t="shared" si="47"/>
        <v>0</v>
      </c>
    </row>
    <row r="455" spans="1:76" x14ac:dyDescent="0.35">
      <c r="A455" t="s">
        <v>4036</v>
      </c>
      <c r="B455" t="s">
        <v>107</v>
      </c>
      <c r="C455" t="s">
        <v>107</v>
      </c>
      <c r="E455" t="s">
        <v>108</v>
      </c>
      <c r="F455" t="s">
        <v>358</v>
      </c>
      <c r="G455" t="s">
        <v>359</v>
      </c>
      <c r="H455" t="s">
        <v>360</v>
      </c>
      <c r="I455" t="s">
        <v>341</v>
      </c>
      <c r="J455" t="s">
        <v>113</v>
      </c>
      <c r="K455" s="8" t="s">
        <v>114</v>
      </c>
      <c r="L455" t="s">
        <v>361</v>
      </c>
      <c r="M455" s="6">
        <v>233</v>
      </c>
      <c r="N455" t="s">
        <v>114</v>
      </c>
      <c r="O455" s="6">
        <v>127</v>
      </c>
      <c r="P455" t="s">
        <v>4037</v>
      </c>
      <c r="Q455" s="6">
        <v>0</v>
      </c>
      <c r="R455" s="7">
        <f t="shared" si="42"/>
        <v>106</v>
      </c>
      <c r="S455" t="s">
        <v>180</v>
      </c>
      <c r="T455" t="s">
        <v>114</v>
      </c>
      <c r="U455" t="s">
        <v>180</v>
      </c>
      <c r="W455" t="s">
        <v>114</v>
      </c>
      <c r="X455" t="s">
        <v>4037</v>
      </c>
      <c r="Z455" t="s">
        <v>4038</v>
      </c>
      <c r="AA455" t="s">
        <v>4039</v>
      </c>
      <c r="AB455" s="1" t="s">
        <v>4040</v>
      </c>
      <c r="AC455" t="s">
        <v>4041</v>
      </c>
      <c r="AD455" t="s">
        <v>4042</v>
      </c>
      <c r="AH455" t="s">
        <v>123</v>
      </c>
      <c r="AI455" t="s">
        <v>124</v>
      </c>
      <c r="AJ455" t="s">
        <v>4043</v>
      </c>
      <c r="AK455" t="s">
        <v>126</v>
      </c>
      <c r="AL455" t="s">
        <v>127</v>
      </c>
      <c r="AN455" t="s">
        <v>4044</v>
      </c>
      <c r="AO455" t="s">
        <v>4045</v>
      </c>
      <c r="AP455" t="s">
        <v>4046</v>
      </c>
      <c r="AQ455" t="s">
        <v>131</v>
      </c>
      <c r="AR455" t="s">
        <v>132</v>
      </c>
      <c r="AS455" t="s">
        <v>743</v>
      </c>
      <c r="AT455" t="s">
        <v>4047</v>
      </c>
      <c r="AV455" t="s">
        <v>965</v>
      </c>
      <c r="AX455" t="s">
        <v>155</v>
      </c>
      <c r="AY455" t="s">
        <v>177</v>
      </c>
      <c r="AZ455" t="s">
        <v>364</v>
      </c>
      <c r="BA455" t="s">
        <v>4048</v>
      </c>
      <c r="BC455" t="s">
        <v>140</v>
      </c>
      <c r="BT455" s="7">
        <f t="shared" si="43"/>
        <v>106</v>
      </c>
      <c r="BU455" s="6">
        <f t="shared" si="44"/>
        <v>99.065420560747654</v>
      </c>
      <c r="BV455" s="6">
        <f t="shared" si="45"/>
        <v>6.9345794392523361</v>
      </c>
      <c r="BW455" s="6">
        <f t="shared" si="46"/>
        <v>105.99999999999999</v>
      </c>
      <c r="BX455" s="6">
        <f t="shared" si="47"/>
        <v>0</v>
      </c>
    </row>
    <row r="456" spans="1:76" x14ac:dyDescent="0.35">
      <c r="A456" t="s">
        <v>4049</v>
      </c>
      <c r="B456" t="s">
        <v>336</v>
      </c>
      <c r="C456" t="s">
        <v>336</v>
      </c>
      <c r="D456" t="s">
        <v>337</v>
      </c>
      <c r="E456" t="s">
        <v>108</v>
      </c>
      <c r="F456" t="s">
        <v>268</v>
      </c>
      <c r="G456" t="s">
        <v>269</v>
      </c>
      <c r="H456" t="s">
        <v>2268</v>
      </c>
      <c r="I456" t="s">
        <v>271</v>
      </c>
      <c r="J456" t="s">
        <v>113</v>
      </c>
      <c r="K456" s="8" t="s">
        <v>113</v>
      </c>
      <c r="L456" t="s">
        <v>114</v>
      </c>
      <c r="M456" s="6">
        <v>0</v>
      </c>
      <c r="N456" t="s">
        <v>114</v>
      </c>
      <c r="O456" s="6">
        <v>0</v>
      </c>
      <c r="P456" t="s">
        <v>114</v>
      </c>
      <c r="Q456" s="6">
        <v>0</v>
      </c>
      <c r="R456" s="7">
        <f t="shared" si="42"/>
        <v>0</v>
      </c>
      <c r="S456" t="s">
        <v>142</v>
      </c>
      <c r="T456" t="s">
        <v>114</v>
      </c>
      <c r="U456" t="s">
        <v>142</v>
      </c>
      <c r="W456" t="s">
        <v>114</v>
      </c>
      <c r="X456" t="s">
        <v>3563</v>
      </c>
      <c r="Y456" t="s">
        <v>114</v>
      </c>
      <c r="Z456" t="s">
        <v>4050</v>
      </c>
      <c r="AE456" t="s">
        <v>4051</v>
      </c>
      <c r="AF456" t="s">
        <v>346</v>
      </c>
      <c r="AG456" t="s">
        <v>347</v>
      </c>
      <c r="AH456" t="s">
        <v>123</v>
      </c>
      <c r="AI456" t="s">
        <v>124</v>
      </c>
      <c r="AK456" t="s">
        <v>126</v>
      </c>
      <c r="AN456" t="s">
        <v>4052</v>
      </c>
      <c r="AO456" t="s">
        <v>4053</v>
      </c>
      <c r="AP456" t="s">
        <v>4054</v>
      </c>
      <c r="AQ456" t="s">
        <v>131</v>
      </c>
      <c r="AR456" t="s">
        <v>132</v>
      </c>
      <c r="AS456" t="s">
        <v>720</v>
      </c>
      <c r="AT456" t="s">
        <v>4055</v>
      </c>
      <c r="AV456" t="s">
        <v>1216</v>
      </c>
      <c r="AW456" t="s">
        <v>758</v>
      </c>
      <c r="AX456" t="s">
        <v>317</v>
      </c>
      <c r="AY456" t="s">
        <v>272</v>
      </c>
      <c r="AZ456" t="s">
        <v>273</v>
      </c>
      <c r="BT456" s="7">
        <f t="shared" si="43"/>
        <v>0</v>
      </c>
      <c r="BU456" s="6">
        <f t="shared" si="44"/>
        <v>0</v>
      </c>
      <c r="BV456" s="6">
        <f t="shared" si="45"/>
        <v>0</v>
      </c>
      <c r="BW456" s="6">
        <f t="shared" si="46"/>
        <v>0</v>
      </c>
      <c r="BX456" s="6">
        <f t="shared" si="47"/>
        <v>0</v>
      </c>
    </row>
    <row r="457" spans="1:76" x14ac:dyDescent="0.35">
      <c r="A457" t="s">
        <v>4049</v>
      </c>
      <c r="B457" t="s">
        <v>336</v>
      </c>
      <c r="C457" t="s">
        <v>336</v>
      </c>
      <c r="D457" t="s">
        <v>337</v>
      </c>
      <c r="E457" t="s">
        <v>108</v>
      </c>
      <c r="F457" t="s">
        <v>158</v>
      </c>
      <c r="G457" t="s">
        <v>159</v>
      </c>
      <c r="H457" t="s">
        <v>111</v>
      </c>
      <c r="I457" t="s">
        <v>341</v>
      </c>
      <c r="J457" t="s">
        <v>113</v>
      </c>
      <c r="K457" s="8" t="s">
        <v>113</v>
      </c>
      <c r="L457" t="s">
        <v>161</v>
      </c>
      <c r="M457" s="6">
        <v>459</v>
      </c>
      <c r="N457" t="s">
        <v>979</v>
      </c>
      <c r="O457" s="6">
        <v>220</v>
      </c>
      <c r="P457" t="s">
        <v>3563</v>
      </c>
      <c r="Q457" s="6">
        <v>0</v>
      </c>
      <c r="R457" s="7">
        <f t="shared" si="42"/>
        <v>239</v>
      </c>
      <c r="S457" t="s">
        <v>142</v>
      </c>
      <c r="T457" t="s">
        <v>114</v>
      </c>
      <c r="U457" t="s">
        <v>142</v>
      </c>
      <c r="W457" t="s">
        <v>114</v>
      </c>
      <c r="X457" t="s">
        <v>3563</v>
      </c>
      <c r="Y457" t="s">
        <v>3563</v>
      </c>
      <c r="Z457" t="s">
        <v>4050</v>
      </c>
      <c r="AE457" t="s">
        <v>4051</v>
      </c>
      <c r="AF457" t="s">
        <v>346</v>
      </c>
      <c r="AG457" t="s">
        <v>347</v>
      </c>
      <c r="AH457" t="s">
        <v>123</v>
      </c>
      <c r="AI457" t="s">
        <v>124</v>
      </c>
      <c r="AK457" t="s">
        <v>126</v>
      </c>
      <c r="AN457" t="s">
        <v>4052</v>
      </c>
      <c r="AO457" t="s">
        <v>4053</v>
      </c>
      <c r="AP457" t="s">
        <v>4054</v>
      </c>
      <c r="AQ457" t="s">
        <v>131</v>
      </c>
      <c r="AR457" t="s">
        <v>132</v>
      </c>
      <c r="AS457" t="s">
        <v>720</v>
      </c>
      <c r="AT457" t="s">
        <v>4055</v>
      </c>
      <c r="AV457" t="s">
        <v>1216</v>
      </c>
      <c r="AW457" t="s">
        <v>758</v>
      </c>
      <c r="AX457" t="s">
        <v>317</v>
      </c>
      <c r="AY457" t="s">
        <v>177</v>
      </c>
      <c r="AZ457" t="s">
        <v>138</v>
      </c>
      <c r="BT457" s="7">
        <f t="shared" si="43"/>
        <v>239</v>
      </c>
      <c r="BU457" s="6">
        <f t="shared" si="44"/>
        <v>223.36448598130841</v>
      </c>
      <c r="BV457" s="6">
        <f t="shared" si="45"/>
        <v>15.635514018691588</v>
      </c>
      <c r="BW457" s="6">
        <f t="shared" si="46"/>
        <v>239</v>
      </c>
      <c r="BX457" s="6">
        <f t="shared" si="47"/>
        <v>0</v>
      </c>
    </row>
    <row r="458" spans="1:76" x14ac:dyDescent="0.35">
      <c r="A458" t="s">
        <v>4056</v>
      </c>
      <c r="B458" t="s">
        <v>336</v>
      </c>
      <c r="C458" t="s">
        <v>336</v>
      </c>
      <c r="D458" t="s">
        <v>337</v>
      </c>
      <c r="E458" t="s">
        <v>108</v>
      </c>
      <c r="F458" t="s">
        <v>158</v>
      </c>
      <c r="G458" t="s">
        <v>159</v>
      </c>
      <c r="H458" t="s">
        <v>111</v>
      </c>
      <c r="I458" t="s">
        <v>341</v>
      </c>
      <c r="J458" t="s">
        <v>113</v>
      </c>
      <c r="K458" s="8" t="s">
        <v>113</v>
      </c>
      <c r="L458" t="s">
        <v>161</v>
      </c>
      <c r="M458" s="6">
        <v>459</v>
      </c>
      <c r="N458" t="s">
        <v>979</v>
      </c>
      <c r="O458" s="6">
        <v>220</v>
      </c>
      <c r="P458" t="s">
        <v>3563</v>
      </c>
      <c r="Q458" s="6">
        <v>38</v>
      </c>
      <c r="R458" s="7">
        <f t="shared" si="42"/>
        <v>277</v>
      </c>
      <c r="S458" t="s">
        <v>180</v>
      </c>
      <c r="T458" t="s">
        <v>114</v>
      </c>
      <c r="U458" t="s">
        <v>114</v>
      </c>
      <c r="W458" t="s">
        <v>114</v>
      </c>
      <c r="X458" t="s">
        <v>4057</v>
      </c>
      <c r="Y458" t="s">
        <v>3563</v>
      </c>
      <c r="Z458" t="s">
        <v>4058</v>
      </c>
      <c r="AE458" t="s">
        <v>4059</v>
      </c>
      <c r="AF458" t="s">
        <v>346</v>
      </c>
      <c r="AG458" t="s">
        <v>4060</v>
      </c>
      <c r="AH458" t="s">
        <v>123</v>
      </c>
      <c r="AI458" t="s">
        <v>124</v>
      </c>
      <c r="AK458" t="s">
        <v>126</v>
      </c>
      <c r="AN458" t="s">
        <v>4061</v>
      </c>
      <c r="AO458" t="s">
        <v>4062</v>
      </c>
      <c r="AP458" t="s">
        <v>4063</v>
      </c>
      <c r="AQ458" t="s">
        <v>131</v>
      </c>
      <c r="AR458" t="s">
        <v>132</v>
      </c>
      <c r="AS458" t="s">
        <v>796</v>
      </c>
      <c r="AT458" t="s">
        <v>2224</v>
      </c>
      <c r="AV458" t="s">
        <v>1607</v>
      </c>
      <c r="AX458" t="s">
        <v>155</v>
      </c>
      <c r="AY458" t="s">
        <v>177</v>
      </c>
      <c r="AZ458" t="s">
        <v>138</v>
      </c>
      <c r="BT458" s="7">
        <f t="shared" si="43"/>
        <v>277</v>
      </c>
      <c r="BU458" s="6">
        <f t="shared" si="44"/>
        <v>258.87850467289718</v>
      </c>
      <c r="BV458" s="6">
        <f t="shared" si="45"/>
        <v>18.121495327102803</v>
      </c>
      <c r="BW458" s="6">
        <f t="shared" si="46"/>
        <v>277</v>
      </c>
      <c r="BX458" s="6">
        <f t="shared" si="47"/>
        <v>0</v>
      </c>
    </row>
    <row r="459" spans="1:76" x14ac:dyDescent="0.35">
      <c r="A459" t="s">
        <v>4056</v>
      </c>
      <c r="B459" t="s">
        <v>336</v>
      </c>
      <c r="C459" t="s">
        <v>336</v>
      </c>
      <c r="D459" t="s">
        <v>337</v>
      </c>
      <c r="E459" t="s">
        <v>108</v>
      </c>
      <c r="F459" t="s">
        <v>268</v>
      </c>
      <c r="G459" t="s">
        <v>269</v>
      </c>
      <c r="H459" t="s">
        <v>2268</v>
      </c>
      <c r="I459" t="s">
        <v>271</v>
      </c>
      <c r="J459" t="s">
        <v>113</v>
      </c>
      <c r="K459" s="8" t="s">
        <v>113</v>
      </c>
      <c r="L459" t="s">
        <v>114</v>
      </c>
      <c r="M459" s="6">
        <v>0</v>
      </c>
      <c r="N459" t="s">
        <v>114</v>
      </c>
      <c r="O459" s="6">
        <v>0</v>
      </c>
      <c r="P459" t="s">
        <v>114</v>
      </c>
      <c r="Q459" s="6">
        <v>38</v>
      </c>
      <c r="R459" s="7">
        <f t="shared" si="42"/>
        <v>38</v>
      </c>
      <c r="S459" t="s">
        <v>180</v>
      </c>
      <c r="T459" t="s">
        <v>114</v>
      </c>
      <c r="U459" t="s">
        <v>114</v>
      </c>
      <c r="W459" t="s">
        <v>114</v>
      </c>
      <c r="X459" t="s">
        <v>4057</v>
      </c>
      <c r="Y459" t="s">
        <v>114</v>
      </c>
      <c r="Z459" t="s">
        <v>4058</v>
      </c>
      <c r="AE459" t="s">
        <v>4059</v>
      </c>
      <c r="AF459" t="s">
        <v>346</v>
      </c>
      <c r="AG459" t="s">
        <v>4060</v>
      </c>
      <c r="AH459" t="s">
        <v>123</v>
      </c>
      <c r="AI459" t="s">
        <v>124</v>
      </c>
      <c r="AK459" t="s">
        <v>126</v>
      </c>
      <c r="AN459" t="s">
        <v>4061</v>
      </c>
      <c r="AO459" t="s">
        <v>4062</v>
      </c>
      <c r="AP459" t="s">
        <v>4063</v>
      </c>
      <c r="AQ459" t="s">
        <v>131</v>
      </c>
      <c r="AR459" t="s">
        <v>132</v>
      </c>
      <c r="AS459" t="s">
        <v>796</v>
      </c>
      <c r="AT459" t="s">
        <v>2224</v>
      </c>
      <c r="AV459" t="s">
        <v>1607</v>
      </c>
      <c r="AX459" t="s">
        <v>155</v>
      </c>
      <c r="AY459" t="s">
        <v>272</v>
      </c>
      <c r="AZ459" t="s">
        <v>273</v>
      </c>
      <c r="BT459" s="7">
        <f t="shared" si="43"/>
        <v>38</v>
      </c>
      <c r="BU459" s="6">
        <f t="shared" si="44"/>
        <v>35.514018691588781</v>
      </c>
      <c r="BV459" s="6">
        <f t="shared" si="45"/>
        <v>2.4859813084112146</v>
      </c>
      <c r="BW459" s="6">
        <f t="shared" si="46"/>
        <v>37.999999999999993</v>
      </c>
      <c r="BX459" s="6">
        <f t="shared" si="47"/>
        <v>0</v>
      </c>
    </row>
    <row r="460" spans="1:76" x14ac:dyDescent="0.35">
      <c r="A460" t="s">
        <v>4064</v>
      </c>
      <c r="B460" t="s">
        <v>107</v>
      </c>
      <c r="C460" t="s">
        <v>107</v>
      </c>
      <c r="E460" t="s">
        <v>108</v>
      </c>
      <c r="F460" t="s">
        <v>338</v>
      </c>
      <c r="G460" t="s">
        <v>339</v>
      </c>
      <c r="H460" t="s">
        <v>340</v>
      </c>
      <c r="I460" t="s">
        <v>341</v>
      </c>
      <c r="J460" t="s">
        <v>113</v>
      </c>
      <c r="K460" s="8" t="s">
        <v>114</v>
      </c>
      <c r="L460" t="s">
        <v>114</v>
      </c>
      <c r="M460" s="6">
        <v>0</v>
      </c>
      <c r="N460" t="s">
        <v>114</v>
      </c>
      <c r="O460" s="6">
        <v>0</v>
      </c>
      <c r="P460" t="s">
        <v>114</v>
      </c>
      <c r="Q460" s="6">
        <v>0</v>
      </c>
      <c r="R460" s="7">
        <f t="shared" si="42"/>
        <v>0</v>
      </c>
      <c r="S460" t="s">
        <v>142</v>
      </c>
      <c r="T460" t="s">
        <v>114</v>
      </c>
      <c r="U460" t="s">
        <v>142</v>
      </c>
      <c r="W460" t="s">
        <v>114</v>
      </c>
      <c r="X460" t="s">
        <v>4037</v>
      </c>
      <c r="Z460" t="s">
        <v>4065</v>
      </c>
      <c r="AA460" t="s">
        <v>4066</v>
      </c>
      <c r="AB460" s="1" t="s">
        <v>4067</v>
      </c>
      <c r="AC460" t="s">
        <v>4068</v>
      </c>
      <c r="AD460" t="s">
        <v>4066</v>
      </c>
      <c r="AH460" t="s">
        <v>123</v>
      </c>
      <c r="AI460" t="s">
        <v>124</v>
      </c>
      <c r="AJ460" t="s">
        <v>4069</v>
      </c>
      <c r="AK460" t="s">
        <v>126</v>
      </c>
      <c r="AL460" t="s">
        <v>127</v>
      </c>
      <c r="AN460" t="s">
        <v>4070</v>
      </c>
      <c r="AO460" t="s">
        <v>4071</v>
      </c>
      <c r="AP460" t="s">
        <v>4072</v>
      </c>
      <c r="AQ460" t="s">
        <v>131</v>
      </c>
      <c r="AR460" t="s">
        <v>132</v>
      </c>
      <c r="AS460" t="s">
        <v>1440</v>
      </c>
      <c r="AT460" t="s">
        <v>4073</v>
      </c>
      <c r="AV460" t="s">
        <v>638</v>
      </c>
      <c r="AX460" t="s">
        <v>136</v>
      </c>
      <c r="AY460" t="s">
        <v>177</v>
      </c>
      <c r="AZ460" t="s">
        <v>356</v>
      </c>
      <c r="BA460" t="s">
        <v>4074</v>
      </c>
      <c r="BC460" t="s">
        <v>140</v>
      </c>
      <c r="BT460" s="7">
        <f t="shared" si="43"/>
        <v>0</v>
      </c>
      <c r="BU460" s="6">
        <f t="shared" si="44"/>
        <v>0</v>
      </c>
      <c r="BV460" s="6">
        <f t="shared" si="45"/>
        <v>0</v>
      </c>
      <c r="BW460" s="6">
        <f t="shared" si="46"/>
        <v>0</v>
      </c>
      <c r="BX460" s="6">
        <f t="shared" si="47"/>
        <v>0</v>
      </c>
    </row>
    <row r="461" spans="1:76" x14ac:dyDescent="0.35">
      <c r="A461" t="s">
        <v>4064</v>
      </c>
      <c r="B461" t="s">
        <v>107</v>
      </c>
      <c r="C461" t="s">
        <v>107</v>
      </c>
      <c r="E461" t="s">
        <v>108</v>
      </c>
      <c r="F461" t="s">
        <v>358</v>
      </c>
      <c r="G461" t="s">
        <v>359</v>
      </c>
      <c r="H461" t="s">
        <v>360</v>
      </c>
      <c r="I461" t="s">
        <v>341</v>
      </c>
      <c r="J461" t="s">
        <v>113</v>
      </c>
      <c r="K461" s="8" t="s">
        <v>114</v>
      </c>
      <c r="L461" t="s">
        <v>361</v>
      </c>
      <c r="M461" s="6">
        <v>233</v>
      </c>
      <c r="N461" t="s">
        <v>114</v>
      </c>
      <c r="O461" s="6">
        <v>127</v>
      </c>
      <c r="P461" t="s">
        <v>4037</v>
      </c>
      <c r="Q461" s="6">
        <v>0</v>
      </c>
      <c r="R461" s="7">
        <f t="shared" si="42"/>
        <v>106</v>
      </c>
      <c r="S461" t="s">
        <v>142</v>
      </c>
      <c r="T461" t="s">
        <v>114</v>
      </c>
      <c r="U461" t="s">
        <v>142</v>
      </c>
      <c r="W461" t="s">
        <v>114</v>
      </c>
      <c r="X461" t="s">
        <v>4037</v>
      </c>
      <c r="Z461" t="s">
        <v>4065</v>
      </c>
      <c r="AA461" t="s">
        <v>4066</v>
      </c>
      <c r="AB461" s="1" t="s">
        <v>4067</v>
      </c>
      <c r="AC461" t="s">
        <v>4068</v>
      </c>
      <c r="AD461" t="s">
        <v>4066</v>
      </c>
      <c r="AH461" t="s">
        <v>123</v>
      </c>
      <c r="AI461" t="s">
        <v>124</v>
      </c>
      <c r="AJ461" t="s">
        <v>4069</v>
      </c>
      <c r="AK461" t="s">
        <v>126</v>
      </c>
      <c r="AL461" t="s">
        <v>127</v>
      </c>
      <c r="AN461" t="s">
        <v>4070</v>
      </c>
      <c r="AO461" t="s">
        <v>4071</v>
      </c>
      <c r="AP461" t="s">
        <v>4072</v>
      </c>
      <c r="AQ461" t="s">
        <v>131</v>
      </c>
      <c r="AR461" t="s">
        <v>132</v>
      </c>
      <c r="AS461" t="s">
        <v>1440</v>
      </c>
      <c r="AT461" t="s">
        <v>4073</v>
      </c>
      <c r="AV461" t="s">
        <v>638</v>
      </c>
      <c r="AX461" t="s">
        <v>136</v>
      </c>
      <c r="AY461" t="s">
        <v>177</v>
      </c>
      <c r="AZ461" t="s">
        <v>364</v>
      </c>
      <c r="BA461" t="s">
        <v>4074</v>
      </c>
      <c r="BC461" t="s">
        <v>140</v>
      </c>
      <c r="BT461" s="7">
        <f t="shared" si="43"/>
        <v>106</v>
      </c>
      <c r="BU461" s="6">
        <f t="shared" si="44"/>
        <v>99.065420560747654</v>
      </c>
      <c r="BV461" s="6">
        <f t="shared" si="45"/>
        <v>6.9345794392523361</v>
      </c>
      <c r="BW461" s="6">
        <f t="shared" si="46"/>
        <v>105.99999999999999</v>
      </c>
      <c r="BX461" s="6">
        <f t="shared" si="47"/>
        <v>0</v>
      </c>
    </row>
    <row r="462" spans="1:76" x14ac:dyDescent="0.35">
      <c r="A462" t="s">
        <v>4075</v>
      </c>
      <c r="B462" t="s">
        <v>107</v>
      </c>
      <c r="C462" t="s">
        <v>107</v>
      </c>
      <c r="E462" t="s">
        <v>108</v>
      </c>
      <c r="F462" t="s">
        <v>158</v>
      </c>
      <c r="G462" t="s">
        <v>159</v>
      </c>
      <c r="H462" t="s">
        <v>111</v>
      </c>
      <c r="I462" t="s">
        <v>341</v>
      </c>
      <c r="J462" t="s">
        <v>113</v>
      </c>
      <c r="K462" s="8" t="s">
        <v>114</v>
      </c>
      <c r="L462" t="s">
        <v>161</v>
      </c>
      <c r="M462" s="6">
        <v>459</v>
      </c>
      <c r="N462" t="s">
        <v>994</v>
      </c>
      <c r="O462" s="6">
        <v>220</v>
      </c>
      <c r="P462" t="s">
        <v>1151</v>
      </c>
      <c r="Q462" s="6">
        <v>0</v>
      </c>
      <c r="R462" s="7">
        <f t="shared" si="42"/>
        <v>239</v>
      </c>
      <c r="S462" t="s">
        <v>180</v>
      </c>
      <c r="T462" t="s">
        <v>114</v>
      </c>
      <c r="U462" t="s">
        <v>180</v>
      </c>
      <c r="W462" t="s">
        <v>114</v>
      </c>
      <c r="X462" t="s">
        <v>1151</v>
      </c>
      <c r="Z462" t="s">
        <v>4076</v>
      </c>
      <c r="AA462" t="s">
        <v>4077</v>
      </c>
      <c r="AB462" s="1" t="s">
        <v>4078</v>
      </c>
      <c r="AC462" t="s">
        <v>4079</v>
      </c>
      <c r="AD462" t="s">
        <v>4077</v>
      </c>
      <c r="AH462" t="s">
        <v>123</v>
      </c>
      <c r="AI462" t="s">
        <v>124</v>
      </c>
      <c r="AJ462" t="s">
        <v>4080</v>
      </c>
      <c r="AK462" t="s">
        <v>126</v>
      </c>
      <c r="AL462" t="s">
        <v>127</v>
      </c>
      <c r="AN462" t="s">
        <v>4081</v>
      </c>
      <c r="AO462" t="s">
        <v>4082</v>
      </c>
      <c r="AP462" t="s">
        <v>4083</v>
      </c>
      <c r="AQ462" t="s">
        <v>131</v>
      </c>
      <c r="AR462" t="s">
        <v>132</v>
      </c>
      <c r="AS462" t="s">
        <v>297</v>
      </c>
      <c r="AT462" t="s">
        <v>4084</v>
      </c>
      <c r="AV462" t="s">
        <v>625</v>
      </c>
      <c r="AW462" t="s">
        <v>759</v>
      </c>
      <c r="AX462" t="s">
        <v>136</v>
      </c>
      <c r="AY462" t="s">
        <v>177</v>
      </c>
      <c r="AZ462" t="s">
        <v>138</v>
      </c>
      <c r="BA462" t="s">
        <v>4085</v>
      </c>
      <c r="BC462" t="s">
        <v>140</v>
      </c>
      <c r="BT462" s="7">
        <f t="shared" si="43"/>
        <v>239</v>
      </c>
      <c r="BU462" s="6">
        <f t="shared" si="44"/>
        <v>223.36448598130841</v>
      </c>
      <c r="BV462" s="6">
        <f t="shared" si="45"/>
        <v>15.635514018691588</v>
      </c>
      <c r="BW462" s="6">
        <f t="shared" si="46"/>
        <v>239</v>
      </c>
      <c r="BX462" s="6">
        <f t="shared" si="47"/>
        <v>0</v>
      </c>
    </row>
    <row r="463" spans="1:76" x14ac:dyDescent="0.35">
      <c r="A463" t="s">
        <v>4075</v>
      </c>
      <c r="B463" t="s">
        <v>107</v>
      </c>
      <c r="C463" t="s">
        <v>107</v>
      </c>
      <c r="E463" t="s">
        <v>108</v>
      </c>
      <c r="F463" t="s">
        <v>268</v>
      </c>
      <c r="G463" t="s">
        <v>269</v>
      </c>
      <c r="H463" t="s">
        <v>2268</v>
      </c>
      <c r="I463" t="s">
        <v>271</v>
      </c>
      <c r="J463" t="s">
        <v>113</v>
      </c>
      <c r="K463" s="8" t="s">
        <v>114</v>
      </c>
      <c r="L463" t="s">
        <v>114</v>
      </c>
      <c r="M463" s="6">
        <v>0</v>
      </c>
      <c r="N463" t="s">
        <v>114</v>
      </c>
      <c r="O463" s="6">
        <v>0</v>
      </c>
      <c r="P463" t="s">
        <v>114</v>
      </c>
      <c r="Q463" s="6">
        <v>0</v>
      </c>
      <c r="R463" s="7">
        <f t="shared" si="42"/>
        <v>0</v>
      </c>
      <c r="S463" t="s">
        <v>180</v>
      </c>
      <c r="T463" t="s">
        <v>114</v>
      </c>
      <c r="U463" t="s">
        <v>180</v>
      </c>
      <c r="W463" t="s">
        <v>114</v>
      </c>
      <c r="X463" t="s">
        <v>1151</v>
      </c>
      <c r="Z463" t="s">
        <v>4076</v>
      </c>
      <c r="AA463" t="s">
        <v>4077</v>
      </c>
      <c r="AB463" s="1" t="s">
        <v>4078</v>
      </c>
      <c r="AC463" t="s">
        <v>4079</v>
      </c>
      <c r="AD463" t="s">
        <v>4077</v>
      </c>
      <c r="AH463" t="s">
        <v>123</v>
      </c>
      <c r="AI463" t="s">
        <v>124</v>
      </c>
      <c r="AJ463" t="s">
        <v>4080</v>
      </c>
      <c r="AK463" t="s">
        <v>126</v>
      </c>
      <c r="AL463" t="s">
        <v>127</v>
      </c>
      <c r="AN463" t="s">
        <v>4081</v>
      </c>
      <c r="AO463" t="s">
        <v>4082</v>
      </c>
      <c r="AP463" t="s">
        <v>4083</v>
      </c>
      <c r="AQ463" t="s">
        <v>131</v>
      </c>
      <c r="AR463" t="s">
        <v>132</v>
      </c>
      <c r="AS463" t="s">
        <v>297</v>
      </c>
      <c r="AT463" t="s">
        <v>4084</v>
      </c>
      <c r="AV463" t="s">
        <v>625</v>
      </c>
      <c r="AW463" t="s">
        <v>759</v>
      </c>
      <c r="AX463" t="s">
        <v>136</v>
      </c>
      <c r="AY463" t="s">
        <v>272</v>
      </c>
      <c r="AZ463" t="s">
        <v>273</v>
      </c>
      <c r="BA463" t="s">
        <v>4085</v>
      </c>
      <c r="BC463" t="s">
        <v>140</v>
      </c>
      <c r="BT463" s="7">
        <f t="shared" si="43"/>
        <v>0</v>
      </c>
      <c r="BU463" s="6">
        <f t="shared" si="44"/>
        <v>0</v>
      </c>
      <c r="BV463" s="6">
        <f t="shared" si="45"/>
        <v>0</v>
      </c>
      <c r="BW463" s="6">
        <f t="shared" si="46"/>
        <v>0</v>
      </c>
      <c r="BX463" s="6">
        <f t="shared" si="47"/>
        <v>0</v>
      </c>
    </row>
    <row r="464" spans="1:76" x14ac:dyDescent="0.35">
      <c r="A464" t="s">
        <v>4086</v>
      </c>
      <c r="B464" t="s">
        <v>107</v>
      </c>
      <c r="C464" t="s">
        <v>107</v>
      </c>
      <c r="E464" t="s">
        <v>108</v>
      </c>
      <c r="F464" t="s">
        <v>158</v>
      </c>
      <c r="G464" t="s">
        <v>159</v>
      </c>
      <c r="H464" t="s">
        <v>111</v>
      </c>
      <c r="I464" t="s">
        <v>341</v>
      </c>
      <c r="J464" t="s">
        <v>113</v>
      </c>
      <c r="K464" s="8" t="s">
        <v>114</v>
      </c>
      <c r="L464" t="s">
        <v>161</v>
      </c>
      <c r="M464" s="6">
        <v>459</v>
      </c>
      <c r="N464" t="s">
        <v>114</v>
      </c>
      <c r="O464" s="6">
        <v>220</v>
      </c>
      <c r="P464" t="s">
        <v>1111</v>
      </c>
      <c r="Q464" s="6">
        <v>0</v>
      </c>
      <c r="R464" s="7">
        <f t="shared" si="42"/>
        <v>239</v>
      </c>
      <c r="S464" t="s">
        <v>180</v>
      </c>
      <c r="T464" t="s">
        <v>114</v>
      </c>
      <c r="U464" t="s">
        <v>180</v>
      </c>
      <c r="W464" t="s">
        <v>114</v>
      </c>
      <c r="X464" t="s">
        <v>1111</v>
      </c>
      <c r="Z464" t="s">
        <v>4087</v>
      </c>
      <c r="AA464" t="s">
        <v>4088</v>
      </c>
      <c r="AB464" s="1" t="s">
        <v>4089</v>
      </c>
      <c r="AC464" t="s">
        <v>4090</v>
      </c>
      <c r="AD464" t="s">
        <v>4088</v>
      </c>
      <c r="AH464" t="s">
        <v>123</v>
      </c>
      <c r="AI464" t="s">
        <v>124</v>
      </c>
      <c r="AJ464" t="s">
        <v>4091</v>
      </c>
      <c r="AK464" t="s">
        <v>126</v>
      </c>
      <c r="AL464" t="s">
        <v>127</v>
      </c>
      <c r="AN464" t="s">
        <v>4092</v>
      </c>
      <c r="AO464" t="s">
        <v>4093</v>
      </c>
      <c r="AP464" t="s">
        <v>4094</v>
      </c>
      <c r="AQ464" t="s">
        <v>131</v>
      </c>
      <c r="AR464" t="s">
        <v>132</v>
      </c>
      <c r="AS464" t="s">
        <v>756</v>
      </c>
      <c r="AT464" t="s">
        <v>4095</v>
      </c>
      <c r="AV464" t="s">
        <v>516</v>
      </c>
      <c r="AX464" t="s">
        <v>136</v>
      </c>
      <c r="AY464" t="s">
        <v>177</v>
      </c>
      <c r="AZ464" t="s">
        <v>138</v>
      </c>
      <c r="BA464" t="s">
        <v>4096</v>
      </c>
      <c r="BC464" t="s">
        <v>140</v>
      </c>
      <c r="BT464" s="7">
        <f t="shared" si="43"/>
        <v>239</v>
      </c>
      <c r="BU464" s="6">
        <f t="shared" si="44"/>
        <v>223.36448598130841</v>
      </c>
      <c r="BV464" s="6">
        <f t="shared" si="45"/>
        <v>15.635514018691588</v>
      </c>
      <c r="BW464" s="6">
        <f t="shared" si="46"/>
        <v>239</v>
      </c>
      <c r="BX464" s="6">
        <f t="shared" si="47"/>
        <v>0</v>
      </c>
    </row>
    <row r="465" spans="1:76" x14ac:dyDescent="0.35">
      <c r="A465" t="s">
        <v>4086</v>
      </c>
      <c r="B465" t="s">
        <v>107</v>
      </c>
      <c r="C465" t="s">
        <v>107</v>
      </c>
      <c r="E465" t="s">
        <v>108</v>
      </c>
      <c r="F465" t="s">
        <v>268</v>
      </c>
      <c r="G465" t="s">
        <v>269</v>
      </c>
      <c r="H465" t="s">
        <v>2268</v>
      </c>
      <c r="I465" t="s">
        <v>271</v>
      </c>
      <c r="J465" t="s">
        <v>113</v>
      </c>
      <c r="K465" s="8" t="s">
        <v>114</v>
      </c>
      <c r="L465" t="s">
        <v>114</v>
      </c>
      <c r="M465" s="6">
        <v>0</v>
      </c>
      <c r="N465" t="s">
        <v>114</v>
      </c>
      <c r="O465" s="6">
        <v>0</v>
      </c>
      <c r="P465" t="s">
        <v>114</v>
      </c>
      <c r="Q465" s="6">
        <v>0</v>
      </c>
      <c r="R465" s="7">
        <f t="shared" si="42"/>
        <v>0</v>
      </c>
      <c r="S465" t="s">
        <v>180</v>
      </c>
      <c r="T465" t="s">
        <v>114</v>
      </c>
      <c r="U465" t="s">
        <v>180</v>
      </c>
      <c r="W465" t="s">
        <v>114</v>
      </c>
      <c r="X465" t="s">
        <v>1111</v>
      </c>
      <c r="Z465" t="s">
        <v>4087</v>
      </c>
      <c r="AA465" t="s">
        <v>4088</v>
      </c>
      <c r="AB465" s="1" t="s">
        <v>4089</v>
      </c>
      <c r="AC465" t="s">
        <v>4090</v>
      </c>
      <c r="AD465" t="s">
        <v>4088</v>
      </c>
      <c r="AH465" t="s">
        <v>123</v>
      </c>
      <c r="AI465" t="s">
        <v>124</v>
      </c>
      <c r="AJ465" t="s">
        <v>4091</v>
      </c>
      <c r="AK465" t="s">
        <v>126</v>
      </c>
      <c r="AL465" t="s">
        <v>127</v>
      </c>
      <c r="AN465" t="s">
        <v>4092</v>
      </c>
      <c r="AO465" t="s">
        <v>4093</v>
      </c>
      <c r="AP465" t="s">
        <v>4094</v>
      </c>
      <c r="AQ465" t="s">
        <v>131</v>
      </c>
      <c r="AR465" t="s">
        <v>132</v>
      </c>
      <c r="AS465" t="s">
        <v>756</v>
      </c>
      <c r="AT465" t="s">
        <v>4095</v>
      </c>
      <c r="AV465" t="s">
        <v>516</v>
      </c>
      <c r="AX465" t="s">
        <v>136</v>
      </c>
      <c r="AY465" t="s">
        <v>272</v>
      </c>
      <c r="AZ465" t="s">
        <v>273</v>
      </c>
      <c r="BA465" t="s">
        <v>4096</v>
      </c>
      <c r="BC465" t="s">
        <v>140</v>
      </c>
      <c r="BT465" s="7">
        <f t="shared" si="43"/>
        <v>0</v>
      </c>
      <c r="BU465" s="6">
        <f t="shared" si="44"/>
        <v>0</v>
      </c>
      <c r="BV465" s="6">
        <f t="shared" si="45"/>
        <v>0</v>
      </c>
      <c r="BW465" s="6">
        <f t="shared" si="46"/>
        <v>0</v>
      </c>
      <c r="BX465" s="6">
        <f t="shared" si="47"/>
        <v>0</v>
      </c>
    </row>
    <row r="466" spans="1:76" x14ac:dyDescent="0.35">
      <c r="A466" t="s">
        <v>4097</v>
      </c>
      <c r="B466" t="s">
        <v>107</v>
      </c>
      <c r="C466" t="s">
        <v>107</v>
      </c>
      <c r="E466" t="s">
        <v>108</v>
      </c>
      <c r="F466" t="s">
        <v>158</v>
      </c>
      <c r="G466" t="s">
        <v>159</v>
      </c>
      <c r="H466" t="s">
        <v>111</v>
      </c>
      <c r="I466" t="s">
        <v>341</v>
      </c>
      <c r="J466" t="s">
        <v>113</v>
      </c>
      <c r="K466" s="8" t="s">
        <v>114</v>
      </c>
      <c r="L466" t="s">
        <v>161</v>
      </c>
      <c r="M466" s="6">
        <v>459</v>
      </c>
      <c r="N466" t="s">
        <v>1679</v>
      </c>
      <c r="O466" s="6">
        <v>220</v>
      </c>
      <c r="P466" t="s">
        <v>1680</v>
      </c>
      <c r="Q466" s="6">
        <v>0</v>
      </c>
      <c r="R466" s="7">
        <f t="shared" si="42"/>
        <v>239</v>
      </c>
      <c r="S466" t="s">
        <v>142</v>
      </c>
      <c r="T466" t="s">
        <v>114</v>
      </c>
      <c r="U466" t="s">
        <v>142</v>
      </c>
      <c r="W466" t="s">
        <v>114</v>
      </c>
      <c r="X466" t="s">
        <v>1680</v>
      </c>
      <c r="Z466" t="s">
        <v>4098</v>
      </c>
      <c r="AA466" t="s">
        <v>4099</v>
      </c>
      <c r="AB466" s="1" t="s">
        <v>4100</v>
      </c>
      <c r="AC466" t="s">
        <v>4101</v>
      </c>
      <c r="AD466" t="s">
        <v>4099</v>
      </c>
      <c r="AH466" t="s">
        <v>123</v>
      </c>
      <c r="AI466" t="s">
        <v>124</v>
      </c>
      <c r="AJ466" t="s">
        <v>4102</v>
      </c>
      <c r="AK466" t="s">
        <v>126</v>
      </c>
      <c r="AL466" t="s">
        <v>127</v>
      </c>
      <c r="AN466" t="s">
        <v>1581</v>
      </c>
      <c r="AO466" t="s">
        <v>1582</v>
      </c>
      <c r="AP466" t="s">
        <v>1583</v>
      </c>
      <c r="AQ466" t="s">
        <v>131</v>
      </c>
      <c r="AR466" t="s">
        <v>132</v>
      </c>
      <c r="AS466" t="s">
        <v>152</v>
      </c>
      <c r="AT466" t="s">
        <v>1584</v>
      </c>
      <c r="AV466" t="s">
        <v>406</v>
      </c>
      <c r="AX466" t="s">
        <v>136</v>
      </c>
      <c r="AY466" t="s">
        <v>177</v>
      </c>
      <c r="AZ466" t="s">
        <v>138</v>
      </c>
      <c r="BA466" t="s">
        <v>4103</v>
      </c>
      <c r="BC466" t="s">
        <v>140</v>
      </c>
      <c r="BT466" s="7">
        <f t="shared" si="43"/>
        <v>239</v>
      </c>
      <c r="BU466" s="6">
        <f t="shared" si="44"/>
        <v>223.36448598130841</v>
      </c>
      <c r="BV466" s="6">
        <f t="shared" si="45"/>
        <v>15.635514018691588</v>
      </c>
      <c r="BW466" s="6">
        <f t="shared" si="46"/>
        <v>239</v>
      </c>
      <c r="BX466" s="6">
        <f t="shared" si="47"/>
        <v>0</v>
      </c>
    </row>
    <row r="467" spans="1:76" x14ac:dyDescent="0.35">
      <c r="A467" t="s">
        <v>4097</v>
      </c>
      <c r="B467" t="s">
        <v>107</v>
      </c>
      <c r="C467" t="s">
        <v>107</v>
      </c>
      <c r="E467" t="s">
        <v>108</v>
      </c>
      <c r="F467" t="s">
        <v>268</v>
      </c>
      <c r="G467" t="s">
        <v>269</v>
      </c>
      <c r="H467" t="s">
        <v>2268</v>
      </c>
      <c r="I467" t="s">
        <v>271</v>
      </c>
      <c r="J467" t="s">
        <v>113</v>
      </c>
      <c r="K467" s="8" t="s">
        <v>114</v>
      </c>
      <c r="L467" t="s">
        <v>114</v>
      </c>
      <c r="M467" s="6">
        <v>0</v>
      </c>
      <c r="N467" t="s">
        <v>114</v>
      </c>
      <c r="O467" s="6">
        <v>0</v>
      </c>
      <c r="P467" t="s">
        <v>114</v>
      </c>
      <c r="Q467" s="6">
        <v>0</v>
      </c>
      <c r="R467" s="7">
        <f t="shared" si="42"/>
        <v>0</v>
      </c>
      <c r="S467" t="s">
        <v>142</v>
      </c>
      <c r="T467" t="s">
        <v>114</v>
      </c>
      <c r="U467" t="s">
        <v>142</v>
      </c>
      <c r="W467" t="s">
        <v>114</v>
      </c>
      <c r="X467" t="s">
        <v>1680</v>
      </c>
      <c r="Z467" t="s">
        <v>4098</v>
      </c>
      <c r="AA467" t="s">
        <v>4099</v>
      </c>
      <c r="AB467" s="1" t="s">
        <v>4100</v>
      </c>
      <c r="AC467" t="s">
        <v>4101</v>
      </c>
      <c r="AD467" t="s">
        <v>4099</v>
      </c>
      <c r="AH467" t="s">
        <v>123</v>
      </c>
      <c r="AI467" t="s">
        <v>124</v>
      </c>
      <c r="AJ467" t="s">
        <v>4102</v>
      </c>
      <c r="AK467" t="s">
        <v>126</v>
      </c>
      <c r="AL467" t="s">
        <v>127</v>
      </c>
      <c r="AN467" t="s">
        <v>1581</v>
      </c>
      <c r="AO467" t="s">
        <v>1582</v>
      </c>
      <c r="AP467" t="s">
        <v>1583</v>
      </c>
      <c r="AQ467" t="s">
        <v>131</v>
      </c>
      <c r="AR467" t="s">
        <v>132</v>
      </c>
      <c r="AS467" t="s">
        <v>152</v>
      </c>
      <c r="AT467" t="s">
        <v>1584</v>
      </c>
      <c r="AV467" t="s">
        <v>406</v>
      </c>
      <c r="AX467" t="s">
        <v>136</v>
      </c>
      <c r="AY467" t="s">
        <v>272</v>
      </c>
      <c r="AZ467" t="s">
        <v>273</v>
      </c>
      <c r="BA467" t="s">
        <v>4103</v>
      </c>
      <c r="BC467" t="s">
        <v>140</v>
      </c>
      <c r="BT467" s="7">
        <f t="shared" si="43"/>
        <v>0</v>
      </c>
      <c r="BU467" s="6">
        <f t="shared" si="44"/>
        <v>0</v>
      </c>
      <c r="BV467" s="6">
        <f t="shared" si="45"/>
        <v>0</v>
      </c>
      <c r="BW467" s="6">
        <f t="shared" si="46"/>
        <v>0</v>
      </c>
      <c r="BX467" s="6">
        <f t="shared" si="47"/>
        <v>0</v>
      </c>
    </row>
    <row r="468" spans="1:76" x14ac:dyDescent="0.35">
      <c r="A468" t="s">
        <v>4104</v>
      </c>
      <c r="B468" t="s">
        <v>107</v>
      </c>
      <c r="C468" t="s">
        <v>107</v>
      </c>
      <c r="E468" t="s">
        <v>108</v>
      </c>
      <c r="F468" t="s">
        <v>338</v>
      </c>
      <c r="G468" t="s">
        <v>339</v>
      </c>
      <c r="H468" t="s">
        <v>340</v>
      </c>
      <c r="I468" t="s">
        <v>341</v>
      </c>
      <c r="J468" t="s">
        <v>113</v>
      </c>
      <c r="K468" s="8" t="s">
        <v>114</v>
      </c>
      <c r="L468" t="s">
        <v>114</v>
      </c>
      <c r="M468" s="6">
        <v>0</v>
      </c>
      <c r="N468" t="s">
        <v>114</v>
      </c>
      <c r="O468" s="6">
        <v>0</v>
      </c>
      <c r="P468" t="s">
        <v>114</v>
      </c>
      <c r="Q468" s="6">
        <v>0</v>
      </c>
      <c r="R468" s="7">
        <f t="shared" si="42"/>
        <v>0</v>
      </c>
      <c r="S468" t="s">
        <v>142</v>
      </c>
      <c r="T468" t="s">
        <v>114</v>
      </c>
      <c r="U468" t="s">
        <v>142</v>
      </c>
      <c r="W468" t="s">
        <v>114</v>
      </c>
      <c r="X468" t="s">
        <v>4037</v>
      </c>
      <c r="Z468" t="s">
        <v>4105</v>
      </c>
      <c r="AA468" t="s">
        <v>4106</v>
      </c>
      <c r="AB468" s="1" t="s">
        <v>4107</v>
      </c>
      <c r="AC468" t="s">
        <v>4108</v>
      </c>
      <c r="AD468" t="s">
        <v>4109</v>
      </c>
      <c r="AH468" t="s">
        <v>123</v>
      </c>
      <c r="AI468" t="s">
        <v>124</v>
      </c>
      <c r="AJ468" t="s">
        <v>4110</v>
      </c>
      <c r="AK468" t="s">
        <v>126</v>
      </c>
      <c r="AL468" t="s">
        <v>127</v>
      </c>
      <c r="AN468" t="s">
        <v>4111</v>
      </c>
      <c r="AO468" t="s">
        <v>4112</v>
      </c>
      <c r="AP468" t="s">
        <v>4113</v>
      </c>
      <c r="AQ468" t="s">
        <v>131</v>
      </c>
      <c r="AR468" t="s">
        <v>132</v>
      </c>
      <c r="AS468" t="s">
        <v>466</v>
      </c>
      <c r="AT468" t="s">
        <v>584</v>
      </c>
      <c r="AV468" t="s">
        <v>4114</v>
      </c>
      <c r="AX468" t="s">
        <v>655</v>
      </c>
      <c r="AY468" t="s">
        <v>177</v>
      </c>
      <c r="AZ468" t="s">
        <v>356</v>
      </c>
      <c r="BA468" t="s">
        <v>4115</v>
      </c>
      <c r="BC468" t="s">
        <v>140</v>
      </c>
      <c r="BT468" s="7">
        <f t="shared" si="43"/>
        <v>0</v>
      </c>
      <c r="BU468" s="6">
        <f t="shared" si="44"/>
        <v>0</v>
      </c>
      <c r="BV468" s="6">
        <f t="shared" si="45"/>
        <v>0</v>
      </c>
      <c r="BW468" s="6">
        <f t="shared" si="46"/>
        <v>0</v>
      </c>
      <c r="BX468" s="6">
        <f t="shared" si="47"/>
        <v>0</v>
      </c>
    </row>
    <row r="469" spans="1:76" x14ac:dyDescent="0.35">
      <c r="A469" t="s">
        <v>4104</v>
      </c>
      <c r="B469" t="s">
        <v>107</v>
      </c>
      <c r="C469" t="s">
        <v>107</v>
      </c>
      <c r="E469" t="s">
        <v>108</v>
      </c>
      <c r="F469" t="s">
        <v>358</v>
      </c>
      <c r="G469" t="s">
        <v>359</v>
      </c>
      <c r="H469" t="s">
        <v>360</v>
      </c>
      <c r="I469" t="s">
        <v>341</v>
      </c>
      <c r="J469" t="s">
        <v>113</v>
      </c>
      <c r="K469" s="8" t="s">
        <v>114</v>
      </c>
      <c r="L469" t="s">
        <v>361</v>
      </c>
      <c r="M469" s="6">
        <v>233</v>
      </c>
      <c r="N469" t="s">
        <v>114</v>
      </c>
      <c r="O469" s="6">
        <v>127</v>
      </c>
      <c r="P469" t="s">
        <v>4037</v>
      </c>
      <c r="Q469" s="6">
        <v>0</v>
      </c>
      <c r="R469" s="7">
        <f t="shared" si="42"/>
        <v>106</v>
      </c>
      <c r="S469" t="s">
        <v>142</v>
      </c>
      <c r="T469" t="s">
        <v>114</v>
      </c>
      <c r="U469" t="s">
        <v>142</v>
      </c>
      <c r="W469" t="s">
        <v>114</v>
      </c>
      <c r="X469" t="s">
        <v>4037</v>
      </c>
      <c r="Z469" t="s">
        <v>4105</v>
      </c>
      <c r="AA469" t="s">
        <v>4106</v>
      </c>
      <c r="AB469" s="1" t="s">
        <v>4107</v>
      </c>
      <c r="AC469" t="s">
        <v>4108</v>
      </c>
      <c r="AD469" t="s">
        <v>4109</v>
      </c>
      <c r="AH469" t="s">
        <v>123</v>
      </c>
      <c r="AI469" t="s">
        <v>124</v>
      </c>
      <c r="AJ469" t="s">
        <v>4110</v>
      </c>
      <c r="AK469" t="s">
        <v>126</v>
      </c>
      <c r="AL469" t="s">
        <v>127</v>
      </c>
      <c r="AN469" t="s">
        <v>4111</v>
      </c>
      <c r="AO469" t="s">
        <v>4112</v>
      </c>
      <c r="AP469" t="s">
        <v>4113</v>
      </c>
      <c r="AQ469" t="s">
        <v>131</v>
      </c>
      <c r="AR469" t="s">
        <v>132</v>
      </c>
      <c r="AS469" t="s">
        <v>466</v>
      </c>
      <c r="AT469" t="s">
        <v>584</v>
      </c>
      <c r="AV469" t="s">
        <v>4114</v>
      </c>
      <c r="AX469" t="s">
        <v>655</v>
      </c>
      <c r="AY469" t="s">
        <v>177</v>
      </c>
      <c r="AZ469" t="s">
        <v>364</v>
      </c>
      <c r="BA469" t="s">
        <v>4115</v>
      </c>
      <c r="BC469" t="s">
        <v>140</v>
      </c>
      <c r="BT469" s="7">
        <f t="shared" si="43"/>
        <v>106</v>
      </c>
      <c r="BU469" s="6">
        <f t="shared" si="44"/>
        <v>99.065420560747654</v>
      </c>
      <c r="BV469" s="6">
        <f t="shared" si="45"/>
        <v>6.9345794392523361</v>
      </c>
      <c r="BW469" s="6">
        <f t="shared" si="46"/>
        <v>105.99999999999999</v>
      </c>
      <c r="BX469" s="6">
        <f t="shared" si="47"/>
        <v>0</v>
      </c>
    </row>
    <row r="470" spans="1:76" x14ac:dyDescent="0.35">
      <c r="A470" t="s">
        <v>4116</v>
      </c>
      <c r="B470" t="s">
        <v>107</v>
      </c>
      <c r="C470" t="s">
        <v>107</v>
      </c>
      <c r="F470" t="s">
        <v>358</v>
      </c>
      <c r="G470" t="s">
        <v>359</v>
      </c>
      <c r="H470" t="s">
        <v>360</v>
      </c>
      <c r="I470" t="s">
        <v>341</v>
      </c>
      <c r="J470" t="s">
        <v>113</v>
      </c>
      <c r="K470" s="8" t="s">
        <v>114</v>
      </c>
      <c r="L470" t="s">
        <v>114</v>
      </c>
      <c r="M470" s="6">
        <v>0</v>
      </c>
      <c r="N470" t="s">
        <v>114</v>
      </c>
      <c r="O470" s="6">
        <v>0</v>
      </c>
      <c r="P470" t="s">
        <v>114</v>
      </c>
      <c r="Q470" s="6">
        <v>0</v>
      </c>
      <c r="R470" s="7">
        <f t="shared" si="42"/>
        <v>0</v>
      </c>
      <c r="S470" t="s">
        <v>114</v>
      </c>
      <c r="T470" t="s">
        <v>114</v>
      </c>
      <c r="U470" t="s">
        <v>114</v>
      </c>
      <c r="W470" t="s">
        <v>114</v>
      </c>
      <c r="X470" t="s">
        <v>114</v>
      </c>
      <c r="Z470" t="s">
        <v>4117</v>
      </c>
      <c r="AA470" t="s">
        <v>4118</v>
      </c>
      <c r="AB470" s="1" t="s">
        <v>4119</v>
      </c>
      <c r="AC470" t="s">
        <v>4120</v>
      </c>
      <c r="AD470" t="s">
        <v>4121</v>
      </c>
      <c r="AH470" t="s">
        <v>123</v>
      </c>
      <c r="AI470" t="s">
        <v>124</v>
      </c>
      <c r="AJ470" t="s">
        <v>4122</v>
      </c>
      <c r="AK470" t="s">
        <v>126</v>
      </c>
      <c r="AL470" t="s">
        <v>127</v>
      </c>
      <c r="AN470" t="s">
        <v>4123</v>
      </c>
      <c r="AO470" t="s">
        <v>4124</v>
      </c>
      <c r="AP470" t="s">
        <v>4125</v>
      </c>
      <c r="AQ470" t="s">
        <v>131</v>
      </c>
      <c r="AR470" t="s">
        <v>132</v>
      </c>
      <c r="AS470" t="s">
        <v>352</v>
      </c>
      <c r="AT470" t="s">
        <v>353</v>
      </c>
      <c r="AV470" t="s">
        <v>354</v>
      </c>
      <c r="AY470" t="s">
        <v>177</v>
      </c>
      <c r="AZ470" t="s">
        <v>364</v>
      </c>
      <c r="BA470" t="s">
        <v>4126</v>
      </c>
      <c r="BC470" t="s">
        <v>140</v>
      </c>
      <c r="BT470" s="7">
        <f t="shared" si="43"/>
        <v>0</v>
      </c>
      <c r="BU470" s="6">
        <f t="shared" si="44"/>
        <v>0</v>
      </c>
      <c r="BV470" s="6">
        <f t="shared" si="45"/>
        <v>0</v>
      </c>
      <c r="BW470" s="6">
        <f t="shared" si="46"/>
        <v>0</v>
      </c>
      <c r="BX470" s="6">
        <f t="shared" si="47"/>
        <v>0</v>
      </c>
    </row>
    <row r="471" spans="1:76" x14ac:dyDescent="0.35">
      <c r="A471" t="s">
        <v>4127</v>
      </c>
      <c r="B471" t="s">
        <v>107</v>
      </c>
      <c r="C471" t="s">
        <v>107</v>
      </c>
      <c r="F471" t="s">
        <v>613</v>
      </c>
      <c r="G471" t="s">
        <v>614</v>
      </c>
      <c r="H471" t="s">
        <v>615</v>
      </c>
      <c r="I471" t="s">
        <v>271</v>
      </c>
      <c r="J471" t="s">
        <v>113</v>
      </c>
      <c r="K471" s="8" t="s">
        <v>114</v>
      </c>
      <c r="L471" t="s">
        <v>114</v>
      </c>
      <c r="M471" s="6">
        <v>0</v>
      </c>
      <c r="N471" t="s">
        <v>114</v>
      </c>
      <c r="O471" s="6">
        <v>0</v>
      </c>
      <c r="P471" t="s">
        <v>114</v>
      </c>
      <c r="Q471" s="6">
        <v>0</v>
      </c>
      <c r="R471" s="7">
        <f t="shared" si="42"/>
        <v>0</v>
      </c>
      <c r="S471" t="s">
        <v>114</v>
      </c>
      <c r="T471" t="s">
        <v>114</v>
      </c>
      <c r="U471" t="s">
        <v>114</v>
      </c>
      <c r="W471" t="s">
        <v>114</v>
      </c>
      <c r="X471" t="s">
        <v>114</v>
      </c>
      <c r="Z471" t="s">
        <v>4128</v>
      </c>
      <c r="AA471" t="s">
        <v>4128</v>
      </c>
      <c r="AB471" s="1" t="s">
        <v>4129</v>
      </c>
      <c r="AC471" t="s">
        <v>4130</v>
      </c>
      <c r="AD471" t="s">
        <v>4131</v>
      </c>
      <c r="AH471" t="s">
        <v>123</v>
      </c>
      <c r="AI471" t="s">
        <v>124</v>
      </c>
      <c r="AJ471" t="s">
        <v>4132</v>
      </c>
      <c r="AK471" t="s">
        <v>126</v>
      </c>
      <c r="AL471" t="s">
        <v>127</v>
      </c>
      <c r="AN471" t="s">
        <v>4133</v>
      </c>
      <c r="AO471" t="s">
        <v>3711</v>
      </c>
      <c r="AP471" t="s">
        <v>4134</v>
      </c>
      <c r="AQ471" t="s">
        <v>131</v>
      </c>
      <c r="AR471" t="s">
        <v>132</v>
      </c>
      <c r="AS471" t="s">
        <v>152</v>
      </c>
      <c r="AT471" t="s">
        <v>609</v>
      </c>
      <c r="AV471" t="s">
        <v>2195</v>
      </c>
      <c r="AW471" t="s">
        <v>2008</v>
      </c>
      <c r="AY471" t="s">
        <v>177</v>
      </c>
      <c r="AZ471" t="s">
        <v>627</v>
      </c>
      <c r="BA471" t="s">
        <v>4135</v>
      </c>
      <c r="BC471" t="s">
        <v>140</v>
      </c>
      <c r="BT471" s="7">
        <f t="shared" si="43"/>
        <v>0</v>
      </c>
      <c r="BU471" s="6">
        <f t="shared" si="44"/>
        <v>0</v>
      </c>
      <c r="BV471" s="6">
        <f t="shared" si="45"/>
        <v>0</v>
      </c>
      <c r="BW471" s="6">
        <f t="shared" si="46"/>
        <v>0</v>
      </c>
      <c r="BX471" s="6">
        <f t="shared" si="47"/>
        <v>0</v>
      </c>
    </row>
    <row r="472" spans="1:76" x14ac:dyDescent="0.35">
      <c r="A472" t="s">
        <v>4136</v>
      </c>
      <c r="B472" t="s">
        <v>107</v>
      </c>
      <c r="C472" t="s">
        <v>107</v>
      </c>
      <c r="F472" t="s">
        <v>158</v>
      </c>
      <c r="G472" t="s">
        <v>159</v>
      </c>
      <c r="H472" t="s">
        <v>111</v>
      </c>
      <c r="I472" t="s">
        <v>341</v>
      </c>
      <c r="J472" t="s">
        <v>113</v>
      </c>
      <c r="K472" s="8" t="s">
        <v>114</v>
      </c>
      <c r="L472" t="s">
        <v>114</v>
      </c>
      <c r="M472" s="6">
        <v>0</v>
      </c>
      <c r="N472" t="s">
        <v>114</v>
      </c>
      <c r="O472" s="6">
        <v>0</v>
      </c>
      <c r="P472" t="s">
        <v>114</v>
      </c>
      <c r="Q472" s="6">
        <v>0</v>
      </c>
      <c r="R472" s="7">
        <f t="shared" si="42"/>
        <v>0</v>
      </c>
      <c r="S472" t="s">
        <v>114</v>
      </c>
      <c r="T472" t="s">
        <v>114</v>
      </c>
      <c r="U472" t="s">
        <v>114</v>
      </c>
      <c r="W472" t="s">
        <v>114</v>
      </c>
      <c r="X472" t="s">
        <v>114</v>
      </c>
      <c r="Z472" t="s">
        <v>4137</v>
      </c>
      <c r="AA472" t="s">
        <v>4137</v>
      </c>
      <c r="AB472" s="1" t="s">
        <v>4138</v>
      </c>
      <c r="AC472" t="s">
        <v>4139</v>
      </c>
      <c r="AD472" t="s">
        <v>4140</v>
      </c>
      <c r="AH472" t="s">
        <v>123</v>
      </c>
      <c r="AI472" t="s">
        <v>124</v>
      </c>
      <c r="AJ472" t="s">
        <v>4141</v>
      </c>
      <c r="AK472" t="s">
        <v>126</v>
      </c>
      <c r="AL472" t="s">
        <v>127</v>
      </c>
      <c r="AN472" t="s">
        <v>4142</v>
      </c>
      <c r="AO472" t="s">
        <v>4143</v>
      </c>
      <c r="AP472" t="s">
        <v>4144</v>
      </c>
      <c r="AQ472" t="s">
        <v>131</v>
      </c>
      <c r="AR472" t="s">
        <v>132</v>
      </c>
      <c r="AS472" t="s">
        <v>152</v>
      </c>
      <c r="AT472" t="s">
        <v>4145</v>
      </c>
      <c r="AV472" t="s">
        <v>1821</v>
      </c>
      <c r="AY472" t="s">
        <v>177</v>
      </c>
      <c r="AZ472" t="s">
        <v>138</v>
      </c>
      <c r="BA472" t="s">
        <v>4146</v>
      </c>
      <c r="BC472" t="s">
        <v>140</v>
      </c>
      <c r="BT472" s="7">
        <f t="shared" si="43"/>
        <v>0</v>
      </c>
      <c r="BU472" s="6">
        <f t="shared" si="44"/>
        <v>0</v>
      </c>
      <c r="BV472" s="6">
        <f t="shared" si="45"/>
        <v>0</v>
      </c>
      <c r="BW472" s="6">
        <f t="shared" si="46"/>
        <v>0</v>
      </c>
      <c r="BX472" s="6">
        <f t="shared" si="47"/>
        <v>0</v>
      </c>
    </row>
    <row r="473" spans="1:76" x14ac:dyDescent="0.35">
      <c r="A473" t="s">
        <v>4147</v>
      </c>
      <c r="B473" t="s">
        <v>107</v>
      </c>
      <c r="C473" t="s">
        <v>107</v>
      </c>
      <c r="F473" t="s">
        <v>358</v>
      </c>
      <c r="G473" t="s">
        <v>359</v>
      </c>
      <c r="H473" t="s">
        <v>360</v>
      </c>
      <c r="I473" t="s">
        <v>341</v>
      </c>
      <c r="J473" t="s">
        <v>113</v>
      </c>
      <c r="K473" s="8" t="s">
        <v>114</v>
      </c>
      <c r="L473" t="s">
        <v>114</v>
      </c>
      <c r="M473" s="6">
        <v>0</v>
      </c>
      <c r="N473" t="s">
        <v>114</v>
      </c>
      <c r="O473" s="6">
        <v>0</v>
      </c>
      <c r="P473" t="s">
        <v>114</v>
      </c>
      <c r="Q473" s="6">
        <v>0</v>
      </c>
      <c r="R473" s="7">
        <f t="shared" si="42"/>
        <v>0</v>
      </c>
      <c r="S473" t="s">
        <v>114</v>
      </c>
      <c r="T473" t="s">
        <v>114</v>
      </c>
      <c r="U473" t="s">
        <v>114</v>
      </c>
      <c r="W473" t="s">
        <v>114</v>
      </c>
      <c r="X473" t="s">
        <v>114</v>
      </c>
      <c r="Z473" t="s">
        <v>4148</v>
      </c>
      <c r="AA473" t="s">
        <v>4148</v>
      </c>
      <c r="AB473" s="1" t="s">
        <v>4149</v>
      </c>
      <c r="AC473" t="s">
        <v>4150</v>
      </c>
      <c r="AD473" t="s">
        <v>4151</v>
      </c>
      <c r="AH473" t="s">
        <v>123</v>
      </c>
      <c r="AI473" t="s">
        <v>124</v>
      </c>
      <c r="AJ473" t="s">
        <v>4152</v>
      </c>
      <c r="AK473" t="s">
        <v>126</v>
      </c>
      <c r="AL473" t="s">
        <v>127</v>
      </c>
      <c r="AN473" t="s">
        <v>4153</v>
      </c>
      <c r="AO473" t="s">
        <v>4154</v>
      </c>
      <c r="AP473" t="s">
        <v>4155</v>
      </c>
      <c r="AQ473" t="s">
        <v>131</v>
      </c>
      <c r="AR473" t="s">
        <v>233</v>
      </c>
      <c r="AS473" t="s">
        <v>234</v>
      </c>
      <c r="AT473" t="s">
        <v>4156</v>
      </c>
      <c r="AV473" t="s">
        <v>1183</v>
      </c>
      <c r="AY473" t="s">
        <v>177</v>
      </c>
      <c r="AZ473" t="s">
        <v>364</v>
      </c>
      <c r="BA473" t="s">
        <v>4157</v>
      </c>
      <c r="BC473" t="s">
        <v>140</v>
      </c>
      <c r="BT473" s="7">
        <f t="shared" si="43"/>
        <v>0</v>
      </c>
      <c r="BU473" s="6">
        <f t="shared" si="44"/>
        <v>0</v>
      </c>
      <c r="BV473" s="6">
        <f t="shared" si="45"/>
        <v>0</v>
      </c>
      <c r="BW473" s="6">
        <f t="shared" si="46"/>
        <v>0</v>
      </c>
      <c r="BX473" s="6">
        <f t="shared" si="47"/>
        <v>0</v>
      </c>
    </row>
    <row r="474" spans="1:76" x14ac:dyDescent="0.35">
      <c r="A474" t="s">
        <v>4158</v>
      </c>
      <c r="B474" t="s">
        <v>107</v>
      </c>
      <c r="C474" t="s">
        <v>107</v>
      </c>
      <c r="F474" t="s">
        <v>358</v>
      </c>
      <c r="G474" t="s">
        <v>359</v>
      </c>
      <c r="H474" t="s">
        <v>360</v>
      </c>
      <c r="I474" t="s">
        <v>341</v>
      </c>
      <c r="J474" t="s">
        <v>113</v>
      </c>
      <c r="K474" s="8" t="s">
        <v>114</v>
      </c>
      <c r="L474" t="s">
        <v>114</v>
      </c>
      <c r="M474" s="6">
        <v>0</v>
      </c>
      <c r="N474" t="s">
        <v>114</v>
      </c>
      <c r="O474" s="6">
        <v>0</v>
      </c>
      <c r="P474" t="s">
        <v>114</v>
      </c>
      <c r="Q474" s="6">
        <v>0</v>
      </c>
      <c r="R474" s="7">
        <f t="shared" si="42"/>
        <v>0</v>
      </c>
      <c r="S474" t="s">
        <v>114</v>
      </c>
      <c r="T474" t="s">
        <v>114</v>
      </c>
      <c r="U474" t="s">
        <v>114</v>
      </c>
      <c r="W474" t="s">
        <v>114</v>
      </c>
      <c r="X474" t="s">
        <v>114</v>
      </c>
      <c r="Z474" t="s">
        <v>4159</v>
      </c>
      <c r="AA474" t="s">
        <v>4159</v>
      </c>
      <c r="AB474" s="1" t="s">
        <v>4160</v>
      </c>
      <c r="AC474" t="s">
        <v>4161</v>
      </c>
      <c r="AD474" t="s">
        <v>4162</v>
      </c>
      <c r="AH474" t="s">
        <v>123</v>
      </c>
      <c r="AI474" t="s">
        <v>124</v>
      </c>
      <c r="AJ474" t="s">
        <v>4163</v>
      </c>
      <c r="AK474" t="s">
        <v>126</v>
      </c>
      <c r="AL474" t="s">
        <v>127</v>
      </c>
      <c r="AN474" t="s">
        <v>4164</v>
      </c>
      <c r="AO474" t="s">
        <v>4165</v>
      </c>
      <c r="AP474" t="s">
        <v>4166</v>
      </c>
      <c r="AQ474" t="s">
        <v>131</v>
      </c>
      <c r="AR474" t="s">
        <v>132</v>
      </c>
      <c r="AS474" t="s">
        <v>152</v>
      </c>
      <c r="AT474" t="s">
        <v>1477</v>
      </c>
      <c r="AV474" t="s">
        <v>759</v>
      </c>
      <c r="AY474" t="s">
        <v>177</v>
      </c>
      <c r="AZ474" t="s">
        <v>364</v>
      </c>
      <c r="BA474" t="s">
        <v>4167</v>
      </c>
      <c r="BC474" t="s">
        <v>140</v>
      </c>
      <c r="BT474" s="7">
        <f t="shared" si="43"/>
        <v>0</v>
      </c>
      <c r="BU474" s="6">
        <f t="shared" si="44"/>
        <v>0</v>
      </c>
      <c r="BV474" s="6">
        <f t="shared" si="45"/>
        <v>0</v>
      </c>
      <c r="BW474" s="6">
        <f t="shared" si="46"/>
        <v>0</v>
      </c>
      <c r="BX474" s="6">
        <f t="shared" si="47"/>
        <v>0</v>
      </c>
    </row>
    <row r="475" spans="1:76" x14ac:dyDescent="0.35">
      <c r="A475" t="s">
        <v>4168</v>
      </c>
      <c r="B475" t="s">
        <v>107</v>
      </c>
      <c r="C475" t="s">
        <v>107</v>
      </c>
      <c r="F475" t="s">
        <v>358</v>
      </c>
      <c r="G475" t="s">
        <v>359</v>
      </c>
      <c r="H475" t="s">
        <v>360</v>
      </c>
      <c r="I475" t="s">
        <v>341</v>
      </c>
      <c r="J475" t="s">
        <v>113</v>
      </c>
      <c r="K475" s="8" t="s">
        <v>114</v>
      </c>
      <c r="L475" t="s">
        <v>114</v>
      </c>
      <c r="M475" s="6">
        <v>0</v>
      </c>
      <c r="N475" t="s">
        <v>114</v>
      </c>
      <c r="O475" s="6">
        <v>0</v>
      </c>
      <c r="P475" t="s">
        <v>114</v>
      </c>
      <c r="Q475" s="6">
        <v>0</v>
      </c>
      <c r="R475" s="7">
        <f t="shared" si="42"/>
        <v>0</v>
      </c>
      <c r="S475" t="s">
        <v>114</v>
      </c>
      <c r="T475" t="s">
        <v>114</v>
      </c>
      <c r="U475" t="s">
        <v>114</v>
      </c>
      <c r="W475" t="s">
        <v>114</v>
      </c>
      <c r="X475" t="s">
        <v>114</v>
      </c>
      <c r="Z475" t="s">
        <v>4159</v>
      </c>
      <c r="AA475" t="s">
        <v>4169</v>
      </c>
      <c r="AB475" s="1" t="s">
        <v>4170</v>
      </c>
      <c r="AC475" t="s">
        <v>4161</v>
      </c>
      <c r="AD475" t="s">
        <v>4171</v>
      </c>
      <c r="AH475" t="s">
        <v>123</v>
      </c>
      <c r="AI475" t="s">
        <v>124</v>
      </c>
      <c r="AJ475" t="s">
        <v>4172</v>
      </c>
      <c r="AK475" t="s">
        <v>126</v>
      </c>
      <c r="AL475" t="s">
        <v>127</v>
      </c>
      <c r="AN475" t="s">
        <v>4173</v>
      </c>
      <c r="AO475" t="s">
        <v>3853</v>
      </c>
      <c r="AP475" t="s">
        <v>4174</v>
      </c>
      <c r="AQ475" t="s">
        <v>131</v>
      </c>
      <c r="AR475" t="s">
        <v>132</v>
      </c>
      <c r="AS475" t="s">
        <v>152</v>
      </c>
      <c r="AT475" t="s">
        <v>2120</v>
      </c>
      <c r="AV475" t="s">
        <v>4175</v>
      </c>
      <c r="AY475" t="s">
        <v>177</v>
      </c>
      <c r="AZ475" t="s">
        <v>364</v>
      </c>
      <c r="BA475" t="s">
        <v>4176</v>
      </c>
      <c r="BC475" t="s">
        <v>140</v>
      </c>
      <c r="BT475" s="7">
        <f t="shared" si="43"/>
        <v>0</v>
      </c>
      <c r="BU475" s="6">
        <f t="shared" si="44"/>
        <v>0</v>
      </c>
      <c r="BV475" s="6">
        <f t="shared" si="45"/>
        <v>0</v>
      </c>
      <c r="BW475" s="6">
        <f t="shared" si="46"/>
        <v>0</v>
      </c>
      <c r="BX475" s="6">
        <f t="shared" si="47"/>
        <v>0</v>
      </c>
    </row>
    <row r="476" spans="1:76" x14ac:dyDescent="0.35">
      <c r="A476" t="s">
        <v>4177</v>
      </c>
      <c r="B476" t="s">
        <v>107</v>
      </c>
      <c r="C476" t="s">
        <v>107</v>
      </c>
      <c r="F476" t="s">
        <v>358</v>
      </c>
      <c r="G476" t="s">
        <v>359</v>
      </c>
      <c r="H476" t="s">
        <v>360</v>
      </c>
      <c r="I476" t="s">
        <v>341</v>
      </c>
      <c r="J476" t="s">
        <v>113</v>
      </c>
      <c r="K476" s="8" t="s">
        <v>114</v>
      </c>
      <c r="L476" t="s">
        <v>114</v>
      </c>
      <c r="M476" s="6">
        <v>0</v>
      </c>
      <c r="N476" t="s">
        <v>114</v>
      </c>
      <c r="O476" s="6">
        <v>0</v>
      </c>
      <c r="P476" t="s">
        <v>114</v>
      </c>
      <c r="Q476" s="6">
        <v>0</v>
      </c>
      <c r="R476" s="7">
        <f t="shared" si="42"/>
        <v>0</v>
      </c>
      <c r="S476" t="s">
        <v>114</v>
      </c>
      <c r="T476" t="s">
        <v>114</v>
      </c>
      <c r="U476" t="s">
        <v>114</v>
      </c>
      <c r="W476" t="s">
        <v>114</v>
      </c>
      <c r="X476" t="s">
        <v>114</v>
      </c>
      <c r="Z476" t="s">
        <v>4178</v>
      </c>
      <c r="AA476" t="s">
        <v>4178</v>
      </c>
      <c r="AB476" s="1" t="s">
        <v>4179</v>
      </c>
      <c r="AC476" t="s">
        <v>4180</v>
      </c>
      <c r="AD476" t="s">
        <v>4181</v>
      </c>
      <c r="AH476" t="s">
        <v>123</v>
      </c>
      <c r="AI476" t="s">
        <v>124</v>
      </c>
      <c r="AJ476" t="s">
        <v>4182</v>
      </c>
      <c r="AK476" t="s">
        <v>126</v>
      </c>
      <c r="AL476" t="s">
        <v>127</v>
      </c>
      <c r="AN476" t="s">
        <v>4183</v>
      </c>
      <c r="AO476" t="s">
        <v>4184</v>
      </c>
      <c r="AP476" t="s">
        <v>4185</v>
      </c>
      <c r="AQ476" t="s">
        <v>131</v>
      </c>
      <c r="AR476" t="s">
        <v>132</v>
      </c>
      <c r="AS476" t="s">
        <v>720</v>
      </c>
      <c r="AT476" t="s">
        <v>1664</v>
      </c>
      <c r="AV476" t="s">
        <v>1703</v>
      </c>
      <c r="AW476" t="s">
        <v>316</v>
      </c>
      <c r="AY476" t="s">
        <v>177</v>
      </c>
      <c r="AZ476" t="s">
        <v>364</v>
      </c>
      <c r="BA476" t="s">
        <v>4186</v>
      </c>
      <c r="BC476" t="s">
        <v>140</v>
      </c>
      <c r="BT476" s="7">
        <f t="shared" si="43"/>
        <v>0</v>
      </c>
      <c r="BU476" s="6">
        <f t="shared" si="44"/>
        <v>0</v>
      </c>
      <c r="BV476" s="6">
        <f t="shared" si="45"/>
        <v>0</v>
      </c>
      <c r="BW476" s="6">
        <f t="shared" si="46"/>
        <v>0</v>
      </c>
      <c r="BX476" s="6">
        <f t="shared" si="47"/>
        <v>0</v>
      </c>
    </row>
    <row r="477" spans="1:76" x14ac:dyDescent="0.35">
      <c r="A477" t="s">
        <v>4187</v>
      </c>
      <c r="B477" t="s">
        <v>107</v>
      </c>
      <c r="C477" t="s">
        <v>107</v>
      </c>
      <c r="F477" t="s">
        <v>613</v>
      </c>
      <c r="G477" t="s">
        <v>614</v>
      </c>
      <c r="H477" t="s">
        <v>615</v>
      </c>
      <c r="I477" t="s">
        <v>271</v>
      </c>
      <c r="J477" t="s">
        <v>113</v>
      </c>
      <c r="K477" s="8" t="s">
        <v>114</v>
      </c>
      <c r="L477" t="s">
        <v>114</v>
      </c>
      <c r="M477" s="6">
        <v>0</v>
      </c>
      <c r="N477" t="s">
        <v>114</v>
      </c>
      <c r="O477" s="6">
        <v>0</v>
      </c>
      <c r="P477" t="s">
        <v>114</v>
      </c>
      <c r="Q477" s="6">
        <v>0</v>
      </c>
      <c r="R477" s="7">
        <f t="shared" si="42"/>
        <v>0</v>
      </c>
      <c r="S477" t="s">
        <v>114</v>
      </c>
      <c r="T477" t="s">
        <v>114</v>
      </c>
      <c r="U477" t="s">
        <v>114</v>
      </c>
      <c r="W477" t="s">
        <v>114</v>
      </c>
      <c r="X477" t="s">
        <v>114</v>
      </c>
      <c r="Z477" t="s">
        <v>4188</v>
      </c>
      <c r="AA477" t="s">
        <v>4189</v>
      </c>
      <c r="AB477" s="1" t="s">
        <v>4190</v>
      </c>
      <c r="AC477" t="s">
        <v>4191</v>
      </c>
      <c r="AD477" t="s">
        <v>4192</v>
      </c>
      <c r="AH477" t="s">
        <v>123</v>
      </c>
      <c r="AI477" t="s">
        <v>124</v>
      </c>
      <c r="AJ477" t="s">
        <v>4193</v>
      </c>
      <c r="AK477" t="s">
        <v>126</v>
      </c>
      <c r="AL477" t="s">
        <v>127</v>
      </c>
      <c r="AN477" t="s">
        <v>4194</v>
      </c>
      <c r="AO477" t="s">
        <v>4195</v>
      </c>
      <c r="AP477" t="s">
        <v>4196</v>
      </c>
      <c r="AQ477" t="s">
        <v>131</v>
      </c>
      <c r="AR477" t="s">
        <v>132</v>
      </c>
      <c r="AS477" t="s">
        <v>720</v>
      </c>
      <c r="AT477" t="s">
        <v>4055</v>
      </c>
      <c r="AV477" t="s">
        <v>3049</v>
      </c>
      <c r="AW477" t="s">
        <v>4197</v>
      </c>
      <c r="AY477" t="s">
        <v>177</v>
      </c>
      <c r="AZ477" t="s">
        <v>627</v>
      </c>
      <c r="BA477" t="s">
        <v>4198</v>
      </c>
      <c r="BC477" t="s">
        <v>140</v>
      </c>
      <c r="BT477" s="7">
        <f t="shared" si="43"/>
        <v>0</v>
      </c>
      <c r="BU477" s="6">
        <f t="shared" si="44"/>
        <v>0</v>
      </c>
      <c r="BV477" s="6">
        <f t="shared" si="45"/>
        <v>0</v>
      </c>
      <c r="BW477" s="6">
        <f t="shared" si="46"/>
        <v>0</v>
      </c>
      <c r="BX477" s="6">
        <f t="shared" si="47"/>
        <v>0</v>
      </c>
    </row>
    <row r="478" spans="1:76" x14ac:dyDescent="0.35">
      <c r="A478" t="s">
        <v>4199</v>
      </c>
      <c r="B478" t="s">
        <v>107</v>
      </c>
      <c r="C478" t="s">
        <v>107</v>
      </c>
      <c r="F478" t="s">
        <v>358</v>
      </c>
      <c r="G478" t="s">
        <v>359</v>
      </c>
      <c r="H478" t="s">
        <v>360</v>
      </c>
      <c r="I478" t="s">
        <v>341</v>
      </c>
      <c r="J478" t="s">
        <v>113</v>
      </c>
      <c r="K478" s="8" t="s">
        <v>114</v>
      </c>
      <c r="L478" t="s">
        <v>114</v>
      </c>
      <c r="M478" s="6">
        <v>0</v>
      </c>
      <c r="N478" t="s">
        <v>114</v>
      </c>
      <c r="O478" s="6">
        <v>0</v>
      </c>
      <c r="P478" t="s">
        <v>114</v>
      </c>
      <c r="Q478" s="6">
        <v>0</v>
      </c>
      <c r="R478" s="7">
        <f t="shared" si="42"/>
        <v>0</v>
      </c>
      <c r="S478" t="s">
        <v>114</v>
      </c>
      <c r="T478" t="s">
        <v>114</v>
      </c>
      <c r="U478" t="s">
        <v>114</v>
      </c>
      <c r="W478" t="s">
        <v>114</v>
      </c>
      <c r="X478" t="s">
        <v>114</v>
      </c>
      <c r="Z478" t="s">
        <v>4200</v>
      </c>
      <c r="AA478" t="s">
        <v>4201</v>
      </c>
      <c r="AB478" s="1" t="s">
        <v>4202</v>
      </c>
      <c r="AC478" t="s">
        <v>4203</v>
      </c>
      <c r="AD478" t="s">
        <v>4204</v>
      </c>
      <c r="AH478" t="s">
        <v>123</v>
      </c>
      <c r="AI478" t="s">
        <v>124</v>
      </c>
      <c r="AJ478" t="s">
        <v>4205</v>
      </c>
      <c r="AK478" t="s">
        <v>126</v>
      </c>
      <c r="AL478" t="s">
        <v>127</v>
      </c>
      <c r="AN478" t="s">
        <v>4206</v>
      </c>
      <c r="AO478" t="s">
        <v>4207</v>
      </c>
      <c r="AP478" t="s">
        <v>4208</v>
      </c>
      <c r="AQ478" t="s">
        <v>131</v>
      </c>
      <c r="AR478" t="s">
        <v>132</v>
      </c>
      <c r="AS478" t="s">
        <v>514</v>
      </c>
      <c r="AT478" t="s">
        <v>4209</v>
      </c>
      <c r="AV478" t="s">
        <v>1403</v>
      </c>
      <c r="AW478" t="s">
        <v>1072</v>
      </c>
      <c r="AY478" t="s">
        <v>177</v>
      </c>
      <c r="AZ478" t="s">
        <v>364</v>
      </c>
      <c r="BA478" t="s">
        <v>4210</v>
      </c>
      <c r="BC478" t="s">
        <v>140</v>
      </c>
      <c r="BT478" s="7">
        <f t="shared" si="43"/>
        <v>0</v>
      </c>
      <c r="BU478" s="6">
        <f t="shared" si="44"/>
        <v>0</v>
      </c>
      <c r="BV478" s="6">
        <f t="shared" si="45"/>
        <v>0</v>
      </c>
      <c r="BW478" s="6">
        <f t="shared" si="46"/>
        <v>0</v>
      </c>
      <c r="BX478" s="6">
        <f t="shared" si="47"/>
        <v>0</v>
      </c>
    </row>
    <row r="479" spans="1:76" x14ac:dyDescent="0.35">
      <c r="A479" t="s">
        <v>4211</v>
      </c>
      <c r="B479" t="s">
        <v>107</v>
      </c>
      <c r="C479" t="s">
        <v>107</v>
      </c>
      <c r="F479" t="s">
        <v>358</v>
      </c>
      <c r="G479" t="s">
        <v>359</v>
      </c>
      <c r="H479" t="s">
        <v>360</v>
      </c>
      <c r="I479" t="s">
        <v>341</v>
      </c>
      <c r="J479" t="s">
        <v>113</v>
      </c>
      <c r="K479" s="8" t="s">
        <v>114</v>
      </c>
      <c r="L479" t="s">
        <v>114</v>
      </c>
      <c r="M479" s="6">
        <v>0</v>
      </c>
      <c r="N479" t="s">
        <v>114</v>
      </c>
      <c r="O479" s="6">
        <v>0</v>
      </c>
      <c r="P479" t="s">
        <v>114</v>
      </c>
      <c r="Q479" s="6">
        <v>0</v>
      </c>
      <c r="R479" s="7">
        <f t="shared" si="42"/>
        <v>0</v>
      </c>
      <c r="S479" t="s">
        <v>114</v>
      </c>
      <c r="T479" t="s">
        <v>114</v>
      </c>
      <c r="U479" t="s">
        <v>114</v>
      </c>
      <c r="W479" t="s">
        <v>114</v>
      </c>
      <c r="X479" t="s">
        <v>114</v>
      </c>
      <c r="Z479" t="s">
        <v>4212</v>
      </c>
      <c r="AA479" t="s">
        <v>4213</v>
      </c>
      <c r="AB479" s="1" t="s">
        <v>4214</v>
      </c>
      <c r="AC479" t="s">
        <v>4215</v>
      </c>
      <c r="AD479" t="s">
        <v>4216</v>
      </c>
      <c r="AH479" t="s">
        <v>123</v>
      </c>
      <c r="AI479" t="s">
        <v>124</v>
      </c>
      <c r="AJ479" t="s">
        <v>4217</v>
      </c>
      <c r="AK479" t="s">
        <v>126</v>
      </c>
      <c r="AL479" t="s">
        <v>127</v>
      </c>
      <c r="AN479" t="s">
        <v>4218</v>
      </c>
      <c r="AO479" t="s">
        <v>4219</v>
      </c>
      <c r="AP479" t="s">
        <v>4220</v>
      </c>
      <c r="AQ479" t="s">
        <v>131</v>
      </c>
      <c r="AR479" t="s">
        <v>132</v>
      </c>
      <c r="AS479" t="s">
        <v>387</v>
      </c>
      <c r="AT479" t="s">
        <v>3038</v>
      </c>
      <c r="AV479" t="s">
        <v>3361</v>
      </c>
      <c r="AY479" t="s">
        <v>177</v>
      </c>
      <c r="AZ479" t="s">
        <v>364</v>
      </c>
      <c r="BA479" t="s">
        <v>4221</v>
      </c>
      <c r="BC479" t="s">
        <v>140</v>
      </c>
      <c r="BT479" s="7">
        <f t="shared" si="43"/>
        <v>0</v>
      </c>
      <c r="BU479" s="6">
        <f t="shared" si="44"/>
        <v>0</v>
      </c>
      <c r="BV479" s="6">
        <f t="shared" si="45"/>
        <v>0</v>
      </c>
      <c r="BW479" s="6">
        <f t="shared" si="46"/>
        <v>0</v>
      </c>
      <c r="BX479" s="6">
        <f t="shared" si="47"/>
        <v>0</v>
      </c>
    </row>
    <row r="480" spans="1:76" x14ac:dyDescent="0.35">
      <c r="A480" t="s">
        <v>4222</v>
      </c>
      <c r="B480" t="s">
        <v>107</v>
      </c>
      <c r="C480" t="s">
        <v>107</v>
      </c>
      <c r="F480" t="s">
        <v>358</v>
      </c>
      <c r="G480" t="s">
        <v>359</v>
      </c>
      <c r="H480" t="s">
        <v>360</v>
      </c>
      <c r="I480" t="s">
        <v>341</v>
      </c>
      <c r="J480" t="s">
        <v>113</v>
      </c>
      <c r="K480" s="8" t="s">
        <v>114</v>
      </c>
      <c r="L480" t="s">
        <v>114</v>
      </c>
      <c r="M480" s="6">
        <v>0</v>
      </c>
      <c r="N480" t="s">
        <v>114</v>
      </c>
      <c r="O480" s="6">
        <v>0</v>
      </c>
      <c r="P480" t="s">
        <v>114</v>
      </c>
      <c r="Q480" s="6">
        <v>0</v>
      </c>
      <c r="R480" s="7">
        <f t="shared" si="42"/>
        <v>0</v>
      </c>
      <c r="S480" t="s">
        <v>114</v>
      </c>
      <c r="T480" t="s">
        <v>114</v>
      </c>
      <c r="U480" t="s">
        <v>114</v>
      </c>
      <c r="W480" t="s">
        <v>114</v>
      </c>
      <c r="X480" t="s">
        <v>114</v>
      </c>
      <c r="Z480" t="s">
        <v>4223</v>
      </c>
      <c r="AA480" t="s">
        <v>4224</v>
      </c>
      <c r="AB480" s="1" t="s">
        <v>4225</v>
      </c>
      <c r="AC480" t="s">
        <v>4226</v>
      </c>
      <c r="AD480" t="s">
        <v>4227</v>
      </c>
      <c r="AH480" t="s">
        <v>123</v>
      </c>
      <c r="AI480" t="s">
        <v>124</v>
      </c>
      <c r="AJ480" t="s">
        <v>4228</v>
      </c>
      <c r="AK480" t="s">
        <v>126</v>
      </c>
      <c r="AL480" t="s">
        <v>127</v>
      </c>
      <c r="AN480" t="s">
        <v>4229</v>
      </c>
      <c r="AO480" t="s">
        <v>4230</v>
      </c>
      <c r="AP480" t="s">
        <v>4231</v>
      </c>
      <c r="AQ480" t="s">
        <v>131</v>
      </c>
      <c r="AR480" t="s">
        <v>132</v>
      </c>
      <c r="AS480" t="s">
        <v>4232</v>
      </c>
      <c r="AT480" t="s">
        <v>4233</v>
      </c>
      <c r="AV480" t="s">
        <v>991</v>
      </c>
      <c r="AY480" t="s">
        <v>177</v>
      </c>
      <c r="AZ480" t="s">
        <v>364</v>
      </c>
      <c r="BA480" t="s">
        <v>4234</v>
      </c>
      <c r="BC480" t="s">
        <v>140</v>
      </c>
      <c r="BT480" s="7">
        <f t="shared" si="43"/>
        <v>0</v>
      </c>
      <c r="BU480" s="6">
        <f t="shared" si="44"/>
        <v>0</v>
      </c>
      <c r="BV480" s="6">
        <f t="shared" si="45"/>
        <v>0</v>
      </c>
      <c r="BW480" s="6">
        <f t="shared" si="46"/>
        <v>0</v>
      </c>
      <c r="BX480" s="6">
        <f t="shared" si="47"/>
        <v>0</v>
      </c>
    </row>
    <row r="481" spans="1:76" x14ac:dyDescent="0.35">
      <c r="A481" t="s">
        <v>4235</v>
      </c>
      <c r="B481" t="s">
        <v>107</v>
      </c>
      <c r="C481" t="s">
        <v>107</v>
      </c>
      <c r="F481" t="s">
        <v>358</v>
      </c>
      <c r="G481" t="s">
        <v>359</v>
      </c>
      <c r="H481" t="s">
        <v>360</v>
      </c>
      <c r="I481" t="s">
        <v>341</v>
      </c>
      <c r="J481" t="s">
        <v>113</v>
      </c>
      <c r="K481" s="8" t="s">
        <v>114</v>
      </c>
      <c r="L481" t="s">
        <v>114</v>
      </c>
      <c r="M481" s="6">
        <v>0</v>
      </c>
      <c r="N481" t="s">
        <v>114</v>
      </c>
      <c r="O481" s="6">
        <v>0</v>
      </c>
      <c r="P481" t="s">
        <v>114</v>
      </c>
      <c r="Q481" s="6">
        <v>0</v>
      </c>
      <c r="R481" s="7">
        <f t="shared" si="42"/>
        <v>0</v>
      </c>
      <c r="S481" t="s">
        <v>114</v>
      </c>
      <c r="T481" t="s">
        <v>114</v>
      </c>
      <c r="U481" t="s">
        <v>114</v>
      </c>
      <c r="W481" t="s">
        <v>114</v>
      </c>
      <c r="X481" t="s">
        <v>114</v>
      </c>
      <c r="Z481" t="s">
        <v>4236</v>
      </c>
      <c r="AA481" t="s">
        <v>4237</v>
      </c>
      <c r="AB481" s="1" t="s">
        <v>4238</v>
      </c>
      <c r="AC481" t="s">
        <v>4239</v>
      </c>
      <c r="AD481" t="s">
        <v>4240</v>
      </c>
      <c r="AH481" t="s">
        <v>123</v>
      </c>
      <c r="AI481" t="s">
        <v>124</v>
      </c>
      <c r="AJ481" t="s">
        <v>4241</v>
      </c>
      <c r="AK481" t="s">
        <v>126</v>
      </c>
      <c r="AL481" t="s">
        <v>127</v>
      </c>
      <c r="AN481" t="s">
        <v>4242</v>
      </c>
      <c r="AO481" t="s">
        <v>4243</v>
      </c>
      <c r="AP481" t="s">
        <v>4244</v>
      </c>
      <c r="AQ481" t="s">
        <v>131</v>
      </c>
      <c r="AR481" t="s">
        <v>132</v>
      </c>
      <c r="AS481" t="s">
        <v>249</v>
      </c>
      <c r="AT481" t="s">
        <v>4245</v>
      </c>
      <c r="AV481" t="s">
        <v>389</v>
      </c>
      <c r="AY481" t="s">
        <v>177</v>
      </c>
      <c r="AZ481" t="s">
        <v>364</v>
      </c>
      <c r="BA481" t="s">
        <v>4246</v>
      </c>
      <c r="BC481" t="s">
        <v>140</v>
      </c>
      <c r="BT481" s="7">
        <f t="shared" si="43"/>
        <v>0</v>
      </c>
      <c r="BU481" s="6">
        <f t="shared" si="44"/>
        <v>0</v>
      </c>
      <c r="BV481" s="6">
        <f t="shared" si="45"/>
        <v>0</v>
      </c>
      <c r="BW481" s="6">
        <f t="shared" si="46"/>
        <v>0</v>
      </c>
      <c r="BX481" s="6">
        <f t="shared" si="47"/>
        <v>0</v>
      </c>
    </row>
    <row r="482" spans="1:76" x14ac:dyDescent="0.35">
      <c r="A482" t="s">
        <v>4247</v>
      </c>
      <c r="B482" t="s">
        <v>107</v>
      </c>
      <c r="C482" t="s">
        <v>107</v>
      </c>
      <c r="F482" t="s">
        <v>358</v>
      </c>
      <c r="G482" t="s">
        <v>359</v>
      </c>
      <c r="H482" t="s">
        <v>360</v>
      </c>
      <c r="I482" t="s">
        <v>341</v>
      </c>
      <c r="J482" t="s">
        <v>113</v>
      </c>
      <c r="K482" s="8" t="s">
        <v>114</v>
      </c>
      <c r="L482" t="s">
        <v>114</v>
      </c>
      <c r="M482" s="6">
        <v>0</v>
      </c>
      <c r="N482" t="s">
        <v>114</v>
      </c>
      <c r="O482" s="6">
        <v>0</v>
      </c>
      <c r="P482" t="s">
        <v>114</v>
      </c>
      <c r="Q482" s="6">
        <v>0</v>
      </c>
      <c r="R482" s="7">
        <f t="shared" si="42"/>
        <v>0</v>
      </c>
      <c r="S482" t="s">
        <v>114</v>
      </c>
      <c r="T482" t="s">
        <v>114</v>
      </c>
      <c r="U482" t="s">
        <v>114</v>
      </c>
      <c r="W482" t="s">
        <v>114</v>
      </c>
      <c r="X482" t="s">
        <v>114</v>
      </c>
      <c r="Z482" t="s">
        <v>4248</v>
      </c>
      <c r="AA482" t="s">
        <v>4248</v>
      </c>
      <c r="AB482" s="1" t="s">
        <v>4249</v>
      </c>
      <c r="AC482" t="s">
        <v>4250</v>
      </c>
      <c r="AD482" t="s">
        <v>4251</v>
      </c>
      <c r="AH482" t="s">
        <v>123</v>
      </c>
      <c r="AI482" t="s">
        <v>124</v>
      </c>
      <c r="AJ482" t="s">
        <v>4252</v>
      </c>
      <c r="AK482" t="s">
        <v>126</v>
      </c>
      <c r="AL482" t="s">
        <v>127</v>
      </c>
      <c r="AN482" t="s">
        <v>4253</v>
      </c>
      <c r="AO482" t="s">
        <v>4254</v>
      </c>
      <c r="AP482" t="s">
        <v>4255</v>
      </c>
      <c r="AQ482" t="s">
        <v>131</v>
      </c>
      <c r="AR482" t="s">
        <v>132</v>
      </c>
      <c r="AS482" t="s">
        <v>3481</v>
      </c>
      <c r="AT482" t="s">
        <v>4256</v>
      </c>
      <c r="AV482" t="s">
        <v>481</v>
      </c>
      <c r="AW482" t="s">
        <v>1095</v>
      </c>
      <c r="AY482" t="s">
        <v>177</v>
      </c>
      <c r="AZ482" t="s">
        <v>364</v>
      </c>
      <c r="BA482" t="s">
        <v>4257</v>
      </c>
      <c r="BC482" t="s">
        <v>140</v>
      </c>
      <c r="BT482" s="7">
        <f t="shared" si="43"/>
        <v>0</v>
      </c>
      <c r="BU482" s="6">
        <f t="shared" si="44"/>
        <v>0</v>
      </c>
      <c r="BV482" s="6">
        <f t="shared" si="45"/>
        <v>0</v>
      </c>
      <c r="BW482" s="6">
        <f t="shared" si="46"/>
        <v>0</v>
      </c>
      <c r="BX482" s="6">
        <f t="shared" si="47"/>
        <v>0</v>
      </c>
    </row>
    <row r="483" spans="1:76" x14ac:dyDescent="0.35">
      <c r="A483" t="s">
        <v>4258</v>
      </c>
      <c r="B483" t="s">
        <v>107</v>
      </c>
      <c r="C483" t="s">
        <v>107</v>
      </c>
      <c r="F483" t="s">
        <v>613</v>
      </c>
      <c r="G483" t="s">
        <v>614</v>
      </c>
      <c r="H483" t="s">
        <v>615</v>
      </c>
      <c r="I483" t="s">
        <v>271</v>
      </c>
      <c r="J483" t="s">
        <v>113</v>
      </c>
      <c r="K483" s="8" t="s">
        <v>114</v>
      </c>
      <c r="L483" t="s">
        <v>114</v>
      </c>
      <c r="M483" s="6">
        <v>0</v>
      </c>
      <c r="N483" t="s">
        <v>114</v>
      </c>
      <c r="O483" s="6">
        <v>0</v>
      </c>
      <c r="P483" t="s">
        <v>114</v>
      </c>
      <c r="Q483" s="6">
        <v>0</v>
      </c>
      <c r="R483" s="7">
        <f t="shared" si="42"/>
        <v>0</v>
      </c>
      <c r="S483" t="s">
        <v>114</v>
      </c>
      <c r="T483" t="s">
        <v>114</v>
      </c>
      <c r="U483" t="s">
        <v>114</v>
      </c>
      <c r="W483" t="s">
        <v>114</v>
      </c>
      <c r="X483" t="s">
        <v>114</v>
      </c>
      <c r="Z483" t="s">
        <v>4259</v>
      </c>
      <c r="AA483" t="s">
        <v>4259</v>
      </c>
      <c r="AB483" s="1" t="s">
        <v>4260</v>
      </c>
      <c r="AC483" t="s">
        <v>4261</v>
      </c>
      <c r="AD483" t="s">
        <v>4262</v>
      </c>
      <c r="AH483" t="s">
        <v>123</v>
      </c>
      <c r="AI483" t="s">
        <v>124</v>
      </c>
      <c r="AJ483" t="s">
        <v>4263</v>
      </c>
      <c r="AK483" t="s">
        <v>126</v>
      </c>
      <c r="AL483" t="s">
        <v>127</v>
      </c>
      <c r="AN483" t="s">
        <v>4264</v>
      </c>
      <c r="AO483" t="s">
        <v>4265</v>
      </c>
      <c r="AP483" t="s">
        <v>4266</v>
      </c>
      <c r="AQ483" t="s">
        <v>131</v>
      </c>
      <c r="AR483" t="s">
        <v>132</v>
      </c>
      <c r="AS483" t="s">
        <v>352</v>
      </c>
      <c r="AT483" t="s">
        <v>667</v>
      </c>
      <c r="AV483" t="s">
        <v>4267</v>
      </c>
      <c r="AY483" t="s">
        <v>177</v>
      </c>
      <c r="AZ483" t="s">
        <v>627</v>
      </c>
      <c r="BA483" t="s">
        <v>4268</v>
      </c>
      <c r="BC483" t="s">
        <v>140</v>
      </c>
      <c r="BT483" s="7">
        <f t="shared" si="43"/>
        <v>0</v>
      </c>
      <c r="BU483" s="6">
        <f t="shared" si="44"/>
        <v>0</v>
      </c>
      <c r="BV483" s="6">
        <f t="shared" si="45"/>
        <v>0</v>
      </c>
      <c r="BW483" s="6">
        <f t="shared" si="46"/>
        <v>0</v>
      </c>
      <c r="BX483" s="6">
        <f t="shared" si="47"/>
        <v>0</v>
      </c>
    </row>
    <row r="484" spans="1:76" x14ac:dyDescent="0.35">
      <c r="A484" t="s">
        <v>4269</v>
      </c>
      <c r="B484" t="s">
        <v>107</v>
      </c>
      <c r="C484" t="s">
        <v>107</v>
      </c>
      <c r="F484" t="s">
        <v>613</v>
      </c>
      <c r="G484" t="s">
        <v>614</v>
      </c>
      <c r="H484" t="s">
        <v>615</v>
      </c>
      <c r="I484" t="s">
        <v>271</v>
      </c>
      <c r="J484" t="s">
        <v>113</v>
      </c>
      <c r="K484" s="8" t="s">
        <v>114</v>
      </c>
      <c r="L484" t="s">
        <v>114</v>
      </c>
      <c r="M484" s="6">
        <v>0</v>
      </c>
      <c r="N484" t="s">
        <v>114</v>
      </c>
      <c r="O484" s="6">
        <v>0</v>
      </c>
      <c r="P484" t="s">
        <v>114</v>
      </c>
      <c r="Q484" s="6">
        <v>0</v>
      </c>
      <c r="R484" s="7">
        <f t="shared" si="42"/>
        <v>0</v>
      </c>
      <c r="S484" t="s">
        <v>114</v>
      </c>
      <c r="T484" t="s">
        <v>114</v>
      </c>
      <c r="U484" t="s">
        <v>114</v>
      </c>
      <c r="W484" t="s">
        <v>114</v>
      </c>
      <c r="X484" t="s">
        <v>114</v>
      </c>
      <c r="Z484" t="s">
        <v>4270</v>
      </c>
      <c r="AA484" t="s">
        <v>4270</v>
      </c>
      <c r="AB484" s="1" t="s">
        <v>4271</v>
      </c>
      <c r="AC484" t="s">
        <v>4272</v>
      </c>
      <c r="AD484" t="s">
        <v>4273</v>
      </c>
      <c r="AH484" t="s">
        <v>123</v>
      </c>
      <c r="AI484" t="s">
        <v>124</v>
      </c>
      <c r="AJ484" t="s">
        <v>4274</v>
      </c>
      <c r="AK484" t="s">
        <v>126</v>
      </c>
      <c r="AL484" t="s">
        <v>127</v>
      </c>
      <c r="AN484" t="s">
        <v>4275</v>
      </c>
      <c r="AO484" t="s">
        <v>4276</v>
      </c>
      <c r="AP484" t="s">
        <v>4277</v>
      </c>
      <c r="AQ484" t="s">
        <v>131</v>
      </c>
      <c r="AR484" t="s">
        <v>132</v>
      </c>
      <c r="AS484" t="s">
        <v>387</v>
      </c>
      <c r="AT484" t="s">
        <v>2019</v>
      </c>
      <c r="AV484" t="s">
        <v>3722</v>
      </c>
      <c r="AW484" t="s">
        <v>3722</v>
      </c>
      <c r="AY484" t="s">
        <v>177</v>
      </c>
      <c r="AZ484" t="s">
        <v>627</v>
      </c>
      <c r="BA484" t="s">
        <v>4278</v>
      </c>
      <c r="BC484" t="s">
        <v>140</v>
      </c>
      <c r="BT484" s="7">
        <f t="shared" si="43"/>
        <v>0</v>
      </c>
      <c r="BU484" s="6">
        <f t="shared" si="44"/>
        <v>0</v>
      </c>
      <c r="BV484" s="6">
        <f t="shared" si="45"/>
        <v>0</v>
      </c>
      <c r="BW484" s="6">
        <f t="shared" si="46"/>
        <v>0</v>
      </c>
      <c r="BX484" s="6">
        <f t="shared" si="47"/>
        <v>0</v>
      </c>
    </row>
    <row r="485" spans="1:76" x14ac:dyDescent="0.35">
      <c r="A485" t="s">
        <v>4279</v>
      </c>
      <c r="B485" t="s">
        <v>107</v>
      </c>
      <c r="C485" t="s">
        <v>107</v>
      </c>
      <c r="F485" t="s">
        <v>358</v>
      </c>
      <c r="G485" t="s">
        <v>359</v>
      </c>
      <c r="H485" t="s">
        <v>360</v>
      </c>
      <c r="I485" t="s">
        <v>341</v>
      </c>
      <c r="J485" t="s">
        <v>113</v>
      </c>
      <c r="K485" s="8" t="s">
        <v>114</v>
      </c>
      <c r="L485" t="s">
        <v>114</v>
      </c>
      <c r="M485" s="6">
        <v>0</v>
      </c>
      <c r="N485" t="s">
        <v>114</v>
      </c>
      <c r="O485" s="6">
        <v>0</v>
      </c>
      <c r="P485" t="s">
        <v>114</v>
      </c>
      <c r="Q485" s="6">
        <v>0</v>
      </c>
      <c r="R485" s="7">
        <f t="shared" si="42"/>
        <v>0</v>
      </c>
      <c r="S485" t="s">
        <v>114</v>
      </c>
      <c r="T485" t="s">
        <v>114</v>
      </c>
      <c r="U485" t="s">
        <v>114</v>
      </c>
      <c r="W485" t="s">
        <v>114</v>
      </c>
      <c r="X485" t="s">
        <v>114</v>
      </c>
      <c r="Z485" t="s">
        <v>4280</v>
      </c>
      <c r="AA485" t="s">
        <v>4280</v>
      </c>
      <c r="AB485" s="1" t="s">
        <v>4281</v>
      </c>
      <c r="AC485" t="s">
        <v>4282</v>
      </c>
      <c r="AD485" t="s">
        <v>4283</v>
      </c>
      <c r="AH485" t="s">
        <v>123</v>
      </c>
      <c r="AI485" t="s">
        <v>124</v>
      </c>
      <c r="AJ485" t="s">
        <v>4284</v>
      </c>
      <c r="AK485" t="s">
        <v>126</v>
      </c>
      <c r="AL485" t="s">
        <v>127</v>
      </c>
      <c r="AN485" t="s">
        <v>4285</v>
      </c>
      <c r="AO485" t="s">
        <v>4286</v>
      </c>
      <c r="AP485" t="s">
        <v>4287</v>
      </c>
      <c r="AQ485" t="s">
        <v>131</v>
      </c>
      <c r="AR485" t="s">
        <v>132</v>
      </c>
      <c r="AS485" t="s">
        <v>284</v>
      </c>
      <c r="AT485" t="s">
        <v>3592</v>
      </c>
      <c r="AV485" t="s">
        <v>3394</v>
      </c>
      <c r="AY485" t="s">
        <v>177</v>
      </c>
      <c r="AZ485" t="s">
        <v>364</v>
      </c>
      <c r="BA485" t="s">
        <v>4288</v>
      </c>
      <c r="BC485" t="s">
        <v>140</v>
      </c>
      <c r="BT485" s="7">
        <f t="shared" si="43"/>
        <v>0</v>
      </c>
      <c r="BU485" s="6">
        <f t="shared" si="44"/>
        <v>0</v>
      </c>
      <c r="BV485" s="6">
        <f t="shared" si="45"/>
        <v>0</v>
      </c>
      <c r="BW485" s="6">
        <f t="shared" si="46"/>
        <v>0</v>
      </c>
      <c r="BX485" s="6">
        <f t="shared" si="47"/>
        <v>0</v>
      </c>
    </row>
    <row r="486" spans="1:76" x14ac:dyDescent="0.35">
      <c r="A486" t="s">
        <v>4289</v>
      </c>
      <c r="B486" t="s">
        <v>107</v>
      </c>
      <c r="C486" t="s">
        <v>107</v>
      </c>
      <c r="F486" t="s">
        <v>358</v>
      </c>
      <c r="G486" t="s">
        <v>359</v>
      </c>
      <c r="H486" t="s">
        <v>360</v>
      </c>
      <c r="I486" t="s">
        <v>341</v>
      </c>
      <c r="J486" t="s">
        <v>113</v>
      </c>
      <c r="K486" s="8" t="s">
        <v>114</v>
      </c>
      <c r="L486" t="s">
        <v>114</v>
      </c>
      <c r="M486" s="6">
        <v>0</v>
      </c>
      <c r="N486" t="s">
        <v>114</v>
      </c>
      <c r="O486" s="6">
        <v>0</v>
      </c>
      <c r="P486" t="s">
        <v>114</v>
      </c>
      <c r="Q486" s="6">
        <v>0</v>
      </c>
      <c r="R486" s="7">
        <f t="shared" si="42"/>
        <v>0</v>
      </c>
      <c r="S486" t="s">
        <v>114</v>
      </c>
      <c r="T486" t="s">
        <v>114</v>
      </c>
      <c r="U486" t="s">
        <v>114</v>
      </c>
      <c r="W486" t="s">
        <v>114</v>
      </c>
      <c r="X486" t="s">
        <v>114</v>
      </c>
      <c r="Z486" t="s">
        <v>4290</v>
      </c>
      <c r="AA486" t="s">
        <v>4290</v>
      </c>
      <c r="AB486" s="1" t="s">
        <v>4291</v>
      </c>
      <c r="AC486" t="s">
        <v>4292</v>
      </c>
      <c r="AD486" t="s">
        <v>4293</v>
      </c>
      <c r="AH486" t="s">
        <v>123</v>
      </c>
      <c r="AI486" t="s">
        <v>124</v>
      </c>
      <c r="AJ486" t="s">
        <v>4294</v>
      </c>
      <c r="AK486" t="s">
        <v>126</v>
      </c>
      <c r="AL486" t="s">
        <v>127</v>
      </c>
      <c r="AN486" t="s">
        <v>4295</v>
      </c>
      <c r="AO486" t="s">
        <v>4296</v>
      </c>
      <c r="AP486" t="s">
        <v>4297</v>
      </c>
      <c r="AQ486" t="s">
        <v>131</v>
      </c>
      <c r="AR486" t="s">
        <v>132</v>
      </c>
      <c r="AS486" t="s">
        <v>720</v>
      </c>
      <c r="AT486" t="s">
        <v>4055</v>
      </c>
      <c r="AV486" t="s">
        <v>1148</v>
      </c>
      <c r="AW486" t="s">
        <v>375</v>
      </c>
      <c r="AY486" t="s">
        <v>177</v>
      </c>
      <c r="AZ486" t="s">
        <v>364</v>
      </c>
      <c r="BA486" t="s">
        <v>4298</v>
      </c>
      <c r="BC486" t="s">
        <v>140</v>
      </c>
      <c r="BT486" s="7">
        <f t="shared" si="43"/>
        <v>0</v>
      </c>
      <c r="BU486" s="6">
        <f t="shared" si="44"/>
        <v>0</v>
      </c>
      <c r="BV486" s="6">
        <f t="shared" si="45"/>
        <v>0</v>
      </c>
      <c r="BW486" s="6">
        <f t="shared" si="46"/>
        <v>0</v>
      </c>
      <c r="BX486" s="6">
        <f t="shared" si="47"/>
        <v>0</v>
      </c>
    </row>
    <row r="487" spans="1:76" x14ac:dyDescent="0.35">
      <c r="A487" t="s">
        <v>4299</v>
      </c>
      <c r="B487" t="s">
        <v>107</v>
      </c>
      <c r="C487" t="s">
        <v>107</v>
      </c>
      <c r="E487" t="s">
        <v>108</v>
      </c>
      <c r="F487" t="s">
        <v>268</v>
      </c>
      <c r="G487" t="s">
        <v>269</v>
      </c>
      <c r="H487" t="s">
        <v>2268</v>
      </c>
      <c r="I487" t="s">
        <v>271</v>
      </c>
      <c r="J487" t="s">
        <v>113</v>
      </c>
      <c r="K487" s="8" t="s">
        <v>114</v>
      </c>
      <c r="L487" t="s">
        <v>114</v>
      </c>
      <c r="M487" s="6">
        <v>0</v>
      </c>
      <c r="N487" t="s">
        <v>114</v>
      </c>
      <c r="O487" s="6">
        <v>0</v>
      </c>
      <c r="P487" t="s">
        <v>114</v>
      </c>
      <c r="Q487" s="6">
        <v>0</v>
      </c>
      <c r="R487" s="7">
        <f t="shared" si="42"/>
        <v>0</v>
      </c>
      <c r="S487" t="s">
        <v>180</v>
      </c>
      <c r="T487" t="s">
        <v>114</v>
      </c>
      <c r="U487" t="s">
        <v>180</v>
      </c>
      <c r="W487" t="s">
        <v>114</v>
      </c>
      <c r="X487" t="s">
        <v>1111</v>
      </c>
      <c r="Z487" t="s">
        <v>4300</v>
      </c>
      <c r="AA487" t="s">
        <v>4301</v>
      </c>
      <c r="AB487" s="1" t="s">
        <v>4302</v>
      </c>
      <c r="AC487" t="s">
        <v>4303</v>
      </c>
      <c r="AD487" t="s">
        <v>4304</v>
      </c>
      <c r="AH487" t="s">
        <v>123</v>
      </c>
      <c r="AI487" t="s">
        <v>124</v>
      </c>
      <c r="AJ487" t="s">
        <v>4305</v>
      </c>
      <c r="AK487" t="s">
        <v>126</v>
      </c>
      <c r="AL487" t="s">
        <v>127</v>
      </c>
      <c r="AN487" t="s">
        <v>4306</v>
      </c>
      <c r="AO487" t="s">
        <v>4307</v>
      </c>
      <c r="AP487" t="s">
        <v>3815</v>
      </c>
      <c r="AQ487" t="s">
        <v>131</v>
      </c>
      <c r="AR487" t="s">
        <v>403</v>
      </c>
      <c r="AS487" t="s">
        <v>4308</v>
      </c>
      <c r="AT487" t="s">
        <v>4309</v>
      </c>
      <c r="AV487" t="s">
        <v>219</v>
      </c>
      <c r="AX487" t="s">
        <v>155</v>
      </c>
      <c r="AY487" t="s">
        <v>272</v>
      </c>
      <c r="AZ487" t="s">
        <v>273</v>
      </c>
      <c r="BA487" t="s">
        <v>4310</v>
      </c>
      <c r="BC487" t="s">
        <v>140</v>
      </c>
      <c r="BT487" s="7">
        <f t="shared" si="43"/>
        <v>0</v>
      </c>
      <c r="BU487" s="6">
        <f t="shared" si="44"/>
        <v>0</v>
      </c>
      <c r="BV487" s="6">
        <f t="shared" si="45"/>
        <v>0</v>
      </c>
      <c r="BW487" s="6">
        <f t="shared" si="46"/>
        <v>0</v>
      </c>
      <c r="BX487" s="6">
        <f t="shared" si="47"/>
        <v>0</v>
      </c>
    </row>
    <row r="488" spans="1:76" x14ac:dyDescent="0.35">
      <c r="A488" t="s">
        <v>4299</v>
      </c>
      <c r="B488" t="s">
        <v>107</v>
      </c>
      <c r="C488" t="s">
        <v>107</v>
      </c>
      <c r="E488" t="s">
        <v>108</v>
      </c>
      <c r="F488" t="s">
        <v>158</v>
      </c>
      <c r="G488" t="s">
        <v>159</v>
      </c>
      <c r="H488" t="s">
        <v>111</v>
      </c>
      <c r="I488" t="s">
        <v>341</v>
      </c>
      <c r="J488" t="s">
        <v>113</v>
      </c>
      <c r="K488" s="8" t="s">
        <v>114</v>
      </c>
      <c r="L488" t="s">
        <v>161</v>
      </c>
      <c r="M488" s="6">
        <v>459</v>
      </c>
      <c r="N488" t="s">
        <v>114</v>
      </c>
      <c r="O488" s="6">
        <v>220</v>
      </c>
      <c r="P488" t="s">
        <v>1111</v>
      </c>
      <c r="Q488" s="6">
        <v>0</v>
      </c>
      <c r="R488" s="7">
        <f t="shared" si="42"/>
        <v>239</v>
      </c>
      <c r="S488" t="s">
        <v>180</v>
      </c>
      <c r="T488" t="s">
        <v>114</v>
      </c>
      <c r="U488" t="s">
        <v>180</v>
      </c>
      <c r="W488" t="s">
        <v>114</v>
      </c>
      <c r="X488" t="s">
        <v>1111</v>
      </c>
      <c r="Z488" t="s">
        <v>4300</v>
      </c>
      <c r="AA488" t="s">
        <v>4301</v>
      </c>
      <c r="AB488" s="1" t="s">
        <v>4302</v>
      </c>
      <c r="AC488" t="s">
        <v>4303</v>
      </c>
      <c r="AD488" t="s">
        <v>4304</v>
      </c>
      <c r="AH488" t="s">
        <v>123</v>
      </c>
      <c r="AI488" t="s">
        <v>124</v>
      </c>
      <c r="AJ488" t="s">
        <v>4305</v>
      </c>
      <c r="AK488" t="s">
        <v>126</v>
      </c>
      <c r="AL488" t="s">
        <v>127</v>
      </c>
      <c r="AN488" t="s">
        <v>4306</v>
      </c>
      <c r="AO488" t="s">
        <v>4307</v>
      </c>
      <c r="AP488" t="s">
        <v>3815</v>
      </c>
      <c r="AQ488" t="s">
        <v>131</v>
      </c>
      <c r="AR488" t="s">
        <v>403</v>
      </c>
      <c r="AS488" t="s">
        <v>4308</v>
      </c>
      <c r="AT488" t="s">
        <v>4309</v>
      </c>
      <c r="AV488" t="s">
        <v>219</v>
      </c>
      <c r="AX488" t="s">
        <v>155</v>
      </c>
      <c r="AY488" t="s">
        <v>177</v>
      </c>
      <c r="AZ488" t="s">
        <v>138</v>
      </c>
      <c r="BA488" t="s">
        <v>4310</v>
      </c>
      <c r="BC488" t="s">
        <v>140</v>
      </c>
      <c r="BT488" s="7">
        <f t="shared" si="43"/>
        <v>239</v>
      </c>
      <c r="BU488" s="6">
        <f t="shared" si="44"/>
        <v>223.36448598130841</v>
      </c>
      <c r="BV488" s="6">
        <f t="shared" si="45"/>
        <v>15.635514018691588</v>
      </c>
      <c r="BW488" s="6">
        <f t="shared" si="46"/>
        <v>239</v>
      </c>
      <c r="BX488" s="6">
        <f t="shared" si="47"/>
        <v>0</v>
      </c>
    </row>
    <row r="489" spans="1:76" x14ac:dyDescent="0.35">
      <c r="A489" t="s">
        <v>4311</v>
      </c>
      <c r="B489" t="s">
        <v>107</v>
      </c>
      <c r="C489" t="s">
        <v>107</v>
      </c>
      <c r="E489" t="s">
        <v>108</v>
      </c>
      <c r="F489" t="s">
        <v>158</v>
      </c>
      <c r="G489" t="s">
        <v>159</v>
      </c>
      <c r="H489" t="s">
        <v>111</v>
      </c>
      <c r="I489" t="s">
        <v>341</v>
      </c>
      <c r="J489" t="s">
        <v>113</v>
      </c>
      <c r="K489" s="8" t="s">
        <v>114</v>
      </c>
      <c r="L489" t="s">
        <v>161</v>
      </c>
      <c r="M489" s="6">
        <v>459</v>
      </c>
      <c r="N489" t="s">
        <v>436</v>
      </c>
      <c r="O489" s="6">
        <v>220</v>
      </c>
      <c r="P489" t="s">
        <v>1876</v>
      </c>
      <c r="Q489" s="6">
        <v>0</v>
      </c>
      <c r="R489" s="7">
        <f t="shared" si="42"/>
        <v>239</v>
      </c>
      <c r="S489" t="s">
        <v>180</v>
      </c>
      <c r="T489" t="s">
        <v>114</v>
      </c>
      <c r="U489" t="s">
        <v>180</v>
      </c>
      <c r="W489" t="s">
        <v>114</v>
      </c>
      <c r="X489" t="s">
        <v>1876</v>
      </c>
      <c r="Z489" t="s">
        <v>4312</v>
      </c>
      <c r="AA489" t="s">
        <v>4313</v>
      </c>
      <c r="AB489" s="1" t="s">
        <v>4314</v>
      </c>
      <c r="AC489" t="s">
        <v>4315</v>
      </c>
      <c r="AD489" t="s">
        <v>4316</v>
      </c>
      <c r="AH489" t="s">
        <v>123</v>
      </c>
      <c r="AI489" t="s">
        <v>124</v>
      </c>
      <c r="AJ489" t="s">
        <v>4317</v>
      </c>
      <c r="AK489" t="s">
        <v>126</v>
      </c>
      <c r="AL489" t="s">
        <v>127</v>
      </c>
      <c r="AN489" t="s">
        <v>4318</v>
      </c>
      <c r="AO489" t="s">
        <v>4319</v>
      </c>
      <c r="AP489" t="s">
        <v>4320</v>
      </c>
      <c r="AQ489" t="s">
        <v>131</v>
      </c>
      <c r="AR489" t="s">
        <v>132</v>
      </c>
      <c r="AS489" t="s">
        <v>432</v>
      </c>
      <c r="AT489" t="s">
        <v>2862</v>
      </c>
      <c r="AV489" t="s">
        <v>690</v>
      </c>
      <c r="AX489" t="s">
        <v>155</v>
      </c>
      <c r="AY489" t="s">
        <v>177</v>
      </c>
      <c r="AZ489" t="s">
        <v>138</v>
      </c>
      <c r="BA489" t="s">
        <v>4321</v>
      </c>
      <c r="BC489" t="s">
        <v>140</v>
      </c>
      <c r="BT489" s="7">
        <f t="shared" si="43"/>
        <v>239</v>
      </c>
      <c r="BU489" s="6">
        <f t="shared" si="44"/>
        <v>223.36448598130841</v>
      </c>
      <c r="BV489" s="6">
        <f t="shared" si="45"/>
        <v>15.635514018691588</v>
      </c>
      <c r="BW489" s="6">
        <f t="shared" si="46"/>
        <v>239</v>
      </c>
      <c r="BX489" s="6">
        <f t="shared" si="47"/>
        <v>0</v>
      </c>
    </row>
    <row r="490" spans="1:76" x14ac:dyDescent="0.35">
      <c r="A490" t="s">
        <v>4311</v>
      </c>
      <c r="B490" t="s">
        <v>107</v>
      </c>
      <c r="C490" t="s">
        <v>107</v>
      </c>
      <c r="E490" t="s">
        <v>108</v>
      </c>
      <c r="F490" t="s">
        <v>268</v>
      </c>
      <c r="G490" t="s">
        <v>269</v>
      </c>
      <c r="H490" t="s">
        <v>2268</v>
      </c>
      <c r="I490" t="s">
        <v>271</v>
      </c>
      <c r="J490" t="s">
        <v>113</v>
      </c>
      <c r="K490" s="8" t="s">
        <v>114</v>
      </c>
      <c r="L490" t="s">
        <v>114</v>
      </c>
      <c r="M490" s="6">
        <v>0</v>
      </c>
      <c r="N490" t="s">
        <v>114</v>
      </c>
      <c r="O490" s="6">
        <v>0</v>
      </c>
      <c r="P490" t="s">
        <v>114</v>
      </c>
      <c r="Q490" s="6">
        <v>0</v>
      </c>
      <c r="R490" s="7">
        <f t="shared" si="42"/>
        <v>0</v>
      </c>
      <c r="S490" t="s">
        <v>180</v>
      </c>
      <c r="T490" t="s">
        <v>114</v>
      </c>
      <c r="U490" t="s">
        <v>180</v>
      </c>
      <c r="W490" t="s">
        <v>114</v>
      </c>
      <c r="X490" t="s">
        <v>1876</v>
      </c>
      <c r="Z490" t="s">
        <v>4312</v>
      </c>
      <c r="AA490" t="s">
        <v>4313</v>
      </c>
      <c r="AB490" s="1" t="s">
        <v>4314</v>
      </c>
      <c r="AC490" t="s">
        <v>4315</v>
      </c>
      <c r="AD490" t="s">
        <v>4316</v>
      </c>
      <c r="AH490" t="s">
        <v>123</v>
      </c>
      <c r="AI490" t="s">
        <v>124</v>
      </c>
      <c r="AJ490" t="s">
        <v>4317</v>
      </c>
      <c r="AK490" t="s">
        <v>126</v>
      </c>
      <c r="AL490" t="s">
        <v>127</v>
      </c>
      <c r="AN490" t="s">
        <v>4318</v>
      </c>
      <c r="AO490" t="s">
        <v>4319</v>
      </c>
      <c r="AP490" t="s">
        <v>4320</v>
      </c>
      <c r="AQ490" t="s">
        <v>131</v>
      </c>
      <c r="AR490" t="s">
        <v>132</v>
      </c>
      <c r="AS490" t="s">
        <v>432</v>
      </c>
      <c r="AT490" t="s">
        <v>2862</v>
      </c>
      <c r="AV490" t="s">
        <v>690</v>
      </c>
      <c r="AX490" t="s">
        <v>155</v>
      </c>
      <c r="AY490" t="s">
        <v>272</v>
      </c>
      <c r="AZ490" t="s">
        <v>273</v>
      </c>
      <c r="BA490" t="s">
        <v>4321</v>
      </c>
      <c r="BC490" t="s">
        <v>140</v>
      </c>
      <c r="BT490" s="7">
        <f t="shared" si="43"/>
        <v>0</v>
      </c>
      <c r="BU490" s="6">
        <f t="shared" si="44"/>
        <v>0</v>
      </c>
      <c r="BV490" s="6">
        <f t="shared" si="45"/>
        <v>0</v>
      </c>
      <c r="BW490" s="6">
        <f t="shared" si="46"/>
        <v>0</v>
      </c>
      <c r="BX490" s="6">
        <f t="shared" si="47"/>
        <v>0</v>
      </c>
    </row>
    <row r="491" spans="1:76" x14ac:dyDescent="0.35">
      <c r="A491" t="s">
        <v>4322</v>
      </c>
      <c r="B491" t="s">
        <v>107</v>
      </c>
      <c r="C491" t="s">
        <v>107</v>
      </c>
      <c r="E491" t="s">
        <v>108</v>
      </c>
      <c r="F491" t="s">
        <v>158</v>
      </c>
      <c r="G491" t="s">
        <v>159</v>
      </c>
      <c r="H491" t="s">
        <v>111</v>
      </c>
      <c r="I491" t="s">
        <v>341</v>
      </c>
      <c r="J491" t="s">
        <v>113</v>
      </c>
      <c r="K491" s="8" t="s">
        <v>114</v>
      </c>
      <c r="L491" t="s">
        <v>161</v>
      </c>
      <c r="M491" s="6">
        <v>459</v>
      </c>
      <c r="N491" t="s">
        <v>4323</v>
      </c>
      <c r="O491" s="6">
        <v>220</v>
      </c>
      <c r="P491" t="s">
        <v>4324</v>
      </c>
      <c r="Q491" s="6">
        <v>0</v>
      </c>
      <c r="R491" s="7">
        <f t="shared" si="42"/>
        <v>239</v>
      </c>
      <c r="S491" t="s">
        <v>180</v>
      </c>
      <c r="T491" t="s">
        <v>114</v>
      </c>
      <c r="U491" t="s">
        <v>180</v>
      </c>
      <c r="W491" t="s">
        <v>114</v>
      </c>
      <c r="X491" t="s">
        <v>4324</v>
      </c>
      <c r="Z491" t="s">
        <v>4325</v>
      </c>
      <c r="AA491" t="s">
        <v>4326</v>
      </c>
      <c r="AB491" s="1" t="s">
        <v>4271</v>
      </c>
      <c r="AC491" t="s">
        <v>4327</v>
      </c>
      <c r="AD491" t="s">
        <v>4326</v>
      </c>
      <c r="AH491" t="s">
        <v>123</v>
      </c>
      <c r="AI491" t="s">
        <v>124</v>
      </c>
      <c r="AJ491" t="s">
        <v>4328</v>
      </c>
      <c r="AK491" t="s">
        <v>126</v>
      </c>
      <c r="AL491" t="s">
        <v>127</v>
      </c>
      <c r="AN491" t="s">
        <v>4329</v>
      </c>
      <c r="AO491" t="s">
        <v>4330</v>
      </c>
      <c r="AP491" t="s">
        <v>4331</v>
      </c>
      <c r="AQ491" t="s">
        <v>131</v>
      </c>
      <c r="AR491" t="s">
        <v>132</v>
      </c>
      <c r="AS491" t="s">
        <v>352</v>
      </c>
      <c r="AT491" t="s">
        <v>667</v>
      </c>
      <c r="AV491" t="s">
        <v>798</v>
      </c>
      <c r="AW491" t="s">
        <v>669</v>
      </c>
      <c r="AX491" t="s">
        <v>136</v>
      </c>
      <c r="AY491" t="s">
        <v>177</v>
      </c>
      <c r="AZ491" t="s">
        <v>138</v>
      </c>
      <c r="BA491" t="s">
        <v>4332</v>
      </c>
      <c r="BC491" t="s">
        <v>140</v>
      </c>
      <c r="BT491" s="7">
        <f t="shared" si="43"/>
        <v>239</v>
      </c>
      <c r="BU491" s="6">
        <f t="shared" si="44"/>
        <v>223.36448598130841</v>
      </c>
      <c r="BV491" s="6">
        <f t="shared" si="45"/>
        <v>15.635514018691588</v>
      </c>
      <c r="BW491" s="6">
        <f t="shared" si="46"/>
        <v>239</v>
      </c>
      <c r="BX491" s="6">
        <f t="shared" si="47"/>
        <v>0</v>
      </c>
    </row>
    <row r="492" spans="1:76" x14ac:dyDescent="0.35">
      <c r="A492" t="s">
        <v>4322</v>
      </c>
      <c r="B492" t="s">
        <v>107</v>
      </c>
      <c r="C492" t="s">
        <v>107</v>
      </c>
      <c r="E492" t="s">
        <v>108</v>
      </c>
      <c r="F492" t="s">
        <v>268</v>
      </c>
      <c r="G492" t="s">
        <v>269</v>
      </c>
      <c r="H492" t="s">
        <v>2268</v>
      </c>
      <c r="I492" t="s">
        <v>271</v>
      </c>
      <c r="J492" t="s">
        <v>113</v>
      </c>
      <c r="K492" s="8" t="s">
        <v>114</v>
      </c>
      <c r="L492" t="s">
        <v>114</v>
      </c>
      <c r="M492" s="6">
        <v>0</v>
      </c>
      <c r="N492" t="s">
        <v>114</v>
      </c>
      <c r="O492" s="6">
        <v>0</v>
      </c>
      <c r="P492" t="s">
        <v>114</v>
      </c>
      <c r="Q492" s="6">
        <v>0</v>
      </c>
      <c r="R492" s="7">
        <f t="shared" si="42"/>
        <v>0</v>
      </c>
      <c r="S492" t="s">
        <v>180</v>
      </c>
      <c r="T492" t="s">
        <v>114</v>
      </c>
      <c r="U492" t="s">
        <v>180</v>
      </c>
      <c r="W492" t="s">
        <v>114</v>
      </c>
      <c r="X492" t="s">
        <v>4324</v>
      </c>
      <c r="Z492" t="s">
        <v>4325</v>
      </c>
      <c r="AA492" t="s">
        <v>4326</v>
      </c>
      <c r="AB492" s="1" t="s">
        <v>4271</v>
      </c>
      <c r="AC492" t="s">
        <v>4327</v>
      </c>
      <c r="AD492" t="s">
        <v>4326</v>
      </c>
      <c r="AH492" t="s">
        <v>123</v>
      </c>
      <c r="AI492" t="s">
        <v>124</v>
      </c>
      <c r="AJ492" t="s">
        <v>4328</v>
      </c>
      <c r="AK492" t="s">
        <v>126</v>
      </c>
      <c r="AL492" t="s">
        <v>127</v>
      </c>
      <c r="AN492" t="s">
        <v>4329</v>
      </c>
      <c r="AO492" t="s">
        <v>4330</v>
      </c>
      <c r="AP492" t="s">
        <v>4331</v>
      </c>
      <c r="AQ492" t="s">
        <v>131</v>
      </c>
      <c r="AR492" t="s">
        <v>132</v>
      </c>
      <c r="AS492" t="s">
        <v>352</v>
      </c>
      <c r="AT492" t="s">
        <v>667</v>
      </c>
      <c r="AV492" t="s">
        <v>798</v>
      </c>
      <c r="AW492" t="s">
        <v>669</v>
      </c>
      <c r="AX492" t="s">
        <v>136</v>
      </c>
      <c r="AY492" t="s">
        <v>272</v>
      </c>
      <c r="AZ492" t="s">
        <v>273</v>
      </c>
      <c r="BA492" t="s">
        <v>4332</v>
      </c>
      <c r="BC492" t="s">
        <v>140</v>
      </c>
      <c r="BT492" s="7">
        <f t="shared" si="43"/>
        <v>0</v>
      </c>
      <c r="BU492" s="6">
        <f t="shared" si="44"/>
        <v>0</v>
      </c>
      <c r="BV492" s="6">
        <f t="shared" si="45"/>
        <v>0</v>
      </c>
      <c r="BW492" s="6">
        <f t="shared" si="46"/>
        <v>0</v>
      </c>
      <c r="BX492" s="6">
        <f t="shared" si="47"/>
        <v>0</v>
      </c>
    </row>
    <row r="493" spans="1:76" x14ac:dyDescent="0.35">
      <c r="A493" t="s">
        <v>4333</v>
      </c>
      <c r="B493" t="s">
        <v>107</v>
      </c>
      <c r="C493" t="s">
        <v>107</v>
      </c>
      <c r="E493" t="s">
        <v>108</v>
      </c>
      <c r="F493" t="s">
        <v>158</v>
      </c>
      <c r="G493" t="s">
        <v>159</v>
      </c>
      <c r="H493" t="s">
        <v>111</v>
      </c>
      <c r="I493" t="s">
        <v>341</v>
      </c>
      <c r="J493" t="s">
        <v>113</v>
      </c>
      <c r="K493" s="8" t="s">
        <v>114</v>
      </c>
      <c r="L493" t="s">
        <v>161</v>
      </c>
      <c r="M493" s="6">
        <v>459</v>
      </c>
      <c r="N493" t="s">
        <v>762</v>
      </c>
      <c r="O493" s="6">
        <v>220</v>
      </c>
      <c r="P493" t="s">
        <v>1575</v>
      </c>
      <c r="Q493" s="6">
        <v>0</v>
      </c>
      <c r="R493" s="7">
        <f t="shared" si="42"/>
        <v>239</v>
      </c>
      <c r="S493" t="s">
        <v>142</v>
      </c>
      <c r="T493" t="s">
        <v>114</v>
      </c>
      <c r="U493" t="s">
        <v>142</v>
      </c>
      <c r="W493" t="s">
        <v>114</v>
      </c>
      <c r="X493" t="s">
        <v>1575</v>
      </c>
      <c r="Z493" t="s">
        <v>4334</v>
      </c>
      <c r="AA493" t="s">
        <v>4335</v>
      </c>
      <c r="AB493" s="1" t="s">
        <v>4336</v>
      </c>
      <c r="AC493" t="s">
        <v>4337</v>
      </c>
      <c r="AD493" t="s">
        <v>4335</v>
      </c>
      <c r="AH493" t="s">
        <v>123</v>
      </c>
      <c r="AI493" t="s">
        <v>124</v>
      </c>
      <c r="AJ493" t="s">
        <v>4338</v>
      </c>
      <c r="AK493" t="s">
        <v>126</v>
      </c>
      <c r="AL493" t="s">
        <v>127</v>
      </c>
      <c r="AN493" t="s">
        <v>4339</v>
      </c>
      <c r="AO493" t="s">
        <v>4340</v>
      </c>
      <c r="AP493" t="s">
        <v>4341</v>
      </c>
      <c r="AQ493" t="s">
        <v>131</v>
      </c>
      <c r="AR493" t="s">
        <v>403</v>
      </c>
      <c r="AS493" t="s">
        <v>1440</v>
      </c>
      <c r="AT493" t="s">
        <v>4342</v>
      </c>
      <c r="AV493" t="s">
        <v>406</v>
      </c>
      <c r="AW493" t="s">
        <v>190</v>
      </c>
      <c r="AX493" t="s">
        <v>136</v>
      </c>
      <c r="AY493" t="s">
        <v>177</v>
      </c>
      <c r="AZ493" t="s">
        <v>138</v>
      </c>
      <c r="BA493" t="s">
        <v>4343</v>
      </c>
      <c r="BC493" t="s">
        <v>140</v>
      </c>
      <c r="BT493" s="7">
        <f t="shared" si="43"/>
        <v>239</v>
      </c>
      <c r="BU493" s="6">
        <f t="shared" si="44"/>
        <v>223.36448598130841</v>
      </c>
      <c r="BV493" s="6">
        <f t="shared" si="45"/>
        <v>15.635514018691588</v>
      </c>
      <c r="BW493" s="6">
        <f t="shared" si="46"/>
        <v>239</v>
      </c>
      <c r="BX493" s="6">
        <f t="shared" si="47"/>
        <v>0</v>
      </c>
    </row>
    <row r="494" spans="1:76" x14ac:dyDescent="0.35">
      <c r="A494" t="s">
        <v>4333</v>
      </c>
      <c r="B494" t="s">
        <v>107</v>
      </c>
      <c r="C494" t="s">
        <v>107</v>
      </c>
      <c r="E494" t="s">
        <v>108</v>
      </c>
      <c r="F494" t="s">
        <v>268</v>
      </c>
      <c r="G494" t="s">
        <v>269</v>
      </c>
      <c r="H494" t="s">
        <v>2268</v>
      </c>
      <c r="I494" t="s">
        <v>271</v>
      </c>
      <c r="J494" t="s">
        <v>113</v>
      </c>
      <c r="K494" s="8" t="s">
        <v>114</v>
      </c>
      <c r="L494" t="s">
        <v>114</v>
      </c>
      <c r="M494" s="6">
        <v>0</v>
      </c>
      <c r="N494" t="s">
        <v>114</v>
      </c>
      <c r="O494" s="6">
        <v>0</v>
      </c>
      <c r="P494" t="s">
        <v>114</v>
      </c>
      <c r="Q494" s="6">
        <v>0</v>
      </c>
      <c r="R494" s="7">
        <f t="shared" si="42"/>
        <v>0</v>
      </c>
      <c r="S494" t="s">
        <v>142</v>
      </c>
      <c r="T494" t="s">
        <v>114</v>
      </c>
      <c r="U494" t="s">
        <v>142</v>
      </c>
      <c r="W494" t="s">
        <v>114</v>
      </c>
      <c r="X494" t="s">
        <v>1575</v>
      </c>
      <c r="Z494" t="s">
        <v>4334</v>
      </c>
      <c r="AA494" t="s">
        <v>4335</v>
      </c>
      <c r="AB494" s="1" t="s">
        <v>4336</v>
      </c>
      <c r="AC494" t="s">
        <v>4337</v>
      </c>
      <c r="AD494" t="s">
        <v>4335</v>
      </c>
      <c r="AH494" t="s">
        <v>123</v>
      </c>
      <c r="AI494" t="s">
        <v>124</v>
      </c>
      <c r="AJ494" t="s">
        <v>4338</v>
      </c>
      <c r="AK494" t="s">
        <v>126</v>
      </c>
      <c r="AL494" t="s">
        <v>127</v>
      </c>
      <c r="AN494" t="s">
        <v>4339</v>
      </c>
      <c r="AO494" t="s">
        <v>4340</v>
      </c>
      <c r="AP494" t="s">
        <v>4341</v>
      </c>
      <c r="AQ494" t="s">
        <v>131</v>
      </c>
      <c r="AR494" t="s">
        <v>403</v>
      </c>
      <c r="AS494" t="s">
        <v>1440</v>
      </c>
      <c r="AT494" t="s">
        <v>4342</v>
      </c>
      <c r="AV494" t="s">
        <v>406</v>
      </c>
      <c r="AW494" t="s">
        <v>190</v>
      </c>
      <c r="AX494" t="s">
        <v>136</v>
      </c>
      <c r="AY494" t="s">
        <v>272</v>
      </c>
      <c r="AZ494" t="s">
        <v>273</v>
      </c>
      <c r="BA494" t="s">
        <v>4343</v>
      </c>
      <c r="BC494" t="s">
        <v>140</v>
      </c>
      <c r="BT494" s="7">
        <f t="shared" si="43"/>
        <v>0</v>
      </c>
      <c r="BU494" s="6">
        <f t="shared" si="44"/>
        <v>0</v>
      </c>
      <c r="BV494" s="6">
        <f t="shared" si="45"/>
        <v>0</v>
      </c>
      <c r="BW494" s="6">
        <f t="shared" si="46"/>
        <v>0</v>
      </c>
      <c r="BX494" s="6">
        <f t="shared" si="47"/>
        <v>0</v>
      </c>
    </row>
    <row r="495" spans="1:76" x14ac:dyDescent="0.35">
      <c r="A495" t="s">
        <v>4344</v>
      </c>
      <c r="B495" t="s">
        <v>107</v>
      </c>
      <c r="C495" t="s">
        <v>107</v>
      </c>
      <c r="E495" t="s">
        <v>108</v>
      </c>
      <c r="F495" t="s">
        <v>158</v>
      </c>
      <c r="G495" t="s">
        <v>159</v>
      </c>
      <c r="H495" t="s">
        <v>111</v>
      </c>
      <c r="I495" t="s">
        <v>341</v>
      </c>
      <c r="J495" t="s">
        <v>113</v>
      </c>
      <c r="K495" s="8" t="s">
        <v>114</v>
      </c>
      <c r="L495" t="s">
        <v>161</v>
      </c>
      <c r="M495" s="6">
        <v>459</v>
      </c>
      <c r="N495" t="s">
        <v>436</v>
      </c>
      <c r="O495" s="6">
        <v>220</v>
      </c>
      <c r="P495" t="s">
        <v>1876</v>
      </c>
      <c r="Q495" s="6">
        <v>0</v>
      </c>
      <c r="R495" s="7">
        <f t="shared" si="42"/>
        <v>239</v>
      </c>
      <c r="S495" t="s">
        <v>180</v>
      </c>
      <c r="T495" t="s">
        <v>114</v>
      </c>
      <c r="U495" t="s">
        <v>180</v>
      </c>
      <c r="W495" t="s">
        <v>114</v>
      </c>
      <c r="X495" t="s">
        <v>1876</v>
      </c>
      <c r="Z495" t="s">
        <v>4345</v>
      </c>
      <c r="AA495" t="s">
        <v>4346</v>
      </c>
      <c r="AB495" s="1" t="s">
        <v>4347</v>
      </c>
      <c r="AC495" t="s">
        <v>4348</v>
      </c>
      <c r="AD495" t="s">
        <v>4346</v>
      </c>
      <c r="AH495" t="s">
        <v>123</v>
      </c>
      <c r="AI495" t="s">
        <v>124</v>
      </c>
      <c r="AJ495" t="s">
        <v>4349</v>
      </c>
      <c r="AK495" t="s">
        <v>126</v>
      </c>
      <c r="AL495" t="s">
        <v>127</v>
      </c>
      <c r="AN495" t="s">
        <v>4350</v>
      </c>
      <c r="AO495" t="s">
        <v>4351</v>
      </c>
      <c r="AP495" t="s">
        <v>4352</v>
      </c>
      <c r="AQ495" t="s">
        <v>131</v>
      </c>
      <c r="AR495" t="s">
        <v>132</v>
      </c>
      <c r="AS495" t="s">
        <v>796</v>
      </c>
      <c r="AT495" t="s">
        <v>2224</v>
      </c>
      <c r="AV495" t="s">
        <v>516</v>
      </c>
      <c r="AX495" t="s">
        <v>136</v>
      </c>
      <c r="AY495" t="s">
        <v>177</v>
      </c>
      <c r="AZ495" t="s">
        <v>138</v>
      </c>
      <c r="BA495" t="s">
        <v>4353</v>
      </c>
      <c r="BC495" t="s">
        <v>140</v>
      </c>
      <c r="BT495" s="7">
        <f t="shared" si="43"/>
        <v>239</v>
      </c>
      <c r="BU495" s="6">
        <f t="shared" si="44"/>
        <v>223.36448598130841</v>
      </c>
      <c r="BV495" s="6">
        <f t="shared" si="45"/>
        <v>15.635514018691588</v>
      </c>
      <c r="BW495" s="6">
        <f t="shared" si="46"/>
        <v>239</v>
      </c>
      <c r="BX495" s="6">
        <f t="shared" si="47"/>
        <v>0</v>
      </c>
    </row>
    <row r="496" spans="1:76" x14ac:dyDescent="0.35">
      <c r="A496" t="s">
        <v>4344</v>
      </c>
      <c r="B496" t="s">
        <v>107</v>
      </c>
      <c r="C496" t="s">
        <v>107</v>
      </c>
      <c r="E496" t="s">
        <v>108</v>
      </c>
      <c r="F496" t="s">
        <v>268</v>
      </c>
      <c r="G496" t="s">
        <v>269</v>
      </c>
      <c r="H496" t="s">
        <v>2268</v>
      </c>
      <c r="I496" t="s">
        <v>271</v>
      </c>
      <c r="J496" t="s">
        <v>113</v>
      </c>
      <c r="K496" s="8" t="s">
        <v>114</v>
      </c>
      <c r="L496" t="s">
        <v>114</v>
      </c>
      <c r="M496" s="6">
        <v>0</v>
      </c>
      <c r="N496" t="s">
        <v>114</v>
      </c>
      <c r="O496" s="6">
        <v>0</v>
      </c>
      <c r="P496" t="s">
        <v>114</v>
      </c>
      <c r="Q496" s="6">
        <v>0</v>
      </c>
      <c r="R496" s="7">
        <f t="shared" si="42"/>
        <v>0</v>
      </c>
      <c r="S496" t="s">
        <v>180</v>
      </c>
      <c r="T496" t="s">
        <v>114</v>
      </c>
      <c r="U496" t="s">
        <v>180</v>
      </c>
      <c r="W496" t="s">
        <v>114</v>
      </c>
      <c r="X496" t="s">
        <v>1876</v>
      </c>
      <c r="Z496" t="s">
        <v>4345</v>
      </c>
      <c r="AA496" t="s">
        <v>4346</v>
      </c>
      <c r="AB496" s="1" t="s">
        <v>4347</v>
      </c>
      <c r="AC496" t="s">
        <v>4348</v>
      </c>
      <c r="AD496" t="s">
        <v>4346</v>
      </c>
      <c r="AH496" t="s">
        <v>123</v>
      </c>
      <c r="AI496" t="s">
        <v>124</v>
      </c>
      <c r="AJ496" t="s">
        <v>4349</v>
      </c>
      <c r="AK496" t="s">
        <v>126</v>
      </c>
      <c r="AL496" t="s">
        <v>127</v>
      </c>
      <c r="AN496" t="s">
        <v>4350</v>
      </c>
      <c r="AO496" t="s">
        <v>4351</v>
      </c>
      <c r="AP496" t="s">
        <v>4352</v>
      </c>
      <c r="AQ496" t="s">
        <v>131</v>
      </c>
      <c r="AR496" t="s">
        <v>132</v>
      </c>
      <c r="AS496" t="s">
        <v>796</v>
      </c>
      <c r="AT496" t="s">
        <v>2224</v>
      </c>
      <c r="AV496" t="s">
        <v>516</v>
      </c>
      <c r="AX496" t="s">
        <v>136</v>
      </c>
      <c r="AY496" t="s">
        <v>272</v>
      </c>
      <c r="AZ496" t="s">
        <v>273</v>
      </c>
      <c r="BA496" t="s">
        <v>4353</v>
      </c>
      <c r="BC496" t="s">
        <v>140</v>
      </c>
      <c r="BT496" s="7">
        <f t="shared" si="43"/>
        <v>0</v>
      </c>
      <c r="BU496" s="6">
        <f t="shared" si="44"/>
        <v>0</v>
      </c>
      <c r="BV496" s="6">
        <f t="shared" si="45"/>
        <v>0</v>
      </c>
      <c r="BW496" s="6">
        <f t="shared" si="46"/>
        <v>0</v>
      </c>
      <c r="BX496" s="6">
        <f t="shared" si="47"/>
        <v>0</v>
      </c>
    </row>
    <row r="497" spans="1:76" x14ac:dyDescent="0.35">
      <c r="A497" t="s">
        <v>4354</v>
      </c>
      <c r="B497" t="s">
        <v>107</v>
      </c>
      <c r="C497" t="s">
        <v>107</v>
      </c>
      <c r="E497" t="s">
        <v>108</v>
      </c>
      <c r="F497" t="s">
        <v>158</v>
      </c>
      <c r="G497" t="s">
        <v>159</v>
      </c>
      <c r="H497" t="s">
        <v>111</v>
      </c>
      <c r="I497" t="s">
        <v>341</v>
      </c>
      <c r="J497" t="s">
        <v>113</v>
      </c>
      <c r="K497" s="8" t="s">
        <v>114</v>
      </c>
      <c r="L497" t="s">
        <v>161</v>
      </c>
      <c r="M497" s="6">
        <v>459</v>
      </c>
      <c r="N497" t="s">
        <v>672</v>
      </c>
      <c r="O497" s="6">
        <v>220</v>
      </c>
      <c r="P497" t="s">
        <v>117</v>
      </c>
      <c r="Q497" s="6">
        <v>0</v>
      </c>
      <c r="R497" s="7">
        <f t="shared" si="42"/>
        <v>239</v>
      </c>
      <c r="S497" t="s">
        <v>180</v>
      </c>
      <c r="T497" t="s">
        <v>114</v>
      </c>
      <c r="U497" t="s">
        <v>180</v>
      </c>
      <c r="W497" t="s">
        <v>114</v>
      </c>
      <c r="X497" t="s">
        <v>117</v>
      </c>
      <c r="Z497" t="s">
        <v>4355</v>
      </c>
      <c r="AA497" t="s">
        <v>4356</v>
      </c>
      <c r="AB497" s="1" t="s">
        <v>4357</v>
      </c>
      <c r="AC497" t="s">
        <v>4358</v>
      </c>
      <c r="AD497" t="s">
        <v>4356</v>
      </c>
      <c r="AH497" t="s">
        <v>123</v>
      </c>
      <c r="AI497" t="s">
        <v>124</v>
      </c>
      <c r="AJ497" t="s">
        <v>4359</v>
      </c>
      <c r="AK497" t="s">
        <v>126</v>
      </c>
      <c r="AL497" t="s">
        <v>127</v>
      </c>
      <c r="AN497" t="s">
        <v>4360</v>
      </c>
      <c r="AO497" t="s">
        <v>4361</v>
      </c>
      <c r="AP497" t="s">
        <v>4362</v>
      </c>
      <c r="AQ497" t="s">
        <v>131</v>
      </c>
      <c r="AR497" t="s">
        <v>403</v>
      </c>
      <c r="AS497" t="s">
        <v>1335</v>
      </c>
      <c r="AT497" t="s">
        <v>4363</v>
      </c>
      <c r="AV497" t="s">
        <v>375</v>
      </c>
      <c r="AW497" t="s">
        <v>190</v>
      </c>
      <c r="AX497" t="s">
        <v>136</v>
      </c>
      <c r="AY497" t="s">
        <v>177</v>
      </c>
      <c r="AZ497" t="s">
        <v>138</v>
      </c>
      <c r="BA497" t="s">
        <v>4364</v>
      </c>
      <c r="BC497" t="s">
        <v>140</v>
      </c>
      <c r="BT497" s="7">
        <f t="shared" si="43"/>
        <v>239</v>
      </c>
      <c r="BU497" s="6">
        <f t="shared" si="44"/>
        <v>223.36448598130841</v>
      </c>
      <c r="BV497" s="6">
        <f t="shared" si="45"/>
        <v>15.635514018691588</v>
      </c>
      <c r="BW497" s="6">
        <f t="shared" si="46"/>
        <v>239</v>
      </c>
      <c r="BX497" s="6">
        <f t="shared" si="47"/>
        <v>0</v>
      </c>
    </row>
    <row r="498" spans="1:76" x14ac:dyDescent="0.35">
      <c r="A498" t="s">
        <v>4354</v>
      </c>
      <c r="B498" t="s">
        <v>107</v>
      </c>
      <c r="C498" t="s">
        <v>107</v>
      </c>
      <c r="E498" t="s">
        <v>108</v>
      </c>
      <c r="F498" t="s">
        <v>268</v>
      </c>
      <c r="G498" t="s">
        <v>269</v>
      </c>
      <c r="H498" t="s">
        <v>2268</v>
      </c>
      <c r="I498" t="s">
        <v>271</v>
      </c>
      <c r="J498" t="s">
        <v>113</v>
      </c>
      <c r="K498" s="8" t="s">
        <v>114</v>
      </c>
      <c r="L498" t="s">
        <v>114</v>
      </c>
      <c r="M498" s="6">
        <v>0</v>
      </c>
      <c r="N498" t="s">
        <v>114</v>
      </c>
      <c r="O498" s="6">
        <v>0</v>
      </c>
      <c r="P498" t="s">
        <v>114</v>
      </c>
      <c r="Q498" s="6">
        <v>0</v>
      </c>
      <c r="R498" s="7">
        <f t="shared" si="42"/>
        <v>0</v>
      </c>
      <c r="S498" t="s">
        <v>180</v>
      </c>
      <c r="T498" t="s">
        <v>114</v>
      </c>
      <c r="U498" t="s">
        <v>180</v>
      </c>
      <c r="W498" t="s">
        <v>114</v>
      </c>
      <c r="X498" t="s">
        <v>117</v>
      </c>
      <c r="Z498" t="s">
        <v>4355</v>
      </c>
      <c r="AA498" t="s">
        <v>4356</v>
      </c>
      <c r="AB498" s="1" t="s">
        <v>4357</v>
      </c>
      <c r="AC498" t="s">
        <v>4358</v>
      </c>
      <c r="AD498" t="s">
        <v>4356</v>
      </c>
      <c r="AH498" t="s">
        <v>123</v>
      </c>
      <c r="AI498" t="s">
        <v>124</v>
      </c>
      <c r="AJ498" t="s">
        <v>4359</v>
      </c>
      <c r="AK498" t="s">
        <v>126</v>
      </c>
      <c r="AL498" t="s">
        <v>127</v>
      </c>
      <c r="AN498" t="s">
        <v>4360</v>
      </c>
      <c r="AO498" t="s">
        <v>4361</v>
      </c>
      <c r="AP498" t="s">
        <v>4362</v>
      </c>
      <c r="AQ498" t="s">
        <v>131</v>
      </c>
      <c r="AR498" t="s">
        <v>403</v>
      </c>
      <c r="AS498" t="s">
        <v>1335</v>
      </c>
      <c r="AT498" t="s">
        <v>4363</v>
      </c>
      <c r="AV498" t="s">
        <v>375</v>
      </c>
      <c r="AW498" t="s">
        <v>190</v>
      </c>
      <c r="AX498" t="s">
        <v>136</v>
      </c>
      <c r="AY498" t="s">
        <v>272</v>
      </c>
      <c r="AZ498" t="s">
        <v>273</v>
      </c>
      <c r="BA498" t="s">
        <v>4364</v>
      </c>
      <c r="BC498" t="s">
        <v>140</v>
      </c>
      <c r="BT498" s="7">
        <f t="shared" si="43"/>
        <v>0</v>
      </c>
      <c r="BU498" s="6">
        <f t="shared" si="44"/>
        <v>0</v>
      </c>
      <c r="BV498" s="6">
        <f t="shared" si="45"/>
        <v>0</v>
      </c>
      <c r="BW498" s="6">
        <f t="shared" si="46"/>
        <v>0</v>
      </c>
      <c r="BX498" s="6">
        <f t="shared" si="47"/>
        <v>0</v>
      </c>
    </row>
    <row r="499" spans="1:76" x14ac:dyDescent="0.35">
      <c r="A499" t="s">
        <v>4365</v>
      </c>
      <c r="B499" t="s">
        <v>107</v>
      </c>
      <c r="C499" t="s">
        <v>107</v>
      </c>
      <c r="E499" t="s">
        <v>108</v>
      </c>
      <c r="F499" t="s">
        <v>158</v>
      </c>
      <c r="G499" t="s">
        <v>159</v>
      </c>
      <c r="H499" t="s">
        <v>111</v>
      </c>
      <c r="I499" t="s">
        <v>341</v>
      </c>
      <c r="J499" t="s">
        <v>113</v>
      </c>
      <c r="K499" s="8" t="s">
        <v>114</v>
      </c>
      <c r="L499" t="s">
        <v>161</v>
      </c>
      <c r="M499" s="6">
        <v>459</v>
      </c>
      <c r="N499" t="s">
        <v>672</v>
      </c>
      <c r="O499" s="6">
        <v>220</v>
      </c>
      <c r="P499" t="s">
        <v>117</v>
      </c>
      <c r="Q499" s="6">
        <v>0</v>
      </c>
      <c r="R499" s="7">
        <f t="shared" si="42"/>
        <v>239</v>
      </c>
      <c r="S499" t="s">
        <v>142</v>
      </c>
      <c r="T499" t="s">
        <v>114</v>
      </c>
      <c r="U499" t="s">
        <v>142</v>
      </c>
      <c r="W499" t="s">
        <v>114</v>
      </c>
      <c r="X499" t="s">
        <v>117</v>
      </c>
      <c r="Z499" t="s">
        <v>4366</v>
      </c>
      <c r="AA499" t="s">
        <v>4367</v>
      </c>
      <c r="AB499" s="1" t="s">
        <v>4249</v>
      </c>
      <c r="AC499" t="s">
        <v>4368</v>
      </c>
      <c r="AD499" t="s">
        <v>4367</v>
      </c>
      <c r="AH499" t="s">
        <v>123</v>
      </c>
      <c r="AI499" t="s">
        <v>124</v>
      </c>
      <c r="AJ499" t="s">
        <v>4369</v>
      </c>
      <c r="AK499" t="s">
        <v>126</v>
      </c>
      <c r="AL499" t="s">
        <v>127</v>
      </c>
      <c r="AN499" t="s">
        <v>4370</v>
      </c>
      <c r="AO499" t="s">
        <v>4371</v>
      </c>
      <c r="AP499" t="s">
        <v>4372</v>
      </c>
      <c r="AQ499" t="s">
        <v>131</v>
      </c>
      <c r="AR499" t="s">
        <v>132</v>
      </c>
      <c r="AS499" t="s">
        <v>720</v>
      </c>
      <c r="AT499" t="s">
        <v>2345</v>
      </c>
      <c r="AV499" t="s">
        <v>4373</v>
      </c>
      <c r="AX499" t="s">
        <v>136</v>
      </c>
      <c r="AY499" t="s">
        <v>177</v>
      </c>
      <c r="AZ499" t="s">
        <v>138</v>
      </c>
      <c r="BA499" t="s">
        <v>4374</v>
      </c>
      <c r="BC499" t="s">
        <v>140</v>
      </c>
      <c r="BT499" s="7">
        <f t="shared" si="43"/>
        <v>239</v>
      </c>
      <c r="BU499" s="6">
        <f t="shared" si="44"/>
        <v>223.36448598130841</v>
      </c>
      <c r="BV499" s="6">
        <f t="shared" si="45"/>
        <v>15.635514018691588</v>
      </c>
      <c r="BW499" s="6">
        <f t="shared" si="46"/>
        <v>239</v>
      </c>
      <c r="BX499" s="6">
        <f t="shared" si="47"/>
        <v>0</v>
      </c>
    </row>
    <row r="500" spans="1:76" x14ac:dyDescent="0.35">
      <c r="A500" t="s">
        <v>4365</v>
      </c>
      <c r="B500" t="s">
        <v>107</v>
      </c>
      <c r="C500" t="s">
        <v>107</v>
      </c>
      <c r="E500" t="s">
        <v>108</v>
      </c>
      <c r="F500" t="s">
        <v>268</v>
      </c>
      <c r="G500" t="s">
        <v>269</v>
      </c>
      <c r="H500" t="s">
        <v>2268</v>
      </c>
      <c r="I500" t="s">
        <v>271</v>
      </c>
      <c r="J500" t="s">
        <v>113</v>
      </c>
      <c r="K500" s="8" t="s">
        <v>114</v>
      </c>
      <c r="L500" t="s">
        <v>114</v>
      </c>
      <c r="M500" s="6">
        <v>0</v>
      </c>
      <c r="N500" t="s">
        <v>114</v>
      </c>
      <c r="O500" s="6">
        <v>0</v>
      </c>
      <c r="P500" t="s">
        <v>114</v>
      </c>
      <c r="Q500" s="6">
        <v>0</v>
      </c>
      <c r="R500" s="7">
        <f t="shared" si="42"/>
        <v>0</v>
      </c>
      <c r="S500" t="s">
        <v>142</v>
      </c>
      <c r="T500" t="s">
        <v>114</v>
      </c>
      <c r="U500" t="s">
        <v>142</v>
      </c>
      <c r="W500" t="s">
        <v>114</v>
      </c>
      <c r="X500" t="s">
        <v>117</v>
      </c>
      <c r="Z500" t="s">
        <v>4366</v>
      </c>
      <c r="AA500" t="s">
        <v>4367</v>
      </c>
      <c r="AB500" s="1" t="s">
        <v>4249</v>
      </c>
      <c r="AC500" t="s">
        <v>4368</v>
      </c>
      <c r="AD500" t="s">
        <v>4367</v>
      </c>
      <c r="AH500" t="s">
        <v>123</v>
      </c>
      <c r="AI500" t="s">
        <v>124</v>
      </c>
      <c r="AJ500" t="s">
        <v>4369</v>
      </c>
      <c r="AK500" t="s">
        <v>126</v>
      </c>
      <c r="AL500" t="s">
        <v>127</v>
      </c>
      <c r="AN500" t="s">
        <v>4370</v>
      </c>
      <c r="AO500" t="s">
        <v>4371</v>
      </c>
      <c r="AP500" t="s">
        <v>4372</v>
      </c>
      <c r="AQ500" t="s">
        <v>131</v>
      </c>
      <c r="AR500" t="s">
        <v>132</v>
      </c>
      <c r="AS500" t="s">
        <v>720</v>
      </c>
      <c r="AT500" t="s">
        <v>2345</v>
      </c>
      <c r="AV500" t="s">
        <v>4373</v>
      </c>
      <c r="AX500" t="s">
        <v>136</v>
      </c>
      <c r="AY500" t="s">
        <v>272</v>
      </c>
      <c r="AZ500" t="s">
        <v>273</v>
      </c>
      <c r="BA500" t="s">
        <v>4374</v>
      </c>
      <c r="BC500" t="s">
        <v>140</v>
      </c>
      <c r="BT500" s="7">
        <f t="shared" si="43"/>
        <v>0</v>
      </c>
      <c r="BU500" s="6">
        <f t="shared" si="44"/>
        <v>0</v>
      </c>
      <c r="BV500" s="6">
        <f t="shared" si="45"/>
        <v>0</v>
      </c>
      <c r="BW500" s="6">
        <f t="shared" si="46"/>
        <v>0</v>
      </c>
      <c r="BX500" s="6">
        <f t="shared" si="47"/>
        <v>0</v>
      </c>
    </row>
    <row r="501" spans="1:76" x14ac:dyDescent="0.35">
      <c r="A501" t="s">
        <v>4375</v>
      </c>
      <c r="B501" t="s">
        <v>107</v>
      </c>
      <c r="C501" t="s">
        <v>107</v>
      </c>
      <c r="F501" t="s">
        <v>358</v>
      </c>
      <c r="G501" t="s">
        <v>359</v>
      </c>
      <c r="H501" t="s">
        <v>360</v>
      </c>
      <c r="I501" t="s">
        <v>341</v>
      </c>
      <c r="J501" t="s">
        <v>113</v>
      </c>
      <c r="K501" s="8" t="s">
        <v>114</v>
      </c>
      <c r="L501" t="s">
        <v>114</v>
      </c>
      <c r="M501" s="6">
        <v>0</v>
      </c>
      <c r="N501" t="s">
        <v>114</v>
      </c>
      <c r="O501" s="6">
        <v>0</v>
      </c>
      <c r="P501" t="s">
        <v>114</v>
      </c>
      <c r="Q501" s="6">
        <v>0</v>
      </c>
      <c r="R501" s="7">
        <f t="shared" si="42"/>
        <v>0</v>
      </c>
      <c r="S501" t="s">
        <v>114</v>
      </c>
      <c r="T501" t="s">
        <v>114</v>
      </c>
      <c r="U501" t="s">
        <v>114</v>
      </c>
      <c r="W501" t="s">
        <v>114</v>
      </c>
      <c r="X501" t="s">
        <v>114</v>
      </c>
      <c r="Z501" t="s">
        <v>4376</v>
      </c>
      <c r="AA501" t="s">
        <v>4376</v>
      </c>
      <c r="AB501" s="1" t="s">
        <v>4249</v>
      </c>
      <c r="AC501" t="s">
        <v>4377</v>
      </c>
      <c r="AD501" t="s">
        <v>4378</v>
      </c>
      <c r="AH501" t="s">
        <v>123</v>
      </c>
      <c r="AI501" t="s">
        <v>124</v>
      </c>
      <c r="AJ501" t="s">
        <v>4379</v>
      </c>
      <c r="AK501" t="s">
        <v>126</v>
      </c>
      <c r="AL501" t="s">
        <v>127</v>
      </c>
      <c r="AN501" t="s">
        <v>4380</v>
      </c>
      <c r="AO501" t="s">
        <v>4381</v>
      </c>
      <c r="AP501" t="s">
        <v>4382</v>
      </c>
      <c r="AQ501" t="s">
        <v>131</v>
      </c>
      <c r="AR501" t="s">
        <v>132</v>
      </c>
      <c r="AS501" t="s">
        <v>466</v>
      </c>
      <c r="AT501" t="s">
        <v>467</v>
      </c>
      <c r="AV501" t="s">
        <v>355</v>
      </c>
      <c r="AW501" t="s">
        <v>668</v>
      </c>
      <c r="AY501" t="s">
        <v>177</v>
      </c>
      <c r="AZ501" t="s">
        <v>364</v>
      </c>
      <c r="BA501" t="s">
        <v>4383</v>
      </c>
      <c r="BC501" t="s">
        <v>140</v>
      </c>
      <c r="BT501" s="7">
        <f t="shared" si="43"/>
        <v>0</v>
      </c>
      <c r="BU501" s="6">
        <f t="shared" si="44"/>
        <v>0</v>
      </c>
      <c r="BV501" s="6">
        <f t="shared" si="45"/>
        <v>0</v>
      </c>
      <c r="BW501" s="6">
        <f t="shared" si="46"/>
        <v>0</v>
      </c>
      <c r="BX501" s="6">
        <f t="shared" si="47"/>
        <v>0</v>
      </c>
    </row>
    <row r="502" spans="1:76" x14ac:dyDescent="0.35">
      <c r="A502" t="s">
        <v>4384</v>
      </c>
      <c r="B502" t="s">
        <v>107</v>
      </c>
      <c r="C502" t="s">
        <v>107</v>
      </c>
      <c r="F502" t="s">
        <v>613</v>
      </c>
      <c r="G502" t="s">
        <v>614</v>
      </c>
      <c r="H502" t="s">
        <v>615</v>
      </c>
      <c r="I502" t="s">
        <v>271</v>
      </c>
      <c r="J502" t="s">
        <v>113</v>
      </c>
      <c r="K502" s="8" t="s">
        <v>114</v>
      </c>
      <c r="L502" t="s">
        <v>114</v>
      </c>
      <c r="M502" s="6">
        <v>0</v>
      </c>
      <c r="N502" t="s">
        <v>114</v>
      </c>
      <c r="O502" s="6">
        <v>0</v>
      </c>
      <c r="P502" t="s">
        <v>114</v>
      </c>
      <c r="Q502" s="6">
        <v>0</v>
      </c>
      <c r="R502" s="7">
        <f t="shared" si="42"/>
        <v>0</v>
      </c>
      <c r="S502" t="s">
        <v>114</v>
      </c>
      <c r="T502" t="s">
        <v>114</v>
      </c>
      <c r="U502" t="s">
        <v>114</v>
      </c>
      <c r="W502" t="s">
        <v>114</v>
      </c>
      <c r="X502" t="s">
        <v>114</v>
      </c>
      <c r="Z502" t="s">
        <v>4385</v>
      </c>
      <c r="AA502" t="s">
        <v>4385</v>
      </c>
      <c r="AB502" s="1" t="s">
        <v>4386</v>
      </c>
      <c r="AC502" t="s">
        <v>4282</v>
      </c>
      <c r="AD502" t="s">
        <v>4387</v>
      </c>
      <c r="AH502" t="s">
        <v>123</v>
      </c>
      <c r="AI502" t="s">
        <v>124</v>
      </c>
      <c r="AJ502" t="s">
        <v>4388</v>
      </c>
      <c r="AK502" t="s">
        <v>126</v>
      </c>
      <c r="AL502" t="s">
        <v>127</v>
      </c>
      <c r="AN502" t="s">
        <v>4389</v>
      </c>
      <c r="AO502" t="s">
        <v>4390</v>
      </c>
      <c r="AP502" t="s">
        <v>4391</v>
      </c>
      <c r="AQ502" t="s">
        <v>131</v>
      </c>
      <c r="AR502" t="s">
        <v>132</v>
      </c>
      <c r="AS502" t="s">
        <v>2312</v>
      </c>
      <c r="AT502" t="s">
        <v>4392</v>
      </c>
      <c r="AV502" t="s">
        <v>1821</v>
      </c>
      <c r="AW502" t="s">
        <v>940</v>
      </c>
      <c r="AY502" t="s">
        <v>177</v>
      </c>
      <c r="AZ502" t="s">
        <v>627</v>
      </c>
      <c r="BA502" t="s">
        <v>4393</v>
      </c>
      <c r="BC502" t="s">
        <v>140</v>
      </c>
      <c r="BT502" s="7">
        <f t="shared" si="43"/>
        <v>0</v>
      </c>
      <c r="BU502" s="6">
        <f t="shared" si="44"/>
        <v>0</v>
      </c>
      <c r="BV502" s="6">
        <f t="shared" si="45"/>
        <v>0</v>
      </c>
      <c r="BW502" s="6">
        <f t="shared" si="46"/>
        <v>0</v>
      </c>
      <c r="BX502" s="6">
        <f t="shared" si="47"/>
        <v>0</v>
      </c>
    </row>
    <row r="503" spans="1:76" x14ac:dyDescent="0.35">
      <c r="A503" t="s">
        <v>4394</v>
      </c>
      <c r="B503" t="s">
        <v>107</v>
      </c>
      <c r="C503" t="s">
        <v>107</v>
      </c>
      <c r="F503" t="s">
        <v>358</v>
      </c>
      <c r="G503" t="s">
        <v>359</v>
      </c>
      <c r="H503" t="s">
        <v>360</v>
      </c>
      <c r="I503" t="s">
        <v>341</v>
      </c>
      <c r="J503" t="s">
        <v>113</v>
      </c>
      <c r="K503" s="8" t="s">
        <v>114</v>
      </c>
      <c r="L503" t="s">
        <v>114</v>
      </c>
      <c r="M503" s="6">
        <v>0</v>
      </c>
      <c r="N503" t="s">
        <v>114</v>
      </c>
      <c r="O503" s="6">
        <v>0</v>
      </c>
      <c r="P503" t="s">
        <v>114</v>
      </c>
      <c r="Q503" s="6">
        <v>0</v>
      </c>
      <c r="R503" s="7">
        <f t="shared" si="42"/>
        <v>0</v>
      </c>
      <c r="S503" t="s">
        <v>114</v>
      </c>
      <c r="T503" t="s">
        <v>114</v>
      </c>
      <c r="U503" t="s">
        <v>114</v>
      </c>
      <c r="W503" t="s">
        <v>114</v>
      </c>
      <c r="X503" t="s">
        <v>114</v>
      </c>
      <c r="Z503" t="s">
        <v>4395</v>
      </c>
      <c r="AA503" t="s">
        <v>4395</v>
      </c>
      <c r="AB503" s="1" t="s">
        <v>4336</v>
      </c>
      <c r="AC503" t="s">
        <v>4396</v>
      </c>
      <c r="AD503" t="s">
        <v>4397</v>
      </c>
      <c r="AH503" t="s">
        <v>123</v>
      </c>
      <c r="AI503" t="s">
        <v>124</v>
      </c>
      <c r="AJ503" t="s">
        <v>4398</v>
      </c>
      <c r="AK503" t="s">
        <v>126</v>
      </c>
      <c r="AL503" t="s">
        <v>127</v>
      </c>
      <c r="AN503" t="s">
        <v>4399</v>
      </c>
      <c r="AO503" t="s">
        <v>4400</v>
      </c>
      <c r="AP503" t="s">
        <v>4401</v>
      </c>
      <c r="AQ503" t="s">
        <v>131</v>
      </c>
      <c r="AR503" t="s">
        <v>132</v>
      </c>
      <c r="AS503" t="s">
        <v>249</v>
      </c>
      <c r="AT503" t="s">
        <v>4245</v>
      </c>
      <c r="AV503" t="s">
        <v>219</v>
      </c>
      <c r="AY503" t="s">
        <v>177</v>
      </c>
      <c r="AZ503" t="s">
        <v>364</v>
      </c>
      <c r="BA503" t="s">
        <v>4402</v>
      </c>
      <c r="BC503" t="s">
        <v>140</v>
      </c>
      <c r="BT503" s="7">
        <f t="shared" si="43"/>
        <v>0</v>
      </c>
      <c r="BU503" s="6">
        <f t="shared" si="44"/>
        <v>0</v>
      </c>
      <c r="BV503" s="6">
        <f t="shared" si="45"/>
        <v>0</v>
      </c>
      <c r="BW503" s="6">
        <f t="shared" si="46"/>
        <v>0</v>
      </c>
      <c r="BX503" s="6">
        <f t="shared" si="47"/>
        <v>0</v>
      </c>
    </row>
    <row r="504" spans="1:76" x14ac:dyDescent="0.35">
      <c r="A504" t="s">
        <v>4403</v>
      </c>
      <c r="B504" t="s">
        <v>107</v>
      </c>
      <c r="C504" t="s">
        <v>107</v>
      </c>
      <c r="F504" t="s">
        <v>613</v>
      </c>
      <c r="G504" t="s">
        <v>614</v>
      </c>
      <c r="H504" t="s">
        <v>615</v>
      </c>
      <c r="I504" t="s">
        <v>271</v>
      </c>
      <c r="J504" t="s">
        <v>113</v>
      </c>
      <c r="K504" s="8" t="s">
        <v>114</v>
      </c>
      <c r="L504" t="s">
        <v>114</v>
      </c>
      <c r="M504" s="6">
        <v>0</v>
      </c>
      <c r="N504" t="s">
        <v>114</v>
      </c>
      <c r="O504" s="6">
        <v>0</v>
      </c>
      <c r="P504" t="s">
        <v>114</v>
      </c>
      <c r="Q504" s="6">
        <v>0</v>
      </c>
      <c r="R504" s="7">
        <f t="shared" si="42"/>
        <v>0</v>
      </c>
      <c r="S504" t="s">
        <v>114</v>
      </c>
      <c r="T504" t="s">
        <v>114</v>
      </c>
      <c r="U504" t="s">
        <v>114</v>
      </c>
      <c r="W504" t="s">
        <v>114</v>
      </c>
      <c r="X504" t="s">
        <v>114</v>
      </c>
      <c r="Z504" t="s">
        <v>4404</v>
      </c>
      <c r="AA504" t="s">
        <v>4404</v>
      </c>
      <c r="AB504" s="1" t="s">
        <v>4336</v>
      </c>
      <c r="AC504" t="s">
        <v>4405</v>
      </c>
      <c r="AD504" t="s">
        <v>4406</v>
      </c>
      <c r="AH504" t="s">
        <v>123</v>
      </c>
      <c r="AI504" t="s">
        <v>124</v>
      </c>
      <c r="AJ504" t="s">
        <v>4407</v>
      </c>
      <c r="AK504" t="s">
        <v>126</v>
      </c>
      <c r="AL504" t="s">
        <v>127</v>
      </c>
      <c r="AN504" t="s">
        <v>4408</v>
      </c>
      <c r="AO504" t="s">
        <v>4409</v>
      </c>
      <c r="AP504" t="s">
        <v>4410</v>
      </c>
      <c r="AQ504" t="s">
        <v>131</v>
      </c>
      <c r="AR504" t="s">
        <v>132</v>
      </c>
      <c r="AS504" t="s">
        <v>2134</v>
      </c>
      <c r="AT504" t="s">
        <v>4411</v>
      </c>
      <c r="AV504" t="s">
        <v>810</v>
      </c>
      <c r="AY504" t="s">
        <v>177</v>
      </c>
      <c r="AZ504" t="s">
        <v>627</v>
      </c>
      <c r="BA504" t="s">
        <v>4412</v>
      </c>
      <c r="BC504" t="s">
        <v>140</v>
      </c>
      <c r="BT504" s="7">
        <f t="shared" si="43"/>
        <v>0</v>
      </c>
      <c r="BU504" s="6">
        <f t="shared" si="44"/>
        <v>0</v>
      </c>
      <c r="BV504" s="6">
        <f t="shared" si="45"/>
        <v>0</v>
      </c>
      <c r="BW504" s="6">
        <f t="shared" si="46"/>
        <v>0</v>
      </c>
      <c r="BX504" s="6">
        <f t="shared" si="47"/>
        <v>0</v>
      </c>
    </row>
    <row r="505" spans="1:76" x14ac:dyDescent="0.35">
      <c r="A505" t="s">
        <v>4413</v>
      </c>
      <c r="B505" t="s">
        <v>107</v>
      </c>
      <c r="C505" t="s">
        <v>107</v>
      </c>
      <c r="F505" t="s">
        <v>613</v>
      </c>
      <c r="G505" t="s">
        <v>614</v>
      </c>
      <c r="H505" t="s">
        <v>615</v>
      </c>
      <c r="I505" t="s">
        <v>271</v>
      </c>
      <c r="J505" t="s">
        <v>113</v>
      </c>
      <c r="K505" s="8" t="s">
        <v>114</v>
      </c>
      <c r="L505" t="s">
        <v>114</v>
      </c>
      <c r="M505" s="6">
        <v>0</v>
      </c>
      <c r="N505" t="s">
        <v>114</v>
      </c>
      <c r="O505" s="6">
        <v>0</v>
      </c>
      <c r="P505" t="s">
        <v>114</v>
      </c>
      <c r="Q505" s="6">
        <v>0</v>
      </c>
      <c r="R505" s="7">
        <f t="shared" si="42"/>
        <v>0</v>
      </c>
      <c r="S505" t="s">
        <v>114</v>
      </c>
      <c r="T505" t="s">
        <v>114</v>
      </c>
      <c r="U505" t="s">
        <v>114</v>
      </c>
      <c r="W505" t="s">
        <v>114</v>
      </c>
      <c r="X505" t="s">
        <v>114</v>
      </c>
      <c r="Z505" t="s">
        <v>4414</v>
      </c>
      <c r="AA505" t="s">
        <v>4414</v>
      </c>
      <c r="AB505" s="1" t="s">
        <v>4347</v>
      </c>
      <c r="AC505" t="s">
        <v>4415</v>
      </c>
      <c r="AD505" t="s">
        <v>4416</v>
      </c>
      <c r="AH505" t="s">
        <v>123</v>
      </c>
      <c r="AI505" t="s">
        <v>124</v>
      </c>
      <c r="AJ505" t="s">
        <v>4417</v>
      </c>
      <c r="AK505" t="s">
        <v>126</v>
      </c>
      <c r="AL505" t="s">
        <v>127</v>
      </c>
      <c r="AN505" t="s">
        <v>4418</v>
      </c>
      <c r="AO505" t="s">
        <v>4419</v>
      </c>
      <c r="AP505" t="s">
        <v>4420</v>
      </c>
      <c r="AQ505" t="s">
        <v>131</v>
      </c>
      <c r="AR505" t="s">
        <v>132</v>
      </c>
      <c r="AS505" t="s">
        <v>1452</v>
      </c>
      <c r="AT505" t="s">
        <v>1453</v>
      </c>
      <c r="AV505" t="s">
        <v>785</v>
      </c>
      <c r="AY505" t="s">
        <v>177</v>
      </c>
      <c r="AZ505" t="s">
        <v>627</v>
      </c>
      <c r="BA505" t="s">
        <v>4421</v>
      </c>
      <c r="BC505" t="s">
        <v>140</v>
      </c>
      <c r="BT505" s="7">
        <f t="shared" si="43"/>
        <v>0</v>
      </c>
      <c r="BU505" s="6">
        <f t="shared" si="44"/>
        <v>0</v>
      </c>
      <c r="BV505" s="6">
        <f t="shared" si="45"/>
        <v>0</v>
      </c>
      <c r="BW505" s="6">
        <f t="shared" si="46"/>
        <v>0</v>
      </c>
      <c r="BX505" s="6">
        <f t="shared" si="47"/>
        <v>0</v>
      </c>
    </row>
    <row r="506" spans="1:76" x14ac:dyDescent="0.35">
      <c r="A506" t="s">
        <v>4422</v>
      </c>
      <c r="B506" t="s">
        <v>107</v>
      </c>
      <c r="C506" t="s">
        <v>107</v>
      </c>
      <c r="F506" t="s">
        <v>158</v>
      </c>
      <c r="G506" t="s">
        <v>159</v>
      </c>
      <c r="H506" t="s">
        <v>111</v>
      </c>
      <c r="I506" t="s">
        <v>341</v>
      </c>
      <c r="J506" t="s">
        <v>113</v>
      </c>
      <c r="K506" s="8" t="s">
        <v>114</v>
      </c>
      <c r="L506" t="s">
        <v>114</v>
      </c>
      <c r="M506" s="6">
        <v>0</v>
      </c>
      <c r="N506" t="s">
        <v>114</v>
      </c>
      <c r="O506" s="6">
        <v>0</v>
      </c>
      <c r="P506" t="s">
        <v>114</v>
      </c>
      <c r="Q506" s="6">
        <v>0</v>
      </c>
      <c r="R506" s="7">
        <f t="shared" si="42"/>
        <v>0</v>
      </c>
      <c r="S506" t="s">
        <v>114</v>
      </c>
      <c r="T506" t="s">
        <v>114</v>
      </c>
      <c r="U506" t="s">
        <v>114</v>
      </c>
      <c r="W506" t="s">
        <v>114</v>
      </c>
      <c r="X506" t="s">
        <v>114</v>
      </c>
      <c r="Z506" t="s">
        <v>4423</v>
      </c>
      <c r="AA506" t="s">
        <v>4424</v>
      </c>
      <c r="AB506" s="1" t="s">
        <v>4336</v>
      </c>
      <c r="AC506" t="s">
        <v>4425</v>
      </c>
      <c r="AD506" t="s">
        <v>4426</v>
      </c>
      <c r="AH506" t="s">
        <v>123</v>
      </c>
      <c r="AI506" t="s">
        <v>124</v>
      </c>
      <c r="AJ506" t="s">
        <v>4427</v>
      </c>
      <c r="AK506" t="s">
        <v>126</v>
      </c>
      <c r="AL506" t="s">
        <v>127</v>
      </c>
      <c r="AN506" t="s">
        <v>4428</v>
      </c>
      <c r="AO506" t="s">
        <v>4429</v>
      </c>
      <c r="AP506" t="s">
        <v>4430</v>
      </c>
      <c r="AQ506" t="s">
        <v>131</v>
      </c>
      <c r="AR506" t="s">
        <v>132</v>
      </c>
      <c r="AS506" t="s">
        <v>2380</v>
      </c>
      <c r="AT506" t="s">
        <v>4431</v>
      </c>
      <c r="AV506" t="s">
        <v>759</v>
      </c>
      <c r="AY506" t="s">
        <v>177</v>
      </c>
      <c r="AZ506" t="s">
        <v>138</v>
      </c>
      <c r="BA506" t="s">
        <v>4432</v>
      </c>
      <c r="BC506" t="s">
        <v>140</v>
      </c>
      <c r="BT506" s="7">
        <f t="shared" si="43"/>
        <v>0</v>
      </c>
      <c r="BU506" s="6">
        <f t="shared" si="44"/>
        <v>0</v>
      </c>
      <c r="BV506" s="6">
        <f t="shared" si="45"/>
        <v>0</v>
      </c>
      <c r="BW506" s="6">
        <f t="shared" si="46"/>
        <v>0</v>
      </c>
      <c r="BX506" s="6">
        <f t="shared" si="47"/>
        <v>0</v>
      </c>
    </row>
    <row r="507" spans="1:76" x14ac:dyDescent="0.35">
      <c r="A507" t="s">
        <v>4433</v>
      </c>
      <c r="B507" t="s">
        <v>107</v>
      </c>
      <c r="C507" t="s">
        <v>107</v>
      </c>
      <c r="F507" t="s">
        <v>613</v>
      </c>
      <c r="G507" t="s">
        <v>614</v>
      </c>
      <c r="H507" t="s">
        <v>615</v>
      </c>
      <c r="I507" t="s">
        <v>271</v>
      </c>
      <c r="J507" t="s">
        <v>113</v>
      </c>
      <c r="K507" s="8" t="s">
        <v>114</v>
      </c>
      <c r="L507" t="s">
        <v>114</v>
      </c>
      <c r="M507" s="6">
        <v>0</v>
      </c>
      <c r="N507" t="s">
        <v>114</v>
      </c>
      <c r="O507" s="6">
        <v>0</v>
      </c>
      <c r="P507" t="s">
        <v>114</v>
      </c>
      <c r="Q507" s="6">
        <v>0</v>
      </c>
      <c r="R507" s="7">
        <f t="shared" si="42"/>
        <v>0</v>
      </c>
      <c r="S507" t="s">
        <v>114</v>
      </c>
      <c r="T507" t="s">
        <v>114</v>
      </c>
      <c r="U507" t="s">
        <v>114</v>
      </c>
      <c r="W507" t="s">
        <v>114</v>
      </c>
      <c r="X507" t="s">
        <v>114</v>
      </c>
      <c r="Z507" t="s">
        <v>4434</v>
      </c>
      <c r="AA507" t="s">
        <v>4435</v>
      </c>
      <c r="AB507" s="1" t="s">
        <v>4436</v>
      </c>
      <c r="AC507" t="s">
        <v>4272</v>
      </c>
      <c r="AD507" t="s">
        <v>4437</v>
      </c>
      <c r="AH507" t="s">
        <v>123</v>
      </c>
      <c r="AI507" t="s">
        <v>124</v>
      </c>
      <c r="AJ507" t="s">
        <v>4438</v>
      </c>
      <c r="AK507" t="s">
        <v>126</v>
      </c>
      <c r="AL507" t="s">
        <v>127</v>
      </c>
      <c r="AN507" t="s">
        <v>4439</v>
      </c>
      <c r="AO507" t="s">
        <v>4440</v>
      </c>
      <c r="AP507" t="s">
        <v>4441</v>
      </c>
      <c r="AQ507" t="s">
        <v>131</v>
      </c>
      <c r="AR507" t="s">
        <v>132</v>
      </c>
      <c r="AS507" t="s">
        <v>152</v>
      </c>
      <c r="AT507" t="s">
        <v>2278</v>
      </c>
      <c r="AV507" t="s">
        <v>299</v>
      </c>
      <c r="AY507" t="s">
        <v>177</v>
      </c>
      <c r="AZ507" t="s">
        <v>627</v>
      </c>
      <c r="BA507" t="s">
        <v>4442</v>
      </c>
      <c r="BC507" t="s">
        <v>140</v>
      </c>
      <c r="BT507" s="7">
        <f t="shared" si="43"/>
        <v>0</v>
      </c>
      <c r="BU507" s="6">
        <f t="shared" si="44"/>
        <v>0</v>
      </c>
      <c r="BV507" s="6">
        <f t="shared" si="45"/>
        <v>0</v>
      </c>
      <c r="BW507" s="6">
        <f t="shared" si="46"/>
        <v>0</v>
      </c>
      <c r="BX507" s="6">
        <f t="shared" si="47"/>
        <v>0</v>
      </c>
    </row>
    <row r="508" spans="1:76" x14ac:dyDescent="0.35">
      <c r="A508" t="s">
        <v>4443</v>
      </c>
      <c r="B508" t="s">
        <v>107</v>
      </c>
      <c r="C508" t="s">
        <v>107</v>
      </c>
      <c r="F508" t="s">
        <v>358</v>
      </c>
      <c r="G508" t="s">
        <v>359</v>
      </c>
      <c r="H508" t="s">
        <v>360</v>
      </c>
      <c r="I508" t="s">
        <v>341</v>
      </c>
      <c r="J508" t="s">
        <v>113</v>
      </c>
      <c r="K508" s="8" t="s">
        <v>114</v>
      </c>
      <c r="L508" t="s">
        <v>114</v>
      </c>
      <c r="M508" s="6">
        <v>0</v>
      </c>
      <c r="N508" t="s">
        <v>114</v>
      </c>
      <c r="O508" s="6">
        <v>0</v>
      </c>
      <c r="P508" t="s">
        <v>114</v>
      </c>
      <c r="Q508" s="6">
        <v>0</v>
      </c>
      <c r="R508" s="7">
        <f t="shared" si="42"/>
        <v>0</v>
      </c>
      <c r="S508" t="s">
        <v>114</v>
      </c>
      <c r="T508" t="s">
        <v>114</v>
      </c>
      <c r="U508" t="s">
        <v>114</v>
      </c>
      <c r="W508" t="s">
        <v>114</v>
      </c>
      <c r="X508" t="s">
        <v>114</v>
      </c>
      <c r="Z508" t="s">
        <v>4444</v>
      </c>
      <c r="AA508" t="s">
        <v>4444</v>
      </c>
      <c r="AB508" s="1" t="s">
        <v>4445</v>
      </c>
      <c r="AC508" t="s">
        <v>4446</v>
      </c>
      <c r="AD508" t="s">
        <v>4447</v>
      </c>
      <c r="AH508" t="s">
        <v>123</v>
      </c>
      <c r="AI508" t="s">
        <v>124</v>
      </c>
      <c r="AJ508" t="s">
        <v>4448</v>
      </c>
      <c r="AK508" t="s">
        <v>126</v>
      </c>
      <c r="AL508" t="s">
        <v>127</v>
      </c>
      <c r="AN508" t="s">
        <v>4449</v>
      </c>
      <c r="AO508" t="s">
        <v>4450</v>
      </c>
      <c r="AP508" t="s">
        <v>4451</v>
      </c>
      <c r="AQ508" t="s">
        <v>131</v>
      </c>
      <c r="AR508" t="s">
        <v>132</v>
      </c>
      <c r="AS508" t="s">
        <v>202</v>
      </c>
      <c r="AT508" t="s">
        <v>1489</v>
      </c>
      <c r="AV508" t="s">
        <v>154</v>
      </c>
      <c r="AW508" t="s">
        <v>496</v>
      </c>
      <c r="AY508" t="s">
        <v>177</v>
      </c>
      <c r="AZ508" t="s">
        <v>364</v>
      </c>
      <c r="BA508" t="s">
        <v>4452</v>
      </c>
      <c r="BC508" t="s">
        <v>140</v>
      </c>
      <c r="BT508" s="7">
        <f t="shared" si="43"/>
        <v>0</v>
      </c>
      <c r="BU508" s="6">
        <f t="shared" si="44"/>
        <v>0</v>
      </c>
      <c r="BV508" s="6">
        <f t="shared" si="45"/>
        <v>0</v>
      </c>
      <c r="BW508" s="6">
        <f t="shared" si="46"/>
        <v>0</v>
      </c>
      <c r="BX508" s="6">
        <f t="shared" si="47"/>
        <v>0</v>
      </c>
    </row>
    <row r="509" spans="1:76" x14ac:dyDescent="0.35">
      <c r="A509" t="s">
        <v>4453</v>
      </c>
      <c r="B509" t="s">
        <v>107</v>
      </c>
      <c r="C509" t="s">
        <v>107</v>
      </c>
      <c r="E509" t="s">
        <v>108</v>
      </c>
      <c r="F509" t="s">
        <v>158</v>
      </c>
      <c r="G509" t="s">
        <v>159</v>
      </c>
      <c r="H509" t="s">
        <v>111</v>
      </c>
      <c r="I509" t="s">
        <v>341</v>
      </c>
      <c r="J509" t="s">
        <v>113</v>
      </c>
      <c r="K509" s="8" t="s">
        <v>114</v>
      </c>
      <c r="L509" t="s">
        <v>161</v>
      </c>
      <c r="M509" s="6">
        <v>459</v>
      </c>
      <c r="N509" t="s">
        <v>672</v>
      </c>
      <c r="O509" s="6">
        <v>220</v>
      </c>
      <c r="P509" t="s">
        <v>117</v>
      </c>
      <c r="Q509" s="6">
        <v>0</v>
      </c>
      <c r="R509" s="7">
        <f t="shared" si="42"/>
        <v>239</v>
      </c>
      <c r="S509" t="s">
        <v>180</v>
      </c>
      <c r="T509" t="s">
        <v>114</v>
      </c>
      <c r="U509" t="s">
        <v>180</v>
      </c>
      <c r="W509" t="s">
        <v>114</v>
      </c>
      <c r="X509" t="s">
        <v>117</v>
      </c>
      <c r="Z509" t="s">
        <v>4454</v>
      </c>
      <c r="AA509" t="s">
        <v>4455</v>
      </c>
      <c r="AB509" s="1" t="s">
        <v>4291</v>
      </c>
      <c r="AC509" t="s">
        <v>4456</v>
      </c>
      <c r="AD509" t="s">
        <v>4455</v>
      </c>
      <c r="AH509" t="s">
        <v>123</v>
      </c>
      <c r="AI509" t="s">
        <v>124</v>
      </c>
      <c r="AJ509" t="s">
        <v>4457</v>
      </c>
      <c r="AK509" t="s">
        <v>126</v>
      </c>
      <c r="AL509" t="s">
        <v>127</v>
      </c>
      <c r="AN509" t="s">
        <v>4458</v>
      </c>
      <c r="AO509" t="s">
        <v>4459</v>
      </c>
      <c r="AP509" t="s">
        <v>4460</v>
      </c>
      <c r="AQ509" t="s">
        <v>131</v>
      </c>
      <c r="AR509" t="s">
        <v>132</v>
      </c>
      <c r="AS509" t="s">
        <v>1380</v>
      </c>
      <c r="AT509" t="s">
        <v>4461</v>
      </c>
      <c r="AV509" t="s">
        <v>219</v>
      </c>
      <c r="AW509" t="s">
        <v>389</v>
      </c>
      <c r="AX509" t="s">
        <v>136</v>
      </c>
      <c r="AY509" t="s">
        <v>177</v>
      </c>
      <c r="AZ509" t="s">
        <v>138</v>
      </c>
      <c r="BA509" t="s">
        <v>4462</v>
      </c>
      <c r="BC509" t="s">
        <v>140</v>
      </c>
      <c r="BT509" s="7">
        <f t="shared" si="43"/>
        <v>239</v>
      </c>
      <c r="BU509" s="6">
        <f t="shared" si="44"/>
        <v>223.36448598130841</v>
      </c>
      <c r="BV509" s="6">
        <f t="shared" si="45"/>
        <v>15.635514018691588</v>
      </c>
      <c r="BW509" s="6">
        <f t="shared" si="46"/>
        <v>239</v>
      </c>
      <c r="BX509" s="6">
        <f t="shared" si="47"/>
        <v>0</v>
      </c>
    </row>
    <row r="510" spans="1:76" x14ac:dyDescent="0.35">
      <c r="A510" t="s">
        <v>4453</v>
      </c>
      <c r="B510" t="s">
        <v>107</v>
      </c>
      <c r="C510" t="s">
        <v>107</v>
      </c>
      <c r="E510" t="s">
        <v>108</v>
      </c>
      <c r="F510" t="s">
        <v>268</v>
      </c>
      <c r="G510" t="s">
        <v>269</v>
      </c>
      <c r="H510" t="s">
        <v>2268</v>
      </c>
      <c r="I510" t="s">
        <v>271</v>
      </c>
      <c r="J510" t="s">
        <v>113</v>
      </c>
      <c r="K510" s="8" t="s">
        <v>114</v>
      </c>
      <c r="L510" t="s">
        <v>114</v>
      </c>
      <c r="M510" s="6">
        <v>0</v>
      </c>
      <c r="N510" t="s">
        <v>114</v>
      </c>
      <c r="O510" s="6">
        <v>0</v>
      </c>
      <c r="P510" t="s">
        <v>114</v>
      </c>
      <c r="Q510" s="6">
        <v>0</v>
      </c>
      <c r="R510" s="7">
        <f t="shared" si="42"/>
        <v>0</v>
      </c>
      <c r="S510" t="s">
        <v>180</v>
      </c>
      <c r="T510" t="s">
        <v>114</v>
      </c>
      <c r="U510" t="s">
        <v>180</v>
      </c>
      <c r="W510" t="s">
        <v>114</v>
      </c>
      <c r="X510" t="s">
        <v>117</v>
      </c>
      <c r="Z510" t="s">
        <v>4454</v>
      </c>
      <c r="AA510" t="s">
        <v>4455</v>
      </c>
      <c r="AB510" s="1" t="s">
        <v>4291</v>
      </c>
      <c r="AC510" t="s">
        <v>4456</v>
      </c>
      <c r="AD510" t="s">
        <v>4455</v>
      </c>
      <c r="AH510" t="s">
        <v>123</v>
      </c>
      <c r="AI510" t="s">
        <v>124</v>
      </c>
      <c r="AJ510" t="s">
        <v>4457</v>
      </c>
      <c r="AK510" t="s">
        <v>126</v>
      </c>
      <c r="AL510" t="s">
        <v>127</v>
      </c>
      <c r="AN510" t="s">
        <v>4458</v>
      </c>
      <c r="AO510" t="s">
        <v>4459</v>
      </c>
      <c r="AP510" t="s">
        <v>4460</v>
      </c>
      <c r="AQ510" t="s">
        <v>131</v>
      </c>
      <c r="AR510" t="s">
        <v>132</v>
      </c>
      <c r="AS510" t="s">
        <v>1380</v>
      </c>
      <c r="AT510" t="s">
        <v>4461</v>
      </c>
      <c r="AV510" t="s">
        <v>219</v>
      </c>
      <c r="AW510" t="s">
        <v>389</v>
      </c>
      <c r="AX510" t="s">
        <v>136</v>
      </c>
      <c r="AY510" t="s">
        <v>272</v>
      </c>
      <c r="AZ510" t="s">
        <v>273</v>
      </c>
      <c r="BA510" t="s">
        <v>4462</v>
      </c>
      <c r="BC510" t="s">
        <v>140</v>
      </c>
      <c r="BT510" s="7">
        <f t="shared" si="43"/>
        <v>0</v>
      </c>
      <c r="BU510" s="6">
        <f t="shared" si="44"/>
        <v>0</v>
      </c>
      <c r="BV510" s="6">
        <f t="shared" si="45"/>
        <v>0</v>
      </c>
      <c r="BW510" s="6">
        <f t="shared" si="46"/>
        <v>0</v>
      </c>
      <c r="BX510" s="6">
        <f t="shared" si="47"/>
        <v>0</v>
      </c>
    </row>
    <row r="511" spans="1:76" x14ac:dyDescent="0.35">
      <c r="A511" t="s">
        <v>4463</v>
      </c>
      <c r="B511" t="s">
        <v>107</v>
      </c>
      <c r="C511" t="s">
        <v>107</v>
      </c>
      <c r="F511" t="s">
        <v>358</v>
      </c>
      <c r="G511" t="s">
        <v>359</v>
      </c>
      <c r="H511" t="s">
        <v>360</v>
      </c>
      <c r="I511" t="s">
        <v>341</v>
      </c>
      <c r="J511" t="s">
        <v>113</v>
      </c>
      <c r="K511" s="8" t="s">
        <v>114</v>
      </c>
      <c r="L511" t="s">
        <v>114</v>
      </c>
      <c r="M511" s="6">
        <v>0</v>
      </c>
      <c r="N511" t="s">
        <v>114</v>
      </c>
      <c r="O511" s="6">
        <v>0</v>
      </c>
      <c r="P511" t="s">
        <v>114</v>
      </c>
      <c r="Q511" s="6">
        <v>0</v>
      </c>
      <c r="R511" s="7">
        <f t="shared" si="42"/>
        <v>0</v>
      </c>
      <c r="S511" t="s">
        <v>114</v>
      </c>
      <c r="T511" t="s">
        <v>114</v>
      </c>
      <c r="U511" t="s">
        <v>114</v>
      </c>
      <c r="W511" t="s">
        <v>114</v>
      </c>
      <c r="X511" t="s">
        <v>114</v>
      </c>
      <c r="Z511" t="s">
        <v>4464</v>
      </c>
      <c r="AA511" t="s">
        <v>4464</v>
      </c>
      <c r="AB511" s="1" t="s">
        <v>4465</v>
      </c>
      <c r="AC511" t="s">
        <v>4466</v>
      </c>
      <c r="AD511" t="s">
        <v>4467</v>
      </c>
      <c r="AH511" t="s">
        <v>123</v>
      </c>
      <c r="AI511" t="s">
        <v>124</v>
      </c>
      <c r="AJ511" t="s">
        <v>4468</v>
      </c>
      <c r="AK511" t="s">
        <v>126</v>
      </c>
      <c r="AL511" t="s">
        <v>127</v>
      </c>
      <c r="AN511" t="s">
        <v>4469</v>
      </c>
      <c r="AO511" t="s">
        <v>4470</v>
      </c>
      <c r="AP511" t="s">
        <v>4471</v>
      </c>
      <c r="AQ511" t="s">
        <v>131</v>
      </c>
      <c r="AR511" t="s">
        <v>132</v>
      </c>
      <c r="AS511" t="s">
        <v>839</v>
      </c>
      <c r="AT511" t="s">
        <v>840</v>
      </c>
      <c r="AV511" t="s">
        <v>1703</v>
      </c>
      <c r="AY511" t="s">
        <v>177</v>
      </c>
      <c r="AZ511" t="s">
        <v>364</v>
      </c>
      <c r="BA511" t="s">
        <v>4472</v>
      </c>
      <c r="BC511" t="s">
        <v>140</v>
      </c>
      <c r="BT511" s="7">
        <f t="shared" si="43"/>
        <v>0</v>
      </c>
      <c r="BU511" s="6">
        <f t="shared" si="44"/>
        <v>0</v>
      </c>
      <c r="BV511" s="6">
        <f t="shared" si="45"/>
        <v>0</v>
      </c>
      <c r="BW511" s="6">
        <f t="shared" si="46"/>
        <v>0</v>
      </c>
      <c r="BX511" s="6">
        <f t="shared" si="47"/>
        <v>0</v>
      </c>
    </row>
    <row r="512" spans="1:76" x14ac:dyDescent="0.35">
      <c r="A512" t="s">
        <v>4473</v>
      </c>
      <c r="B512" t="s">
        <v>107</v>
      </c>
      <c r="C512" t="s">
        <v>107</v>
      </c>
      <c r="F512" t="s">
        <v>358</v>
      </c>
      <c r="G512" t="s">
        <v>359</v>
      </c>
      <c r="H512" t="s">
        <v>360</v>
      </c>
      <c r="I512" t="s">
        <v>341</v>
      </c>
      <c r="J512" t="s">
        <v>113</v>
      </c>
      <c r="K512" s="8" t="s">
        <v>114</v>
      </c>
      <c r="L512" t="s">
        <v>114</v>
      </c>
      <c r="M512" s="6">
        <v>0</v>
      </c>
      <c r="N512" t="s">
        <v>114</v>
      </c>
      <c r="O512" s="6">
        <v>0</v>
      </c>
      <c r="P512" t="s">
        <v>114</v>
      </c>
      <c r="Q512" s="6">
        <v>0</v>
      </c>
      <c r="R512" s="7">
        <f t="shared" si="42"/>
        <v>0</v>
      </c>
      <c r="S512" t="s">
        <v>114</v>
      </c>
      <c r="T512" t="s">
        <v>114</v>
      </c>
      <c r="U512" t="s">
        <v>114</v>
      </c>
      <c r="W512" t="s">
        <v>114</v>
      </c>
      <c r="X512" t="s">
        <v>114</v>
      </c>
      <c r="Z512" t="s">
        <v>4474</v>
      </c>
      <c r="AA512" t="s">
        <v>4474</v>
      </c>
      <c r="AB512" s="1" t="s">
        <v>4475</v>
      </c>
      <c r="AC512" t="s">
        <v>4476</v>
      </c>
      <c r="AD512" t="s">
        <v>4477</v>
      </c>
      <c r="AH512" t="s">
        <v>123</v>
      </c>
      <c r="AI512" t="s">
        <v>124</v>
      </c>
      <c r="AJ512" t="s">
        <v>4478</v>
      </c>
      <c r="AK512" t="s">
        <v>126</v>
      </c>
      <c r="AL512" t="s">
        <v>127</v>
      </c>
      <c r="AN512" t="s">
        <v>4479</v>
      </c>
      <c r="AO512" t="s">
        <v>2017</v>
      </c>
      <c r="AP512" t="s">
        <v>4480</v>
      </c>
      <c r="AQ512" t="s">
        <v>131</v>
      </c>
      <c r="AR512" t="s">
        <v>132</v>
      </c>
      <c r="AS512" t="s">
        <v>3481</v>
      </c>
      <c r="AT512" t="s">
        <v>4481</v>
      </c>
      <c r="AV512" t="s">
        <v>1403</v>
      </c>
      <c r="AW512" t="s">
        <v>1403</v>
      </c>
      <c r="AY512" t="s">
        <v>177</v>
      </c>
      <c r="AZ512" t="s">
        <v>364</v>
      </c>
      <c r="BA512" t="s">
        <v>4482</v>
      </c>
      <c r="BC512" t="s">
        <v>140</v>
      </c>
      <c r="BT512" s="7">
        <f t="shared" si="43"/>
        <v>0</v>
      </c>
      <c r="BU512" s="6">
        <f t="shared" si="44"/>
        <v>0</v>
      </c>
      <c r="BV512" s="6">
        <f t="shared" si="45"/>
        <v>0</v>
      </c>
      <c r="BW512" s="6">
        <f t="shared" si="46"/>
        <v>0</v>
      </c>
      <c r="BX512" s="6">
        <f t="shared" si="47"/>
        <v>0</v>
      </c>
    </row>
    <row r="513" spans="1:76" x14ac:dyDescent="0.35">
      <c r="A513" t="s">
        <v>4483</v>
      </c>
      <c r="B513" t="s">
        <v>107</v>
      </c>
      <c r="C513" t="s">
        <v>107</v>
      </c>
      <c r="F513" t="s">
        <v>613</v>
      </c>
      <c r="G513" t="s">
        <v>614</v>
      </c>
      <c r="H513" t="s">
        <v>615</v>
      </c>
      <c r="I513" t="s">
        <v>271</v>
      </c>
      <c r="J513" t="s">
        <v>113</v>
      </c>
      <c r="K513" s="8" t="s">
        <v>114</v>
      </c>
      <c r="L513" t="s">
        <v>114</v>
      </c>
      <c r="M513" s="6">
        <v>0</v>
      </c>
      <c r="N513" t="s">
        <v>114</v>
      </c>
      <c r="O513" s="6">
        <v>0</v>
      </c>
      <c r="P513" t="s">
        <v>114</v>
      </c>
      <c r="Q513" s="6">
        <v>0</v>
      </c>
      <c r="R513" s="7">
        <f t="shared" si="42"/>
        <v>0</v>
      </c>
      <c r="S513" t="s">
        <v>114</v>
      </c>
      <c r="T513" t="s">
        <v>114</v>
      </c>
      <c r="U513" t="s">
        <v>114</v>
      </c>
      <c r="W513" t="s">
        <v>114</v>
      </c>
      <c r="X513" t="s">
        <v>114</v>
      </c>
      <c r="Z513" t="s">
        <v>4484</v>
      </c>
      <c r="AA513" t="s">
        <v>4484</v>
      </c>
      <c r="AB513" s="1" t="s">
        <v>4465</v>
      </c>
      <c r="AC513" t="s">
        <v>4466</v>
      </c>
      <c r="AD513" t="s">
        <v>4485</v>
      </c>
      <c r="AH513" t="s">
        <v>123</v>
      </c>
      <c r="AI513" t="s">
        <v>124</v>
      </c>
      <c r="AJ513" t="s">
        <v>4486</v>
      </c>
      <c r="AK513" t="s">
        <v>126</v>
      </c>
      <c r="AL513" t="s">
        <v>127</v>
      </c>
      <c r="AN513" t="s">
        <v>4487</v>
      </c>
      <c r="AO513" t="s">
        <v>4488</v>
      </c>
      <c r="AP513" t="s">
        <v>4489</v>
      </c>
      <c r="AQ513" t="s">
        <v>131</v>
      </c>
      <c r="AR513" t="s">
        <v>132</v>
      </c>
      <c r="AS513" t="s">
        <v>756</v>
      </c>
      <c r="AT513" t="s">
        <v>1832</v>
      </c>
      <c r="AV513" t="s">
        <v>154</v>
      </c>
      <c r="AW513" t="s">
        <v>892</v>
      </c>
      <c r="AY513" t="s">
        <v>177</v>
      </c>
      <c r="AZ513" t="s">
        <v>627</v>
      </c>
      <c r="BA513" t="s">
        <v>4490</v>
      </c>
      <c r="BC513" t="s">
        <v>140</v>
      </c>
      <c r="BT513" s="7">
        <f t="shared" si="43"/>
        <v>0</v>
      </c>
      <c r="BU513" s="6">
        <f t="shared" si="44"/>
        <v>0</v>
      </c>
      <c r="BV513" s="6">
        <f t="shared" si="45"/>
        <v>0</v>
      </c>
      <c r="BW513" s="6">
        <f t="shared" si="46"/>
        <v>0</v>
      </c>
      <c r="BX513" s="6">
        <f t="shared" si="47"/>
        <v>0</v>
      </c>
    </row>
    <row r="514" spans="1:76" x14ac:dyDescent="0.35">
      <c r="A514" t="s">
        <v>4491</v>
      </c>
      <c r="B514" t="s">
        <v>107</v>
      </c>
      <c r="C514" t="s">
        <v>107</v>
      </c>
      <c r="F514" t="s">
        <v>613</v>
      </c>
      <c r="G514" t="s">
        <v>614</v>
      </c>
      <c r="H514" t="s">
        <v>615</v>
      </c>
      <c r="I514" t="s">
        <v>271</v>
      </c>
      <c r="J514" t="s">
        <v>113</v>
      </c>
      <c r="K514" s="8" t="s">
        <v>114</v>
      </c>
      <c r="L514" t="s">
        <v>114</v>
      </c>
      <c r="M514" s="6">
        <v>0</v>
      </c>
      <c r="N514" t="s">
        <v>114</v>
      </c>
      <c r="O514" s="6">
        <v>0</v>
      </c>
      <c r="P514" t="s">
        <v>114</v>
      </c>
      <c r="Q514" s="6">
        <v>0</v>
      </c>
      <c r="R514" s="7">
        <f t="shared" si="42"/>
        <v>0</v>
      </c>
      <c r="S514" t="s">
        <v>114</v>
      </c>
      <c r="T514" t="s">
        <v>114</v>
      </c>
      <c r="U514" t="s">
        <v>114</v>
      </c>
      <c r="W514" t="s">
        <v>114</v>
      </c>
      <c r="X514" t="s">
        <v>114</v>
      </c>
      <c r="Z514" t="s">
        <v>4492</v>
      </c>
      <c r="AA514" t="s">
        <v>4492</v>
      </c>
      <c r="AB514" s="1" t="s">
        <v>4493</v>
      </c>
      <c r="AC514" t="s">
        <v>4494</v>
      </c>
      <c r="AD514" t="s">
        <v>4495</v>
      </c>
      <c r="AH514" t="s">
        <v>123</v>
      </c>
      <c r="AI514" t="s">
        <v>124</v>
      </c>
      <c r="AJ514" t="s">
        <v>4496</v>
      </c>
      <c r="AK514" t="s">
        <v>126</v>
      </c>
      <c r="AL514" t="s">
        <v>127</v>
      </c>
      <c r="AN514" t="s">
        <v>781</v>
      </c>
      <c r="AO514" t="s">
        <v>782</v>
      </c>
      <c r="AP514" t="s">
        <v>783</v>
      </c>
      <c r="AQ514" t="s">
        <v>131</v>
      </c>
      <c r="AR514" t="s">
        <v>233</v>
      </c>
      <c r="AS514" t="s">
        <v>234</v>
      </c>
      <c r="AT514" t="s">
        <v>784</v>
      </c>
      <c r="AV514" t="s">
        <v>785</v>
      </c>
      <c r="AY514" t="s">
        <v>177</v>
      </c>
      <c r="AZ514" t="s">
        <v>627</v>
      </c>
      <c r="BA514" t="s">
        <v>4497</v>
      </c>
      <c r="BC514" t="s">
        <v>140</v>
      </c>
      <c r="BT514" s="7">
        <f t="shared" si="43"/>
        <v>0</v>
      </c>
      <c r="BU514" s="6">
        <f t="shared" si="44"/>
        <v>0</v>
      </c>
      <c r="BV514" s="6">
        <f t="shared" si="45"/>
        <v>0</v>
      </c>
      <c r="BW514" s="6">
        <f t="shared" si="46"/>
        <v>0</v>
      </c>
      <c r="BX514" s="6">
        <f t="shared" si="47"/>
        <v>0</v>
      </c>
    </row>
    <row r="515" spans="1:76" x14ac:dyDescent="0.35">
      <c r="A515" t="s">
        <v>4498</v>
      </c>
      <c r="B515" t="s">
        <v>107</v>
      </c>
      <c r="C515" t="s">
        <v>107</v>
      </c>
      <c r="F515" t="s">
        <v>358</v>
      </c>
      <c r="G515" t="s">
        <v>359</v>
      </c>
      <c r="H515" t="s">
        <v>360</v>
      </c>
      <c r="I515" t="s">
        <v>341</v>
      </c>
      <c r="J515" t="s">
        <v>113</v>
      </c>
      <c r="K515" s="8" t="s">
        <v>114</v>
      </c>
      <c r="L515" t="s">
        <v>114</v>
      </c>
      <c r="M515" s="6">
        <v>0</v>
      </c>
      <c r="N515" t="s">
        <v>114</v>
      </c>
      <c r="O515" s="6">
        <v>0</v>
      </c>
      <c r="P515" t="s">
        <v>114</v>
      </c>
      <c r="Q515" s="6">
        <v>0</v>
      </c>
      <c r="R515" s="7">
        <f t="shared" si="42"/>
        <v>0</v>
      </c>
      <c r="S515" t="s">
        <v>114</v>
      </c>
      <c r="T515" t="s">
        <v>114</v>
      </c>
      <c r="U515" t="s">
        <v>114</v>
      </c>
      <c r="W515" t="s">
        <v>114</v>
      </c>
      <c r="X515" t="s">
        <v>114</v>
      </c>
      <c r="Z515" t="s">
        <v>4492</v>
      </c>
      <c r="AA515" t="s">
        <v>4492</v>
      </c>
      <c r="AB515" s="1" t="s">
        <v>4499</v>
      </c>
      <c r="AC515" t="s">
        <v>4500</v>
      </c>
      <c r="AD515" t="s">
        <v>4501</v>
      </c>
      <c r="AH515" t="s">
        <v>123</v>
      </c>
      <c r="AI515" t="s">
        <v>124</v>
      </c>
      <c r="AJ515" t="s">
        <v>4502</v>
      </c>
      <c r="AK515" t="s">
        <v>126</v>
      </c>
      <c r="AL515" t="s">
        <v>127</v>
      </c>
      <c r="AN515" t="s">
        <v>4503</v>
      </c>
      <c r="AO515" t="s">
        <v>4504</v>
      </c>
      <c r="AP515" t="s">
        <v>4505</v>
      </c>
      <c r="AQ515" t="s">
        <v>131</v>
      </c>
      <c r="AR515" t="s">
        <v>132</v>
      </c>
      <c r="AS515" t="s">
        <v>1056</v>
      </c>
      <c r="AT515" t="s">
        <v>3005</v>
      </c>
      <c r="AV515" t="s">
        <v>610</v>
      </c>
      <c r="AY515" t="s">
        <v>177</v>
      </c>
      <c r="AZ515" t="s">
        <v>364</v>
      </c>
      <c r="BA515" t="s">
        <v>4506</v>
      </c>
      <c r="BC515" t="s">
        <v>140</v>
      </c>
      <c r="BT515" s="7">
        <f t="shared" si="43"/>
        <v>0</v>
      </c>
      <c r="BU515" s="6">
        <f t="shared" si="44"/>
        <v>0</v>
      </c>
      <c r="BV515" s="6">
        <f t="shared" si="45"/>
        <v>0</v>
      </c>
      <c r="BW515" s="6">
        <f t="shared" si="46"/>
        <v>0</v>
      </c>
      <c r="BX515" s="6">
        <f t="shared" si="47"/>
        <v>0</v>
      </c>
    </row>
    <row r="516" spans="1:76" x14ac:dyDescent="0.35">
      <c r="A516" t="s">
        <v>4507</v>
      </c>
      <c r="B516" t="s">
        <v>107</v>
      </c>
      <c r="C516" t="s">
        <v>107</v>
      </c>
      <c r="F516" t="s">
        <v>613</v>
      </c>
      <c r="G516" t="s">
        <v>614</v>
      </c>
      <c r="H516" t="s">
        <v>615</v>
      </c>
      <c r="I516" t="s">
        <v>271</v>
      </c>
      <c r="J516" t="s">
        <v>113</v>
      </c>
      <c r="K516" s="8" t="s">
        <v>114</v>
      </c>
      <c r="L516" t="s">
        <v>114</v>
      </c>
      <c r="M516" s="6">
        <v>0</v>
      </c>
      <c r="N516" t="s">
        <v>114</v>
      </c>
      <c r="O516" s="6">
        <v>0</v>
      </c>
      <c r="P516" t="s">
        <v>114</v>
      </c>
      <c r="Q516" s="6">
        <v>0</v>
      </c>
      <c r="R516" s="7">
        <f t="shared" si="42"/>
        <v>0</v>
      </c>
      <c r="S516" t="s">
        <v>114</v>
      </c>
      <c r="T516" t="s">
        <v>114</v>
      </c>
      <c r="U516" t="s">
        <v>114</v>
      </c>
      <c r="W516" t="s">
        <v>114</v>
      </c>
      <c r="X516" t="s">
        <v>114</v>
      </c>
      <c r="Z516" t="s">
        <v>4508</v>
      </c>
      <c r="AA516" t="s">
        <v>4508</v>
      </c>
      <c r="AB516" s="1" t="s">
        <v>4509</v>
      </c>
      <c r="AC516" t="s">
        <v>4510</v>
      </c>
      <c r="AD516" t="s">
        <v>4511</v>
      </c>
      <c r="AH516" t="s">
        <v>123</v>
      </c>
      <c r="AI516" t="s">
        <v>124</v>
      </c>
      <c r="AJ516" t="s">
        <v>4512</v>
      </c>
      <c r="AK516" t="s">
        <v>126</v>
      </c>
      <c r="AL516" t="s">
        <v>127</v>
      </c>
      <c r="AN516" t="s">
        <v>4513</v>
      </c>
      <c r="AO516" t="s">
        <v>4514</v>
      </c>
      <c r="AP516" t="s">
        <v>4515</v>
      </c>
      <c r="AQ516" t="s">
        <v>131</v>
      </c>
      <c r="AR516" t="s">
        <v>132</v>
      </c>
      <c r="AS516" t="s">
        <v>466</v>
      </c>
      <c r="AT516" t="s">
        <v>467</v>
      </c>
      <c r="AV516" t="s">
        <v>4516</v>
      </c>
      <c r="AW516" t="s">
        <v>191</v>
      </c>
      <c r="AY516" t="s">
        <v>177</v>
      </c>
      <c r="AZ516" t="s">
        <v>627</v>
      </c>
      <c r="BA516" t="s">
        <v>4517</v>
      </c>
      <c r="BC516" t="s">
        <v>140</v>
      </c>
      <c r="BT516" s="7">
        <f t="shared" si="43"/>
        <v>0</v>
      </c>
      <c r="BU516" s="6">
        <f t="shared" si="44"/>
        <v>0</v>
      </c>
      <c r="BV516" s="6">
        <f t="shared" si="45"/>
        <v>0</v>
      </c>
      <c r="BW516" s="6">
        <f t="shared" si="46"/>
        <v>0</v>
      </c>
      <c r="BX516" s="6">
        <f t="shared" si="47"/>
        <v>0</v>
      </c>
    </row>
    <row r="517" spans="1:76" x14ac:dyDescent="0.35">
      <c r="A517" t="s">
        <v>4518</v>
      </c>
      <c r="B517" t="s">
        <v>107</v>
      </c>
      <c r="C517" t="s">
        <v>107</v>
      </c>
      <c r="F517" t="s">
        <v>484</v>
      </c>
      <c r="G517" t="s">
        <v>159</v>
      </c>
      <c r="H517" t="s">
        <v>485</v>
      </c>
      <c r="I517" t="s">
        <v>341</v>
      </c>
      <c r="J517" t="s">
        <v>113</v>
      </c>
      <c r="K517" s="8" t="s">
        <v>114</v>
      </c>
      <c r="L517" t="s">
        <v>114</v>
      </c>
      <c r="M517" s="6">
        <v>0</v>
      </c>
      <c r="N517" t="s">
        <v>114</v>
      </c>
      <c r="O517" s="6">
        <v>0</v>
      </c>
      <c r="P517" t="s">
        <v>114</v>
      </c>
      <c r="Q517" s="6">
        <v>0</v>
      </c>
      <c r="R517" s="7">
        <f t="shared" ref="R517:R580" si="48">M517-O517+Q517</f>
        <v>0</v>
      </c>
      <c r="S517" t="s">
        <v>114</v>
      </c>
      <c r="T517" t="s">
        <v>114</v>
      </c>
      <c r="U517" t="s">
        <v>114</v>
      </c>
      <c r="W517" t="s">
        <v>114</v>
      </c>
      <c r="X517" t="s">
        <v>114</v>
      </c>
      <c r="Z517" t="s">
        <v>4508</v>
      </c>
      <c r="AA517" t="s">
        <v>4508</v>
      </c>
      <c r="AB517" s="1" t="s">
        <v>4519</v>
      </c>
      <c r="AC517" t="s">
        <v>4520</v>
      </c>
      <c r="AD517" t="s">
        <v>4521</v>
      </c>
      <c r="AH517" t="s">
        <v>123</v>
      </c>
      <c r="AI517" t="s">
        <v>124</v>
      </c>
      <c r="AJ517" t="s">
        <v>4522</v>
      </c>
      <c r="AK517" t="s">
        <v>126</v>
      </c>
      <c r="AL517" t="s">
        <v>127</v>
      </c>
      <c r="AN517" t="s">
        <v>4523</v>
      </c>
      <c r="AO517" t="s">
        <v>4524</v>
      </c>
      <c r="AP517" t="s">
        <v>4525</v>
      </c>
      <c r="AQ517" t="s">
        <v>131</v>
      </c>
      <c r="AR517" t="s">
        <v>132</v>
      </c>
      <c r="AS517" t="s">
        <v>867</v>
      </c>
      <c r="AT517" t="s">
        <v>868</v>
      </c>
      <c r="AV517" t="s">
        <v>758</v>
      </c>
      <c r="AW517" t="s">
        <v>625</v>
      </c>
      <c r="AY517" t="s">
        <v>177</v>
      </c>
      <c r="AZ517" t="s">
        <v>356</v>
      </c>
      <c r="BA517" t="s">
        <v>4526</v>
      </c>
      <c r="BC517" t="s">
        <v>140</v>
      </c>
      <c r="BT517" s="7">
        <f t="shared" ref="BT517:BT580" si="49">+R517</f>
        <v>0</v>
      </c>
      <c r="BU517" s="6">
        <f t="shared" ref="BU517:BU580" si="50">+BT517/1.07</f>
        <v>0</v>
      </c>
      <c r="BV517" s="6">
        <f t="shared" ref="BV517:BV580" si="51">+BU517*7/100</f>
        <v>0</v>
      </c>
      <c r="BW517" s="6">
        <f t="shared" ref="BW517:BW580" si="52">+BU517+BV517</f>
        <v>0</v>
      </c>
      <c r="BX517" s="6">
        <f t="shared" ref="BX517:BX580" si="53">+BW517-BT517</f>
        <v>0</v>
      </c>
    </row>
    <row r="518" spans="1:76" x14ac:dyDescent="0.35">
      <c r="A518" t="s">
        <v>4527</v>
      </c>
      <c r="B518" t="s">
        <v>107</v>
      </c>
      <c r="C518" t="s">
        <v>107</v>
      </c>
      <c r="F518" t="s">
        <v>613</v>
      </c>
      <c r="G518" t="s">
        <v>614</v>
      </c>
      <c r="H518" t="s">
        <v>615</v>
      </c>
      <c r="I518" t="s">
        <v>271</v>
      </c>
      <c r="J518" t="s">
        <v>113</v>
      </c>
      <c r="K518" s="8" t="s">
        <v>114</v>
      </c>
      <c r="L518" t="s">
        <v>114</v>
      </c>
      <c r="M518" s="6">
        <v>0</v>
      </c>
      <c r="N518" t="s">
        <v>114</v>
      </c>
      <c r="O518" s="6">
        <v>0</v>
      </c>
      <c r="P518" t="s">
        <v>114</v>
      </c>
      <c r="Q518" s="6">
        <v>0</v>
      </c>
      <c r="R518" s="7">
        <f t="shared" si="48"/>
        <v>0</v>
      </c>
      <c r="S518" t="s">
        <v>114</v>
      </c>
      <c r="T518" t="s">
        <v>114</v>
      </c>
      <c r="U518" t="s">
        <v>114</v>
      </c>
      <c r="W518" t="s">
        <v>114</v>
      </c>
      <c r="X518" t="s">
        <v>114</v>
      </c>
      <c r="Z518" t="s">
        <v>4528</v>
      </c>
      <c r="AA518" t="s">
        <v>4528</v>
      </c>
      <c r="AB518" s="1" t="s">
        <v>4465</v>
      </c>
      <c r="AC518" t="s">
        <v>4494</v>
      </c>
      <c r="AD518" t="s">
        <v>4529</v>
      </c>
      <c r="AH518" t="s">
        <v>123</v>
      </c>
      <c r="AI518" t="s">
        <v>124</v>
      </c>
      <c r="AJ518" t="s">
        <v>4530</v>
      </c>
      <c r="AK518" t="s">
        <v>126</v>
      </c>
      <c r="AL518" t="s">
        <v>127</v>
      </c>
      <c r="AN518" t="s">
        <v>4531</v>
      </c>
      <c r="AO518" t="s">
        <v>4532</v>
      </c>
      <c r="AP518" t="s">
        <v>4533</v>
      </c>
      <c r="AQ518" t="s">
        <v>131</v>
      </c>
      <c r="AR518" t="s">
        <v>132</v>
      </c>
      <c r="AS518" t="s">
        <v>1280</v>
      </c>
      <c r="AT518" t="s">
        <v>1281</v>
      </c>
      <c r="AV518" t="s">
        <v>626</v>
      </c>
      <c r="AY518" t="s">
        <v>177</v>
      </c>
      <c r="AZ518" t="s">
        <v>627</v>
      </c>
      <c r="BA518" t="s">
        <v>4534</v>
      </c>
      <c r="BC518" t="s">
        <v>140</v>
      </c>
      <c r="BT518" s="7">
        <f t="shared" si="49"/>
        <v>0</v>
      </c>
      <c r="BU518" s="6">
        <f t="shared" si="50"/>
        <v>0</v>
      </c>
      <c r="BV518" s="6">
        <f t="shared" si="51"/>
        <v>0</v>
      </c>
      <c r="BW518" s="6">
        <f t="shared" si="52"/>
        <v>0</v>
      </c>
      <c r="BX518" s="6">
        <f t="shared" si="53"/>
        <v>0</v>
      </c>
    </row>
    <row r="519" spans="1:76" x14ac:dyDescent="0.35">
      <c r="A519" t="s">
        <v>4535</v>
      </c>
      <c r="B519" t="s">
        <v>107</v>
      </c>
      <c r="C519" t="s">
        <v>107</v>
      </c>
      <c r="F519" t="s">
        <v>358</v>
      </c>
      <c r="G519" t="s">
        <v>359</v>
      </c>
      <c r="H519" t="s">
        <v>360</v>
      </c>
      <c r="I519" t="s">
        <v>341</v>
      </c>
      <c r="J519" t="s">
        <v>113</v>
      </c>
      <c r="K519" s="8" t="s">
        <v>114</v>
      </c>
      <c r="L519" t="s">
        <v>114</v>
      </c>
      <c r="M519" s="6">
        <v>0</v>
      </c>
      <c r="N519" t="s">
        <v>114</v>
      </c>
      <c r="O519" s="6">
        <v>0</v>
      </c>
      <c r="P519" t="s">
        <v>114</v>
      </c>
      <c r="Q519" s="6">
        <v>0</v>
      </c>
      <c r="R519" s="7">
        <f t="shared" si="48"/>
        <v>0</v>
      </c>
      <c r="S519" t="s">
        <v>114</v>
      </c>
      <c r="T519" t="s">
        <v>114</v>
      </c>
      <c r="U519" t="s">
        <v>114</v>
      </c>
      <c r="W519" t="s">
        <v>114</v>
      </c>
      <c r="X519" t="s">
        <v>114</v>
      </c>
      <c r="Z519" t="s">
        <v>4536</v>
      </c>
      <c r="AA519" t="s">
        <v>4536</v>
      </c>
      <c r="AB519" s="1" t="s">
        <v>4475</v>
      </c>
      <c r="AC519" t="s">
        <v>4537</v>
      </c>
      <c r="AD519" t="s">
        <v>4538</v>
      </c>
      <c r="AH519" t="s">
        <v>123</v>
      </c>
      <c r="AI519" t="s">
        <v>124</v>
      </c>
      <c r="AJ519" t="s">
        <v>4539</v>
      </c>
      <c r="AK519" t="s">
        <v>126</v>
      </c>
      <c r="AL519" t="s">
        <v>127</v>
      </c>
      <c r="AN519" t="s">
        <v>4540</v>
      </c>
      <c r="AO519" t="s">
        <v>4541</v>
      </c>
      <c r="AP519" t="s">
        <v>4542</v>
      </c>
      <c r="AQ519" t="s">
        <v>131</v>
      </c>
      <c r="AR519" t="s">
        <v>132</v>
      </c>
      <c r="AS519" t="s">
        <v>217</v>
      </c>
      <c r="AT519" t="s">
        <v>4543</v>
      </c>
      <c r="AV519" t="s">
        <v>354</v>
      </c>
      <c r="AY519" t="s">
        <v>177</v>
      </c>
      <c r="AZ519" t="s">
        <v>364</v>
      </c>
      <c r="BA519" t="s">
        <v>4544</v>
      </c>
      <c r="BC519" t="s">
        <v>140</v>
      </c>
      <c r="BT519" s="7">
        <f t="shared" si="49"/>
        <v>0</v>
      </c>
      <c r="BU519" s="6">
        <f t="shared" si="50"/>
        <v>0</v>
      </c>
      <c r="BV519" s="6">
        <f t="shared" si="51"/>
        <v>0</v>
      </c>
      <c r="BW519" s="6">
        <f t="shared" si="52"/>
        <v>0</v>
      </c>
      <c r="BX519" s="6">
        <f t="shared" si="53"/>
        <v>0</v>
      </c>
    </row>
    <row r="520" spans="1:76" x14ac:dyDescent="0.35">
      <c r="A520" t="s">
        <v>4545</v>
      </c>
      <c r="B520" t="s">
        <v>107</v>
      </c>
      <c r="C520" t="s">
        <v>107</v>
      </c>
      <c r="F520" t="s">
        <v>358</v>
      </c>
      <c r="G520" t="s">
        <v>359</v>
      </c>
      <c r="H520" t="s">
        <v>360</v>
      </c>
      <c r="I520" t="s">
        <v>341</v>
      </c>
      <c r="J520" t="s">
        <v>113</v>
      </c>
      <c r="K520" s="8" t="s">
        <v>114</v>
      </c>
      <c r="L520" t="s">
        <v>114</v>
      </c>
      <c r="M520" s="6">
        <v>0</v>
      </c>
      <c r="N520" t="s">
        <v>114</v>
      </c>
      <c r="O520" s="6">
        <v>0</v>
      </c>
      <c r="P520" t="s">
        <v>114</v>
      </c>
      <c r="Q520" s="6">
        <v>0</v>
      </c>
      <c r="R520" s="7">
        <f t="shared" si="48"/>
        <v>0</v>
      </c>
      <c r="S520" t="s">
        <v>114</v>
      </c>
      <c r="T520" t="s">
        <v>114</v>
      </c>
      <c r="U520" t="s">
        <v>114</v>
      </c>
      <c r="W520" t="s">
        <v>114</v>
      </c>
      <c r="X520" t="s">
        <v>114</v>
      </c>
      <c r="Z520" t="s">
        <v>4546</v>
      </c>
      <c r="AA520" t="s">
        <v>4546</v>
      </c>
      <c r="AB520" s="1" t="s">
        <v>4519</v>
      </c>
      <c r="AC520" t="s">
        <v>4547</v>
      </c>
      <c r="AD520" t="s">
        <v>4548</v>
      </c>
      <c r="AH520" t="s">
        <v>123</v>
      </c>
      <c r="AI520" t="s">
        <v>124</v>
      </c>
      <c r="AJ520" t="s">
        <v>4549</v>
      </c>
      <c r="AK520" t="s">
        <v>126</v>
      </c>
      <c r="AL520" t="s">
        <v>127</v>
      </c>
      <c r="AN520" t="s">
        <v>4550</v>
      </c>
      <c r="AO520" t="s">
        <v>4551</v>
      </c>
      <c r="AP520" t="s">
        <v>4552</v>
      </c>
      <c r="AQ520" t="s">
        <v>131</v>
      </c>
      <c r="AR520" t="s">
        <v>132</v>
      </c>
      <c r="AS520" t="s">
        <v>387</v>
      </c>
      <c r="AT520" t="s">
        <v>2019</v>
      </c>
      <c r="AV520" t="s">
        <v>3239</v>
      </c>
      <c r="AW520" t="s">
        <v>1766</v>
      </c>
      <c r="AY520" t="s">
        <v>177</v>
      </c>
      <c r="AZ520" t="s">
        <v>364</v>
      </c>
      <c r="BA520" t="s">
        <v>4553</v>
      </c>
      <c r="BC520" t="s">
        <v>140</v>
      </c>
      <c r="BT520" s="7">
        <f t="shared" si="49"/>
        <v>0</v>
      </c>
      <c r="BU520" s="6">
        <f t="shared" si="50"/>
        <v>0</v>
      </c>
      <c r="BV520" s="6">
        <f t="shared" si="51"/>
        <v>0</v>
      </c>
      <c r="BW520" s="6">
        <f t="shared" si="52"/>
        <v>0</v>
      </c>
      <c r="BX520" s="6">
        <f t="shared" si="53"/>
        <v>0</v>
      </c>
    </row>
    <row r="521" spans="1:76" x14ac:dyDescent="0.35">
      <c r="A521" t="s">
        <v>4554</v>
      </c>
      <c r="B521" t="s">
        <v>107</v>
      </c>
      <c r="C521" t="s">
        <v>107</v>
      </c>
      <c r="F521" t="s">
        <v>613</v>
      </c>
      <c r="G521" t="s">
        <v>614</v>
      </c>
      <c r="H521" t="s">
        <v>615</v>
      </c>
      <c r="I521" t="s">
        <v>271</v>
      </c>
      <c r="J521" t="s">
        <v>113</v>
      </c>
      <c r="K521" s="8" t="s">
        <v>114</v>
      </c>
      <c r="L521" t="s">
        <v>114</v>
      </c>
      <c r="M521" s="6">
        <v>0</v>
      </c>
      <c r="N521" t="s">
        <v>114</v>
      </c>
      <c r="O521" s="6">
        <v>0</v>
      </c>
      <c r="P521" t="s">
        <v>114</v>
      </c>
      <c r="Q521" s="6">
        <v>0</v>
      </c>
      <c r="R521" s="7">
        <f t="shared" si="48"/>
        <v>0</v>
      </c>
      <c r="S521" t="s">
        <v>114</v>
      </c>
      <c r="T521" t="s">
        <v>114</v>
      </c>
      <c r="U521" t="s">
        <v>114</v>
      </c>
      <c r="W521" t="s">
        <v>114</v>
      </c>
      <c r="X521" t="s">
        <v>114</v>
      </c>
      <c r="Z521" t="s">
        <v>4555</v>
      </c>
      <c r="AA521" t="s">
        <v>4555</v>
      </c>
      <c r="AB521" s="1" t="s">
        <v>4556</v>
      </c>
      <c r="AC521" t="s">
        <v>4557</v>
      </c>
      <c r="AD521" t="s">
        <v>4558</v>
      </c>
      <c r="AH521" t="s">
        <v>123</v>
      </c>
      <c r="AI521" t="s">
        <v>124</v>
      </c>
      <c r="AJ521" t="s">
        <v>4559</v>
      </c>
      <c r="AK521" t="s">
        <v>126</v>
      </c>
      <c r="AL521" t="s">
        <v>127</v>
      </c>
      <c r="AN521" t="s">
        <v>4560</v>
      </c>
      <c r="AO521" t="s">
        <v>4561</v>
      </c>
      <c r="AP521" t="s">
        <v>4562</v>
      </c>
      <c r="AQ521" t="s">
        <v>131</v>
      </c>
      <c r="AR521" t="s">
        <v>233</v>
      </c>
      <c r="AS521" t="s">
        <v>4563</v>
      </c>
      <c r="AT521" t="s">
        <v>4564</v>
      </c>
      <c r="AV521" t="s">
        <v>204</v>
      </c>
      <c r="AY521" t="s">
        <v>177</v>
      </c>
      <c r="AZ521" t="s">
        <v>627</v>
      </c>
      <c r="BA521" t="s">
        <v>4565</v>
      </c>
      <c r="BC521" t="s">
        <v>140</v>
      </c>
      <c r="BT521" s="7">
        <f t="shared" si="49"/>
        <v>0</v>
      </c>
      <c r="BU521" s="6">
        <f t="shared" si="50"/>
        <v>0</v>
      </c>
      <c r="BV521" s="6">
        <f t="shared" si="51"/>
        <v>0</v>
      </c>
      <c r="BW521" s="6">
        <f t="shared" si="52"/>
        <v>0</v>
      </c>
      <c r="BX521" s="6">
        <f t="shared" si="53"/>
        <v>0</v>
      </c>
    </row>
    <row r="522" spans="1:76" x14ac:dyDescent="0.35">
      <c r="A522" t="s">
        <v>4566</v>
      </c>
      <c r="B522" t="s">
        <v>107</v>
      </c>
      <c r="C522" t="s">
        <v>107</v>
      </c>
      <c r="F522" t="s">
        <v>613</v>
      </c>
      <c r="G522" t="s">
        <v>614</v>
      </c>
      <c r="H522" t="s">
        <v>615</v>
      </c>
      <c r="I522" t="s">
        <v>271</v>
      </c>
      <c r="J522" t="s">
        <v>113</v>
      </c>
      <c r="K522" s="8" t="s">
        <v>114</v>
      </c>
      <c r="L522" t="s">
        <v>114</v>
      </c>
      <c r="M522" s="6">
        <v>0</v>
      </c>
      <c r="N522" t="s">
        <v>114</v>
      </c>
      <c r="O522" s="6">
        <v>0</v>
      </c>
      <c r="P522" t="s">
        <v>114</v>
      </c>
      <c r="Q522" s="6">
        <v>0</v>
      </c>
      <c r="R522" s="7">
        <f t="shared" si="48"/>
        <v>0</v>
      </c>
      <c r="S522" t="s">
        <v>114</v>
      </c>
      <c r="T522" t="s">
        <v>114</v>
      </c>
      <c r="U522" t="s">
        <v>114</v>
      </c>
      <c r="W522" t="s">
        <v>114</v>
      </c>
      <c r="X522" t="s">
        <v>114</v>
      </c>
      <c r="Z522" t="s">
        <v>4567</v>
      </c>
      <c r="AA522" t="s">
        <v>4567</v>
      </c>
      <c r="AB522" s="1" t="s">
        <v>4465</v>
      </c>
      <c r="AC522" t="s">
        <v>4568</v>
      </c>
      <c r="AD522" t="s">
        <v>4569</v>
      </c>
      <c r="AH522" t="s">
        <v>123</v>
      </c>
      <c r="AI522" t="s">
        <v>124</v>
      </c>
      <c r="AJ522" t="s">
        <v>4570</v>
      </c>
      <c r="AK522" t="s">
        <v>126</v>
      </c>
      <c r="AL522" t="s">
        <v>127</v>
      </c>
      <c r="AN522" t="s">
        <v>4571</v>
      </c>
      <c r="AO522" t="s">
        <v>4572</v>
      </c>
      <c r="AP522" t="s">
        <v>4573</v>
      </c>
      <c r="AQ522" t="s">
        <v>131</v>
      </c>
      <c r="AR522" t="s">
        <v>132</v>
      </c>
      <c r="AS522" t="s">
        <v>152</v>
      </c>
      <c r="AT522" t="s">
        <v>809</v>
      </c>
      <c r="AV522" t="s">
        <v>219</v>
      </c>
      <c r="AY522" t="s">
        <v>177</v>
      </c>
      <c r="AZ522" t="s">
        <v>627</v>
      </c>
      <c r="BA522" t="s">
        <v>4574</v>
      </c>
      <c r="BC522" t="s">
        <v>140</v>
      </c>
      <c r="BT522" s="7">
        <f t="shared" si="49"/>
        <v>0</v>
      </c>
      <c r="BU522" s="6">
        <f t="shared" si="50"/>
        <v>0</v>
      </c>
      <c r="BV522" s="6">
        <f t="shared" si="51"/>
        <v>0</v>
      </c>
      <c r="BW522" s="6">
        <f t="shared" si="52"/>
        <v>0</v>
      </c>
      <c r="BX522" s="6">
        <f t="shared" si="53"/>
        <v>0</v>
      </c>
    </row>
    <row r="523" spans="1:76" x14ac:dyDescent="0.35">
      <c r="A523" t="s">
        <v>4575</v>
      </c>
      <c r="B523" t="s">
        <v>107</v>
      </c>
      <c r="C523" t="s">
        <v>107</v>
      </c>
      <c r="F523" t="s">
        <v>158</v>
      </c>
      <c r="G523" t="s">
        <v>159</v>
      </c>
      <c r="H523" t="s">
        <v>111</v>
      </c>
      <c r="I523" t="s">
        <v>341</v>
      </c>
      <c r="J523" t="s">
        <v>113</v>
      </c>
      <c r="K523" s="8" t="s">
        <v>114</v>
      </c>
      <c r="L523" t="s">
        <v>114</v>
      </c>
      <c r="M523" s="6">
        <v>0</v>
      </c>
      <c r="N523" t="s">
        <v>114</v>
      </c>
      <c r="O523" s="6">
        <v>0</v>
      </c>
      <c r="P523" t="s">
        <v>114</v>
      </c>
      <c r="Q523" s="6">
        <v>0</v>
      </c>
      <c r="R523" s="7">
        <f t="shared" si="48"/>
        <v>0</v>
      </c>
      <c r="S523" t="s">
        <v>114</v>
      </c>
      <c r="T523" t="s">
        <v>114</v>
      </c>
      <c r="U523" t="s">
        <v>114</v>
      </c>
      <c r="W523" t="s">
        <v>114</v>
      </c>
      <c r="X523" t="s">
        <v>114</v>
      </c>
      <c r="Z523" t="s">
        <v>4576</v>
      </c>
      <c r="AA523" t="s">
        <v>4577</v>
      </c>
      <c r="AB523" s="1" t="s">
        <v>4578</v>
      </c>
      <c r="AC523" t="s">
        <v>4579</v>
      </c>
      <c r="AD523" t="s">
        <v>4580</v>
      </c>
      <c r="AH523" t="s">
        <v>123</v>
      </c>
      <c r="AI523" t="s">
        <v>124</v>
      </c>
      <c r="AJ523" t="s">
        <v>4581</v>
      </c>
      <c r="AK523" t="s">
        <v>126</v>
      </c>
      <c r="AL523" t="s">
        <v>127</v>
      </c>
      <c r="AN523" t="s">
        <v>4582</v>
      </c>
      <c r="AO523" t="s">
        <v>4583</v>
      </c>
      <c r="AP523" t="s">
        <v>4584</v>
      </c>
      <c r="AQ523" t="s">
        <v>131</v>
      </c>
      <c r="AR523" t="s">
        <v>132</v>
      </c>
      <c r="AS523" t="s">
        <v>4585</v>
      </c>
      <c r="AT523" t="s">
        <v>4586</v>
      </c>
      <c r="AV523" t="s">
        <v>4587</v>
      </c>
      <c r="AY523" t="s">
        <v>177</v>
      </c>
      <c r="AZ523" t="s">
        <v>138</v>
      </c>
      <c r="BA523" t="s">
        <v>4588</v>
      </c>
      <c r="BC523" t="s">
        <v>140</v>
      </c>
      <c r="BT523" s="7">
        <f t="shared" si="49"/>
        <v>0</v>
      </c>
      <c r="BU523" s="6">
        <f t="shared" si="50"/>
        <v>0</v>
      </c>
      <c r="BV523" s="6">
        <f t="shared" si="51"/>
        <v>0</v>
      </c>
      <c r="BW523" s="6">
        <f t="shared" si="52"/>
        <v>0</v>
      </c>
      <c r="BX523" s="6">
        <f t="shared" si="53"/>
        <v>0</v>
      </c>
    </row>
    <row r="524" spans="1:76" x14ac:dyDescent="0.35">
      <c r="A524" t="s">
        <v>4589</v>
      </c>
      <c r="B524" t="s">
        <v>107</v>
      </c>
      <c r="C524" t="s">
        <v>107</v>
      </c>
      <c r="E524" t="s">
        <v>108</v>
      </c>
      <c r="F524" t="s">
        <v>338</v>
      </c>
      <c r="G524" t="s">
        <v>339</v>
      </c>
      <c r="H524" t="s">
        <v>340</v>
      </c>
      <c r="I524" t="s">
        <v>341</v>
      </c>
      <c r="J524" t="s">
        <v>113</v>
      </c>
      <c r="K524" s="8" t="s">
        <v>114</v>
      </c>
      <c r="L524" t="s">
        <v>114</v>
      </c>
      <c r="M524" s="6">
        <v>0</v>
      </c>
      <c r="N524" t="s">
        <v>114</v>
      </c>
      <c r="O524" s="6">
        <v>0</v>
      </c>
      <c r="P524" t="s">
        <v>114</v>
      </c>
      <c r="Q524" s="6">
        <v>0</v>
      </c>
      <c r="R524" s="7">
        <f t="shared" si="48"/>
        <v>0</v>
      </c>
      <c r="S524" t="s">
        <v>180</v>
      </c>
      <c r="T524" t="s">
        <v>114</v>
      </c>
      <c r="U524" t="s">
        <v>180</v>
      </c>
      <c r="W524" t="s">
        <v>114</v>
      </c>
      <c r="X524" t="s">
        <v>4037</v>
      </c>
      <c r="Z524" t="s">
        <v>4590</v>
      </c>
      <c r="AA524" t="s">
        <v>4591</v>
      </c>
      <c r="AB524" s="1" t="s">
        <v>4592</v>
      </c>
      <c r="AC524" t="s">
        <v>4593</v>
      </c>
      <c r="AD524" t="s">
        <v>4591</v>
      </c>
      <c r="AH524" t="s">
        <v>123</v>
      </c>
      <c r="AI524" t="s">
        <v>124</v>
      </c>
      <c r="AJ524" t="s">
        <v>4594</v>
      </c>
      <c r="AK524" t="s">
        <v>126</v>
      </c>
      <c r="AL524" t="s">
        <v>127</v>
      </c>
      <c r="AN524" t="s">
        <v>4595</v>
      </c>
      <c r="AO524" t="s">
        <v>4596</v>
      </c>
      <c r="AP524" t="s">
        <v>4597</v>
      </c>
      <c r="AQ524" t="s">
        <v>131</v>
      </c>
      <c r="AR524" t="s">
        <v>132</v>
      </c>
      <c r="AS524" t="s">
        <v>352</v>
      </c>
      <c r="AT524" t="s">
        <v>4598</v>
      </c>
      <c r="AV524" t="s">
        <v>940</v>
      </c>
      <c r="AX524" t="s">
        <v>136</v>
      </c>
      <c r="AY524" t="s">
        <v>177</v>
      </c>
      <c r="AZ524" t="s">
        <v>356</v>
      </c>
      <c r="BA524" t="s">
        <v>4599</v>
      </c>
      <c r="BC524" t="s">
        <v>140</v>
      </c>
      <c r="BT524" s="7">
        <f t="shared" si="49"/>
        <v>0</v>
      </c>
      <c r="BU524" s="6">
        <f t="shared" si="50"/>
        <v>0</v>
      </c>
      <c r="BV524" s="6">
        <f t="shared" si="51"/>
        <v>0</v>
      </c>
      <c r="BW524" s="6">
        <f t="shared" si="52"/>
        <v>0</v>
      </c>
      <c r="BX524" s="6">
        <f t="shared" si="53"/>
        <v>0</v>
      </c>
    </row>
    <row r="525" spans="1:76" x14ac:dyDescent="0.35">
      <c r="A525" t="s">
        <v>4589</v>
      </c>
      <c r="B525" t="s">
        <v>107</v>
      </c>
      <c r="C525" t="s">
        <v>107</v>
      </c>
      <c r="E525" t="s">
        <v>108</v>
      </c>
      <c r="F525" t="s">
        <v>358</v>
      </c>
      <c r="G525" t="s">
        <v>359</v>
      </c>
      <c r="H525" t="s">
        <v>360</v>
      </c>
      <c r="I525" t="s">
        <v>341</v>
      </c>
      <c r="J525" t="s">
        <v>113</v>
      </c>
      <c r="K525" s="8" t="s">
        <v>114</v>
      </c>
      <c r="L525" t="s">
        <v>361</v>
      </c>
      <c r="M525" s="6">
        <v>233</v>
      </c>
      <c r="N525" t="s">
        <v>114</v>
      </c>
      <c r="O525" s="6">
        <v>127</v>
      </c>
      <c r="P525" t="s">
        <v>4037</v>
      </c>
      <c r="Q525" s="6">
        <v>0</v>
      </c>
      <c r="R525" s="7">
        <f t="shared" si="48"/>
        <v>106</v>
      </c>
      <c r="S525" t="s">
        <v>180</v>
      </c>
      <c r="T525" t="s">
        <v>114</v>
      </c>
      <c r="U525" t="s">
        <v>180</v>
      </c>
      <c r="W525" t="s">
        <v>114</v>
      </c>
      <c r="X525" t="s">
        <v>4037</v>
      </c>
      <c r="Z525" t="s">
        <v>4590</v>
      </c>
      <c r="AA525" t="s">
        <v>4591</v>
      </c>
      <c r="AB525" s="1" t="s">
        <v>4592</v>
      </c>
      <c r="AC525" t="s">
        <v>4593</v>
      </c>
      <c r="AD525" t="s">
        <v>4591</v>
      </c>
      <c r="AH525" t="s">
        <v>123</v>
      </c>
      <c r="AI525" t="s">
        <v>124</v>
      </c>
      <c r="AJ525" t="s">
        <v>4594</v>
      </c>
      <c r="AK525" t="s">
        <v>126</v>
      </c>
      <c r="AL525" t="s">
        <v>127</v>
      </c>
      <c r="AN525" t="s">
        <v>4595</v>
      </c>
      <c r="AO525" t="s">
        <v>4596</v>
      </c>
      <c r="AP525" t="s">
        <v>4597</v>
      </c>
      <c r="AQ525" t="s">
        <v>131</v>
      </c>
      <c r="AR525" t="s">
        <v>132</v>
      </c>
      <c r="AS525" t="s">
        <v>352</v>
      </c>
      <c r="AT525" t="s">
        <v>4598</v>
      </c>
      <c r="AV525" t="s">
        <v>940</v>
      </c>
      <c r="AX525" t="s">
        <v>136</v>
      </c>
      <c r="AY525" t="s">
        <v>177</v>
      </c>
      <c r="AZ525" t="s">
        <v>364</v>
      </c>
      <c r="BA525" t="s">
        <v>4599</v>
      </c>
      <c r="BC525" t="s">
        <v>140</v>
      </c>
      <c r="BT525" s="7">
        <f t="shared" si="49"/>
        <v>106</v>
      </c>
      <c r="BU525" s="6">
        <f t="shared" si="50"/>
        <v>99.065420560747654</v>
      </c>
      <c r="BV525" s="6">
        <f t="shared" si="51"/>
        <v>6.9345794392523361</v>
      </c>
      <c r="BW525" s="6">
        <f t="shared" si="52"/>
        <v>105.99999999999999</v>
      </c>
      <c r="BX525" s="6">
        <f t="shared" si="53"/>
        <v>0</v>
      </c>
    </row>
    <row r="526" spans="1:76" x14ac:dyDescent="0.35">
      <c r="A526" t="s">
        <v>4600</v>
      </c>
      <c r="B526" t="s">
        <v>107</v>
      </c>
      <c r="C526" t="s">
        <v>107</v>
      </c>
      <c r="E526" t="s">
        <v>108</v>
      </c>
      <c r="F526" t="s">
        <v>268</v>
      </c>
      <c r="G526" t="s">
        <v>269</v>
      </c>
      <c r="H526" t="s">
        <v>2268</v>
      </c>
      <c r="I526" t="s">
        <v>271</v>
      </c>
      <c r="J526" t="s">
        <v>113</v>
      </c>
      <c r="K526" s="8" t="s">
        <v>114</v>
      </c>
      <c r="L526" t="s">
        <v>114</v>
      </c>
      <c r="M526" s="6">
        <v>0</v>
      </c>
      <c r="N526" t="s">
        <v>114</v>
      </c>
      <c r="O526" s="6">
        <v>0</v>
      </c>
      <c r="P526" t="s">
        <v>114</v>
      </c>
      <c r="Q526" s="6">
        <v>0</v>
      </c>
      <c r="R526" s="7">
        <f t="shared" si="48"/>
        <v>0</v>
      </c>
      <c r="S526" t="s">
        <v>180</v>
      </c>
      <c r="T526" t="s">
        <v>114</v>
      </c>
      <c r="U526" t="s">
        <v>180</v>
      </c>
      <c r="W526" t="s">
        <v>114</v>
      </c>
      <c r="X526" t="s">
        <v>4601</v>
      </c>
      <c r="Z526" t="s">
        <v>4602</v>
      </c>
      <c r="AA526" t="s">
        <v>4603</v>
      </c>
      <c r="AB526" s="1" t="s">
        <v>4509</v>
      </c>
      <c r="AC526" t="s">
        <v>4604</v>
      </c>
      <c r="AD526" t="s">
        <v>4603</v>
      </c>
      <c r="AH526" t="s">
        <v>123</v>
      </c>
      <c r="AI526" t="s">
        <v>124</v>
      </c>
      <c r="AJ526" t="s">
        <v>4605</v>
      </c>
      <c r="AK526" t="s">
        <v>126</v>
      </c>
      <c r="AL526" t="s">
        <v>127</v>
      </c>
      <c r="AN526" t="s">
        <v>4606</v>
      </c>
      <c r="AO526" t="s">
        <v>4607</v>
      </c>
      <c r="AP526" t="s">
        <v>4608</v>
      </c>
      <c r="AQ526" t="s">
        <v>131</v>
      </c>
      <c r="AR526" t="s">
        <v>132</v>
      </c>
      <c r="AS526" t="s">
        <v>1056</v>
      </c>
      <c r="AT526" t="s">
        <v>4609</v>
      </c>
      <c r="AV526" t="s">
        <v>236</v>
      </c>
      <c r="AW526" t="s">
        <v>546</v>
      </c>
      <c r="AX526" t="s">
        <v>136</v>
      </c>
      <c r="AY526" t="s">
        <v>272</v>
      </c>
      <c r="AZ526" t="s">
        <v>273</v>
      </c>
      <c r="BA526" t="s">
        <v>4610</v>
      </c>
      <c r="BC526" t="s">
        <v>140</v>
      </c>
      <c r="BT526" s="7">
        <f t="shared" si="49"/>
        <v>0</v>
      </c>
      <c r="BU526" s="6">
        <f t="shared" si="50"/>
        <v>0</v>
      </c>
      <c r="BV526" s="6">
        <f t="shared" si="51"/>
        <v>0</v>
      </c>
      <c r="BW526" s="6">
        <f t="shared" si="52"/>
        <v>0</v>
      </c>
      <c r="BX526" s="6">
        <f t="shared" si="53"/>
        <v>0</v>
      </c>
    </row>
    <row r="527" spans="1:76" x14ac:dyDescent="0.35">
      <c r="A527" t="s">
        <v>4600</v>
      </c>
      <c r="B527" t="s">
        <v>107</v>
      </c>
      <c r="C527" t="s">
        <v>107</v>
      </c>
      <c r="E527" t="s">
        <v>108</v>
      </c>
      <c r="F527" t="s">
        <v>158</v>
      </c>
      <c r="G527" t="s">
        <v>159</v>
      </c>
      <c r="H527" t="s">
        <v>111</v>
      </c>
      <c r="I527" t="s">
        <v>341</v>
      </c>
      <c r="J527" t="s">
        <v>113</v>
      </c>
      <c r="K527" s="8" t="s">
        <v>114</v>
      </c>
      <c r="L527" t="s">
        <v>161</v>
      </c>
      <c r="M527" s="6">
        <v>459</v>
      </c>
      <c r="N527" t="s">
        <v>4611</v>
      </c>
      <c r="O527" s="6">
        <v>220</v>
      </c>
      <c r="P527" t="s">
        <v>4601</v>
      </c>
      <c r="Q527" s="6">
        <v>0</v>
      </c>
      <c r="R527" s="7">
        <f t="shared" si="48"/>
        <v>239</v>
      </c>
      <c r="S527" t="s">
        <v>180</v>
      </c>
      <c r="T527" t="s">
        <v>114</v>
      </c>
      <c r="U527" t="s">
        <v>180</v>
      </c>
      <c r="W527" t="s">
        <v>114</v>
      </c>
      <c r="X527" t="s">
        <v>4601</v>
      </c>
      <c r="Z527" t="s">
        <v>4602</v>
      </c>
      <c r="AA527" t="s">
        <v>4603</v>
      </c>
      <c r="AB527" s="1" t="s">
        <v>4509</v>
      </c>
      <c r="AC527" t="s">
        <v>4604</v>
      </c>
      <c r="AD527" t="s">
        <v>4603</v>
      </c>
      <c r="AH527" t="s">
        <v>123</v>
      </c>
      <c r="AI527" t="s">
        <v>124</v>
      </c>
      <c r="AJ527" t="s">
        <v>4605</v>
      </c>
      <c r="AK527" t="s">
        <v>126</v>
      </c>
      <c r="AL527" t="s">
        <v>127</v>
      </c>
      <c r="AN527" t="s">
        <v>4606</v>
      </c>
      <c r="AO527" t="s">
        <v>4607</v>
      </c>
      <c r="AP527" t="s">
        <v>4608</v>
      </c>
      <c r="AQ527" t="s">
        <v>131</v>
      </c>
      <c r="AR527" t="s">
        <v>132</v>
      </c>
      <c r="AS527" t="s">
        <v>1056</v>
      </c>
      <c r="AT527" t="s">
        <v>4609</v>
      </c>
      <c r="AV527" t="s">
        <v>236</v>
      </c>
      <c r="AW527" t="s">
        <v>546</v>
      </c>
      <c r="AX527" t="s">
        <v>136</v>
      </c>
      <c r="AY527" t="s">
        <v>177</v>
      </c>
      <c r="AZ527" t="s">
        <v>138</v>
      </c>
      <c r="BA527" t="s">
        <v>4610</v>
      </c>
      <c r="BC527" t="s">
        <v>140</v>
      </c>
      <c r="BT527" s="7">
        <f t="shared" si="49"/>
        <v>239</v>
      </c>
      <c r="BU527" s="6">
        <f t="shared" si="50"/>
        <v>223.36448598130841</v>
      </c>
      <c r="BV527" s="6">
        <f t="shared" si="51"/>
        <v>15.635514018691588</v>
      </c>
      <c r="BW527" s="6">
        <f t="shared" si="52"/>
        <v>239</v>
      </c>
      <c r="BX527" s="6">
        <f t="shared" si="53"/>
        <v>0</v>
      </c>
    </row>
    <row r="528" spans="1:76" x14ac:dyDescent="0.35">
      <c r="A528" t="s">
        <v>4612</v>
      </c>
      <c r="B528" t="s">
        <v>107</v>
      </c>
      <c r="C528" t="s">
        <v>107</v>
      </c>
      <c r="E528" t="s">
        <v>108</v>
      </c>
      <c r="F528" t="s">
        <v>338</v>
      </c>
      <c r="G528" t="s">
        <v>339</v>
      </c>
      <c r="H528" t="s">
        <v>340</v>
      </c>
      <c r="I528" t="s">
        <v>341</v>
      </c>
      <c r="J528" t="s">
        <v>113</v>
      </c>
      <c r="K528" s="8" t="s">
        <v>114</v>
      </c>
      <c r="L528" t="s">
        <v>114</v>
      </c>
      <c r="M528" s="6">
        <v>0</v>
      </c>
      <c r="N528" t="s">
        <v>114</v>
      </c>
      <c r="O528" s="6">
        <v>0</v>
      </c>
      <c r="P528" t="s">
        <v>114</v>
      </c>
      <c r="Q528" s="6">
        <v>0</v>
      </c>
      <c r="R528" s="7">
        <f t="shared" si="48"/>
        <v>0</v>
      </c>
      <c r="S528" t="s">
        <v>180</v>
      </c>
      <c r="T528" t="s">
        <v>114</v>
      </c>
      <c r="U528" t="s">
        <v>180</v>
      </c>
      <c r="W528" t="s">
        <v>114</v>
      </c>
      <c r="X528" t="s">
        <v>4037</v>
      </c>
      <c r="Z528" t="s">
        <v>4613</v>
      </c>
      <c r="AA528" t="s">
        <v>4614</v>
      </c>
      <c r="AB528" s="1" t="s">
        <v>4556</v>
      </c>
      <c r="AC528" t="s">
        <v>4615</v>
      </c>
      <c r="AD528" t="s">
        <v>4614</v>
      </c>
      <c r="AH528" t="s">
        <v>123</v>
      </c>
      <c r="AI528" t="s">
        <v>124</v>
      </c>
      <c r="AJ528" t="s">
        <v>4616</v>
      </c>
      <c r="AK528" t="s">
        <v>126</v>
      </c>
      <c r="AL528" t="s">
        <v>127</v>
      </c>
      <c r="AN528" t="s">
        <v>4617</v>
      </c>
      <c r="AO528" t="s">
        <v>4618</v>
      </c>
      <c r="AP528" t="s">
        <v>4619</v>
      </c>
      <c r="AQ528" t="s">
        <v>131</v>
      </c>
      <c r="AR528" t="s">
        <v>132</v>
      </c>
      <c r="AS528" t="s">
        <v>839</v>
      </c>
      <c r="AT528" t="s">
        <v>840</v>
      </c>
      <c r="AV528" t="s">
        <v>965</v>
      </c>
      <c r="AX528" t="s">
        <v>136</v>
      </c>
      <c r="AY528" t="s">
        <v>177</v>
      </c>
      <c r="AZ528" t="s">
        <v>356</v>
      </c>
      <c r="BA528" t="s">
        <v>4620</v>
      </c>
      <c r="BC528" t="s">
        <v>140</v>
      </c>
      <c r="BT528" s="7">
        <f t="shared" si="49"/>
        <v>0</v>
      </c>
      <c r="BU528" s="6">
        <f t="shared" si="50"/>
        <v>0</v>
      </c>
      <c r="BV528" s="6">
        <f t="shared" si="51"/>
        <v>0</v>
      </c>
      <c r="BW528" s="6">
        <f t="shared" si="52"/>
        <v>0</v>
      </c>
      <c r="BX528" s="6">
        <f t="shared" si="53"/>
        <v>0</v>
      </c>
    </row>
    <row r="529" spans="1:76" x14ac:dyDescent="0.35">
      <c r="A529" t="s">
        <v>4612</v>
      </c>
      <c r="B529" t="s">
        <v>107</v>
      </c>
      <c r="C529" t="s">
        <v>107</v>
      </c>
      <c r="E529" t="s">
        <v>108</v>
      </c>
      <c r="F529" t="s">
        <v>358</v>
      </c>
      <c r="G529" t="s">
        <v>359</v>
      </c>
      <c r="H529" t="s">
        <v>360</v>
      </c>
      <c r="I529" t="s">
        <v>341</v>
      </c>
      <c r="J529" t="s">
        <v>113</v>
      </c>
      <c r="K529" s="8" t="s">
        <v>114</v>
      </c>
      <c r="L529" t="s">
        <v>361</v>
      </c>
      <c r="M529" s="6">
        <v>233</v>
      </c>
      <c r="N529" t="s">
        <v>114</v>
      </c>
      <c r="O529" s="6">
        <v>127</v>
      </c>
      <c r="P529" t="s">
        <v>4037</v>
      </c>
      <c r="Q529" s="6">
        <v>0</v>
      </c>
      <c r="R529" s="7">
        <f t="shared" si="48"/>
        <v>106</v>
      </c>
      <c r="S529" t="s">
        <v>180</v>
      </c>
      <c r="T529" t="s">
        <v>114</v>
      </c>
      <c r="U529" t="s">
        <v>180</v>
      </c>
      <c r="W529" t="s">
        <v>114</v>
      </c>
      <c r="X529" t="s">
        <v>4037</v>
      </c>
      <c r="Z529" t="s">
        <v>4613</v>
      </c>
      <c r="AA529" t="s">
        <v>4614</v>
      </c>
      <c r="AB529" s="1" t="s">
        <v>4556</v>
      </c>
      <c r="AC529" t="s">
        <v>4615</v>
      </c>
      <c r="AD529" t="s">
        <v>4614</v>
      </c>
      <c r="AH529" t="s">
        <v>123</v>
      </c>
      <c r="AI529" t="s">
        <v>124</v>
      </c>
      <c r="AJ529" t="s">
        <v>4616</v>
      </c>
      <c r="AK529" t="s">
        <v>126</v>
      </c>
      <c r="AL529" t="s">
        <v>127</v>
      </c>
      <c r="AN529" t="s">
        <v>4617</v>
      </c>
      <c r="AO529" t="s">
        <v>4618</v>
      </c>
      <c r="AP529" t="s">
        <v>4619</v>
      </c>
      <c r="AQ529" t="s">
        <v>131</v>
      </c>
      <c r="AR529" t="s">
        <v>132</v>
      </c>
      <c r="AS529" t="s">
        <v>839</v>
      </c>
      <c r="AT529" t="s">
        <v>840</v>
      </c>
      <c r="AV529" t="s">
        <v>965</v>
      </c>
      <c r="AX529" t="s">
        <v>136</v>
      </c>
      <c r="AY529" t="s">
        <v>177</v>
      </c>
      <c r="AZ529" t="s">
        <v>364</v>
      </c>
      <c r="BA529" t="s">
        <v>4620</v>
      </c>
      <c r="BC529" t="s">
        <v>140</v>
      </c>
      <c r="BT529" s="7">
        <f t="shared" si="49"/>
        <v>106</v>
      </c>
      <c r="BU529" s="6">
        <f t="shared" si="50"/>
        <v>99.065420560747654</v>
      </c>
      <c r="BV529" s="6">
        <f t="shared" si="51"/>
        <v>6.9345794392523361</v>
      </c>
      <c r="BW529" s="6">
        <f t="shared" si="52"/>
        <v>105.99999999999999</v>
      </c>
      <c r="BX529" s="6">
        <f t="shared" si="53"/>
        <v>0</v>
      </c>
    </row>
    <row r="530" spans="1:76" x14ac:dyDescent="0.35">
      <c r="A530" t="s">
        <v>4621</v>
      </c>
      <c r="B530" t="s">
        <v>107</v>
      </c>
      <c r="C530" t="s">
        <v>107</v>
      </c>
      <c r="E530" t="s">
        <v>108</v>
      </c>
      <c r="F530" t="s">
        <v>158</v>
      </c>
      <c r="G530" t="s">
        <v>159</v>
      </c>
      <c r="H530" t="s">
        <v>111</v>
      </c>
      <c r="I530" t="s">
        <v>341</v>
      </c>
      <c r="J530" t="s">
        <v>113</v>
      </c>
      <c r="K530" s="8" t="s">
        <v>114</v>
      </c>
      <c r="L530" t="s">
        <v>161</v>
      </c>
      <c r="M530" s="6">
        <v>459</v>
      </c>
      <c r="N530" t="s">
        <v>4622</v>
      </c>
      <c r="O530" s="6">
        <v>220</v>
      </c>
      <c r="P530" t="s">
        <v>4623</v>
      </c>
      <c r="Q530" s="6">
        <v>0</v>
      </c>
      <c r="R530" s="7">
        <f t="shared" si="48"/>
        <v>239</v>
      </c>
      <c r="S530" t="s">
        <v>180</v>
      </c>
      <c r="T530" t="s">
        <v>114</v>
      </c>
      <c r="U530" t="s">
        <v>180</v>
      </c>
      <c r="W530" t="s">
        <v>114</v>
      </c>
      <c r="X530" t="s">
        <v>4623</v>
      </c>
      <c r="Z530" t="s">
        <v>4624</v>
      </c>
      <c r="AA530" t="s">
        <v>4625</v>
      </c>
      <c r="AB530" s="1" t="s">
        <v>4465</v>
      </c>
      <c r="AC530" t="s">
        <v>4626</v>
      </c>
      <c r="AD530" t="s">
        <v>4625</v>
      </c>
      <c r="AH530" t="s">
        <v>123</v>
      </c>
      <c r="AI530" t="s">
        <v>124</v>
      </c>
      <c r="AJ530" t="s">
        <v>4627</v>
      </c>
      <c r="AK530" t="s">
        <v>126</v>
      </c>
      <c r="AL530" t="s">
        <v>127</v>
      </c>
      <c r="AN530" t="s">
        <v>4628</v>
      </c>
      <c r="AO530" t="s">
        <v>4629</v>
      </c>
      <c r="AP530" t="s">
        <v>4630</v>
      </c>
      <c r="AQ530" t="s">
        <v>131</v>
      </c>
      <c r="AR530" t="s">
        <v>132</v>
      </c>
      <c r="AS530" t="s">
        <v>1181</v>
      </c>
      <c r="AT530" t="s">
        <v>3206</v>
      </c>
      <c r="AV530" t="s">
        <v>154</v>
      </c>
      <c r="AX530" t="s">
        <v>136</v>
      </c>
      <c r="AY530" t="s">
        <v>177</v>
      </c>
      <c r="AZ530" t="s">
        <v>138</v>
      </c>
      <c r="BA530" t="s">
        <v>4631</v>
      </c>
      <c r="BC530" t="s">
        <v>140</v>
      </c>
      <c r="BT530" s="7">
        <f t="shared" si="49"/>
        <v>239</v>
      </c>
      <c r="BU530" s="6">
        <f t="shared" si="50"/>
        <v>223.36448598130841</v>
      </c>
      <c r="BV530" s="6">
        <f t="shared" si="51"/>
        <v>15.635514018691588</v>
      </c>
      <c r="BW530" s="6">
        <f t="shared" si="52"/>
        <v>239</v>
      </c>
      <c r="BX530" s="6">
        <f t="shared" si="53"/>
        <v>0</v>
      </c>
    </row>
    <row r="531" spans="1:76" x14ac:dyDescent="0.35">
      <c r="A531" t="s">
        <v>4621</v>
      </c>
      <c r="B531" t="s">
        <v>107</v>
      </c>
      <c r="C531" t="s">
        <v>107</v>
      </c>
      <c r="E531" t="s">
        <v>108</v>
      </c>
      <c r="F531" t="s">
        <v>268</v>
      </c>
      <c r="G531" t="s">
        <v>269</v>
      </c>
      <c r="H531" t="s">
        <v>2268</v>
      </c>
      <c r="I531" t="s">
        <v>271</v>
      </c>
      <c r="J531" t="s">
        <v>113</v>
      </c>
      <c r="K531" s="8" t="s">
        <v>114</v>
      </c>
      <c r="L531" t="s">
        <v>114</v>
      </c>
      <c r="M531" s="6">
        <v>0</v>
      </c>
      <c r="N531" t="s">
        <v>114</v>
      </c>
      <c r="O531" s="6">
        <v>0</v>
      </c>
      <c r="P531" t="s">
        <v>114</v>
      </c>
      <c r="Q531" s="6">
        <v>0</v>
      </c>
      <c r="R531" s="7">
        <f t="shared" si="48"/>
        <v>0</v>
      </c>
      <c r="S531" t="s">
        <v>180</v>
      </c>
      <c r="T531" t="s">
        <v>114</v>
      </c>
      <c r="U531" t="s">
        <v>180</v>
      </c>
      <c r="W531" t="s">
        <v>114</v>
      </c>
      <c r="X531" t="s">
        <v>4623</v>
      </c>
      <c r="Z531" t="s">
        <v>4624</v>
      </c>
      <c r="AA531" t="s">
        <v>4625</v>
      </c>
      <c r="AB531" s="1" t="s">
        <v>4465</v>
      </c>
      <c r="AC531" t="s">
        <v>4626</v>
      </c>
      <c r="AD531" t="s">
        <v>4625</v>
      </c>
      <c r="AH531" t="s">
        <v>123</v>
      </c>
      <c r="AI531" t="s">
        <v>124</v>
      </c>
      <c r="AJ531" t="s">
        <v>4627</v>
      </c>
      <c r="AK531" t="s">
        <v>126</v>
      </c>
      <c r="AL531" t="s">
        <v>127</v>
      </c>
      <c r="AN531" t="s">
        <v>4628</v>
      </c>
      <c r="AO531" t="s">
        <v>4629</v>
      </c>
      <c r="AP531" t="s">
        <v>4630</v>
      </c>
      <c r="AQ531" t="s">
        <v>131</v>
      </c>
      <c r="AR531" t="s">
        <v>132</v>
      </c>
      <c r="AS531" t="s">
        <v>1181</v>
      </c>
      <c r="AT531" t="s">
        <v>3206</v>
      </c>
      <c r="AV531" t="s">
        <v>154</v>
      </c>
      <c r="AX531" t="s">
        <v>136</v>
      </c>
      <c r="AY531" t="s">
        <v>272</v>
      </c>
      <c r="AZ531" t="s">
        <v>273</v>
      </c>
      <c r="BA531" t="s">
        <v>4631</v>
      </c>
      <c r="BC531" t="s">
        <v>140</v>
      </c>
      <c r="BT531" s="7">
        <f t="shared" si="49"/>
        <v>0</v>
      </c>
      <c r="BU531" s="6">
        <f t="shared" si="50"/>
        <v>0</v>
      </c>
      <c r="BV531" s="6">
        <f t="shared" si="51"/>
        <v>0</v>
      </c>
      <c r="BW531" s="6">
        <f t="shared" si="52"/>
        <v>0</v>
      </c>
      <c r="BX531" s="6">
        <f t="shared" si="53"/>
        <v>0</v>
      </c>
    </row>
    <row r="532" spans="1:76" x14ac:dyDescent="0.35">
      <c r="A532" t="s">
        <v>4632</v>
      </c>
      <c r="B532" t="s">
        <v>107</v>
      </c>
      <c r="C532" t="s">
        <v>107</v>
      </c>
      <c r="E532" t="s">
        <v>108</v>
      </c>
      <c r="F532" t="s">
        <v>158</v>
      </c>
      <c r="G532" t="s">
        <v>159</v>
      </c>
      <c r="H532" t="s">
        <v>111</v>
      </c>
      <c r="I532" t="s">
        <v>341</v>
      </c>
      <c r="J532" t="s">
        <v>113</v>
      </c>
      <c r="K532" s="8" t="s">
        <v>114</v>
      </c>
      <c r="L532" t="s">
        <v>161</v>
      </c>
      <c r="M532" s="6">
        <v>459</v>
      </c>
      <c r="N532" t="s">
        <v>2928</v>
      </c>
      <c r="O532" s="6">
        <v>220</v>
      </c>
      <c r="P532" t="s">
        <v>895</v>
      </c>
      <c r="Q532" s="6">
        <v>0</v>
      </c>
      <c r="R532" s="7">
        <f t="shared" si="48"/>
        <v>239</v>
      </c>
      <c r="S532" t="s">
        <v>142</v>
      </c>
      <c r="T532" t="s">
        <v>114</v>
      </c>
      <c r="U532" t="s">
        <v>142</v>
      </c>
      <c r="W532" t="s">
        <v>114</v>
      </c>
      <c r="X532" t="s">
        <v>895</v>
      </c>
      <c r="Z532" t="s">
        <v>4633</v>
      </c>
      <c r="AA532" t="s">
        <v>4634</v>
      </c>
      <c r="AB532" s="1" t="s">
        <v>4519</v>
      </c>
      <c r="AC532" t="s">
        <v>4635</v>
      </c>
      <c r="AD532" t="s">
        <v>4634</v>
      </c>
      <c r="AH532" t="s">
        <v>123</v>
      </c>
      <c r="AI532" t="s">
        <v>124</v>
      </c>
      <c r="AJ532" t="s">
        <v>4636</v>
      </c>
      <c r="AK532" t="s">
        <v>126</v>
      </c>
      <c r="AL532" t="s">
        <v>127</v>
      </c>
      <c r="AN532" t="s">
        <v>770</v>
      </c>
      <c r="AO532" t="s">
        <v>771</v>
      </c>
      <c r="AP532" t="s">
        <v>772</v>
      </c>
      <c r="AQ532" t="s">
        <v>131</v>
      </c>
      <c r="AR532" t="s">
        <v>132</v>
      </c>
      <c r="AS532" t="s">
        <v>152</v>
      </c>
      <c r="AT532" t="s">
        <v>609</v>
      </c>
      <c r="AV532" t="s">
        <v>355</v>
      </c>
      <c r="AW532" t="s">
        <v>773</v>
      </c>
      <c r="AX532" t="s">
        <v>136</v>
      </c>
      <c r="AY532" t="s">
        <v>177</v>
      </c>
      <c r="AZ532" t="s">
        <v>138</v>
      </c>
      <c r="BA532" t="s">
        <v>4637</v>
      </c>
      <c r="BC532" t="s">
        <v>140</v>
      </c>
      <c r="BT532" s="7">
        <f t="shared" si="49"/>
        <v>239</v>
      </c>
      <c r="BU532" s="6">
        <f t="shared" si="50"/>
        <v>223.36448598130841</v>
      </c>
      <c r="BV532" s="6">
        <f t="shared" si="51"/>
        <v>15.635514018691588</v>
      </c>
      <c r="BW532" s="6">
        <f t="shared" si="52"/>
        <v>239</v>
      </c>
      <c r="BX532" s="6">
        <f t="shared" si="53"/>
        <v>0</v>
      </c>
    </row>
    <row r="533" spans="1:76" x14ac:dyDescent="0.35">
      <c r="A533" t="s">
        <v>4638</v>
      </c>
      <c r="B533" t="s">
        <v>107</v>
      </c>
      <c r="C533" t="s">
        <v>107</v>
      </c>
      <c r="E533" t="s">
        <v>108</v>
      </c>
      <c r="F533" t="s">
        <v>158</v>
      </c>
      <c r="G533" t="s">
        <v>159</v>
      </c>
      <c r="H533" t="s">
        <v>111</v>
      </c>
      <c r="I533" t="s">
        <v>341</v>
      </c>
      <c r="J533" t="s">
        <v>113</v>
      </c>
      <c r="K533" s="8" t="s">
        <v>114</v>
      </c>
      <c r="L533" t="s">
        <v>161</v>
      </c>
      <c r="M533" s="6">
        <v>459</v>
      </c>
      <c r="N533" t="s">
        <v>2928</v>
      </c>
      <c r="O533" s="6">
        <v>220</v>
      </c>
      <c r="P533" t="s">
        <v>895</v>
      </c>
      <c r="Q533" s="6">
        <v>0</v>
      </c>
      <c r="R533" s="7">
        <f t="shared" si="48"/>
        <v>239</v>
      </c>
      <c r="S533" t="s">
        <v>142</v>
      </c>
      <c r="T533" t="s">
        <v>114</v>
      </c>
      <c r="U533" t="s">
        <v>142</v>
      </c>
      <c r="W533" t="s">
        <v>114</v>
      </c>
      <c r="X533" t="s">
        <v>895</v>
      </c>
      <c r="Z533" t="s">
        <v>4639</v>
      </c>
      <c r="AA533" t="s">
        <v>4640</v>
      </c>
      <c r="AB533" s="1" t="s">
        <v>4641</v>
      </c>
      <c r="AC533" t="s">
        <v>4642</v>
      </c>
      <c r="AD533" t="s">
        <v>4640</v>
      </c>
      <c r="AH533" t="s">
        <v>123</v>
      </c>
      <c r="AI533" t="s">
        <v>124</v>
      </c>
      <c r="AJ533" t="s">
        <v>4643</v>
      </c>
      <c r="AK533" t="s">
        <v>126</v>
      </c>
      <c r="AL533" t="s">
        <v>127</v>
      </c>
      <c r="AN533" t="s">
        <v>770</v>
      </c>
      <c r="AO533" t="s">
        <v>771</v>
      </c>
      <c r="AP533" t="s">
        <v>772</v>
      </c>
      <c r="AQ533" t="s">
        <v>131</v>
      </c>
      <c r="AR533" t="s">
        <v>132</v>
      </c>
      <c r="AS533" t="s">
        <v>152</v>
      </c>
      <c r="AT533" t="s">
        <v>609</v>
      </c>
      <c r="AV533" t="s">
        <v>355</v>
      </c>
      <c r="AW533" t="s">
        <v>773</v>
      </c>
      <c r="AX533" t="s">
        <v>136</v>
      </c>
      <c r="AY533" t="s">
        <v>177</v>
      </c>
      <c r="AZ533" t="s">
        <v>138</v>
      </c>
      <c r="BA533" t="s">
        <v>4644</v>
      </c>
      <c r="BC533" t="s">
        <v>140</v>
      </c>
      <c r="BT533" s="7">
        <f t="shared" si="49"/>
        <v>239</v>
      </c>
      <c r="BU533" s="6">
        <f t="shared" si="50"/>
        <v>223.36448598130841</v>
      </c>
      <c r="BV533" s="6">
        <f t="shared" si="51"/>
        <v>15.635514018691588</v>
      </c>
      <c r="BW533" s="6">
        <f t="shared" si="52"/>
        <v>239</v>
      </c>
      <c r="BX533" s="6">
        <f t="shared" si="53"/>
        <v>0</v>
      </c>
    </row>
    <row r="534" spans="1:76" x14ac:dyDescent="0.35">
      <c r="A534" t="s">
        <v>4638</v>
      </c>
      <c r="B534" t="s">
        <v>107</v>
      </c>
      <c r="C534" t="s">
        <v>107</v>
      </c>
      <c r="E534" t="s">
        <v>108</v>
      </c>
      <c r="F534" t="s">
        <v>268</v>
      </c>
      <c r="G534" t="s">
        <v>269</v>
      </c>
      <c r="H534" t="s">
        <v>2268</v>
      </c>
      <c r="I534" t="s">
        <v>271</v>
      </c>
      <c r="J534" t="s">
        <v>113</v>
      </c>
      <c r="K534" s="8" t="s">
        <v>114</v>
      </c>
      <c r="L534" t="s">
        <v>114</v>
      </c>
      <c r="M534" s="6">
        <v>0</v>
      </c>
      <c r="N534" t="s">
        <v>114</v>
      </c>
      <c r="O534" s="6">
        <v>0</v>
      </c>
      <c r="P534" t="s">
        <v>114</v>
      </c>
      <c r="Q534" s="6">
        <v>0</v>
      </c>
      <c r="R534" s="7">
        <f t="shared" si="48"/>
        <v>0</v>
      </c>
      <c r="S534" t="s">
        <v>142</v>
      </c>
      <c r="T534" t="s">
        <v>114</v>
      </c>
      <c r="U534" t="s">
        <v>142</v>
      </c>
      <c r="W534" t="s">
        <v>114</v>
      </c>
      <c r="X534" t="s">
        <v>895</v>
      </c>
      <c r="Z534" t="s">
        <v>4639</v>
      </c>
      <c r="AA534" t="s">
        <v>4640</v>
      </c>
      <c r="AB534" s="1" t="s">
        <v>4641</v>
      </c>
      <c r="AC534" t="s">
        <v>4642</v>
      </c>
      <c r="AD534" t="s">
        <v>4640</v>
      </c>
      <c r="AH534" t="s">
        <v>123</v>
      </c>
      <c r="AI534" t="s">
        <v>124</v>
      </c>
      <c r="AJ534" t="s">
        <v>4643</v>
      </c>
      <c r="AK534" t="s">
        <v>126</v>
      </c>
      <c r="AL534" t="s">
        <v>127</v>
      </c>
      <c r="AN534" t="s">
        <v>770</v>
      </c>
      <c r="AO534" t="s">
        <v>771</v>
      </c>
      <c r="AP534" t="s">
        <v>772</v>
      </c>
      <c r="AQ534" t="s">
        <v>131</v>
      </c>
      <c r="AR534" t="s">
        <v>132</v>
      </c>
      <c r="AS534" t="s">
        <v>152</v>
      </c>
      <c r="AT534" t="s">
        <v>609</v>
      </c>
      <c r="AV534" t="s">
        <v>355</v>
      </c>
      <c r="AW534" t="s">
        <v>773</v>
      </c>
      <c r="AX534" t="s">
        <v>136</v>
      </c>
      <c r="AY534" t="s">
        <v>272</v>
      </c>
      <c r="AZ534" t="s">
        <v>273</v>
      </c>
      <c r="BA534" t="s">
        <v>4644</v>
      </c>
      <c r="BC534" t="s">
        <v>140</v>
      </c>
      <c r="BT534" s="7">
        <f t="shared" si="49"/>
        <v>0</v>
      </c>
      <c r="BU534" s="6">
        <f t="shared" si="50"/>
        <v>0</v>
      </c>
      <c r="BV534" s="6">
        <f t="shared" si="51"/>
        <v>0</v>
      </c>
      <c r="BW534" s="6">
        <f t="shared" si="52"/>
        <v>0</v>
      </c>
      <c r="BX534" s="6">
        <f t="shared" si="53"/>
        <v>0</v>
      </c>
    </row>
    <row r="535" spans="1:76" x14ac:dyDescent="0.35">
      <c r="A535" t="s">
        <v>4645</v>
      </c>
      <c r="B535" t="s">
        <v>107</v>
      </c>
      <c r="C535" t="s">
        <v>107</v>
      </c>
      <c r="E535" t="s">
        <v>108</v>
      </c>
      <c r="F535" t="s">
        <v>158</v>
      </c>
      <c r="G535" t="s">
        <v>159</v>
      </c>
      <c r="H535" t="s">
        <v>111</v>
      </c>
      <c r="I535" t="s">
        <v>341</v>
      </c>
      <c r="J535" t="s">
        <v>113</v>
      </c>
      <c r="K535" s="8" t="s">
        <v>114</v>
      </c>
      <c r="L535" t="s">
        <v>161</v>
      </c>
      <c r="M535" s="6">
        <v>459</v>
      </c>
      <c r="N535" t="s">
        <v>994</v>
      </c>
      <c r="O535" s="6">
        <v>220</v>
      </c>
      <c r="P535" t="s">
        <v>1151</v>
      </c>
      <c r="Q535" s="6">
        <v>0</v>
      </c>
      <c r="R535" s="7">
        <f t="shared" si="48"/>
        <v>239</v>
      </c>
      <c r="S535" t="s">
        <v>180</v>
      </c>
      <c r="T535" t="s">
        <v>114</v>
      </c>
      <c r="U535" t="s">
        <v>180</v>
      </c>
      <c r="W535" t="s">
        <v>114</v>
      </c>
      <c r="X535" t="s">
        <v>1151</v>
      </c>
      <c r="Z535" t="s">
        <v>4646</v>
      </c>
      <c r="AA535" t="s">
        <v>4647</v>
      </c>
      <c r="AB535" s="1" t="s">
        <v>4556</v>
      </c>
      <c r="AC535" t="s">
        <v>4648</v>
      </c>
      <c r="AD535" t="s">
        <v>4647</v>
      </c>
      <c r="AH535" t="s">
        <v>123</v>
      </c>
      <c r="AI535" t="s">
        <v>124</v>
      </c>
      <c r="AJ535" t="s">
        <v>4649</v>
      </c>
      <c r="AK535" t="s">
        <v>126</v>
      </c>
      <c r="AL535" t="s">
        <v>127</v>
      </c>
      <c r="AN535" t="s">
        <v>4650</v>
      </c>
      <c r="AO535" t="s">
        <v>4651</v>
      </c>
      <c r="AP535" t="s">
        <v>4652</v>
      </c>
      <c r="AQ535" t="s">
        <v>131</v>
      </c>
      <c r="AR535" t="s">
        <v>132</v>
      </c>
      <c r="AS535" t="s">
        <v>3271</v>
      </c>
      <c r="AT535" t="s">
        <v>3272</v>
      </c>
      <c r="AV535" t="s">
        <v>759</v>
      </c>
      <c r="AX535" t="s">
        <v>136</v>
      </c>
      <c r="AY535" t="s">
        <v>177</v>
      </c>
      <c r="AZ535" t="s">
        <v>138</v>
      </c>
      <c r="BA535" t="s">
        <v>4653</v>
      </c>
      <c r="BC535" t="s">
        <v>140</v>
      </c>
      <c r="BT535" s="7">
        <f t="shared" si="49"/>
        <v>239</v>
      </c>
      <c r="BU535" s="6">
        <f t="shared" si="50"/>
        <v>223.36448598130841</v>
      </c>
      <c r="BV535" s="6">
        <f t="shared" si="51"/>
        <v>15.635514018691588</v>
      </c>
      <c r="BW535" s="6">
        <f t="shared" si="52"/>
        <v>239</v>
      </c>
      <c r="BX535" s="6">
        <f t="shared" si="53"/>
        <v>0</v>
      </c>
    </row>
    <row r="536" spans="1:76" x14ac:dyDescent="0.35">
      <c r="A536" t="s">
        <v>4645</v>
      </c>
      <c r="B536" t="s">
        <v>107</v>
      </c>
      <c r="C536" t="s">
        <v>107</v>
      </c>
      <c r="E536" t="s">
        <v>108</v>
      </c>
      <c r="F536" t="s">
        <v>268</v>
      </c>
      <c r="G536" t="s">
        <v>269</v>
      </c>
      <c r="H536" t="s">
        <v>2268</v>
      </c>
      <c r="I536" t="s">
        <v>271</v>
      </c>
      <c r="J536" t="s">
        <v>113</v>
      </c>
      <c r="K536" s="8" t="s">
        <v>114</v>
      </c>
      <c r="L536" t="s">
        <v>114</v>
      </c>
      <c r="M536" s="6">
        <v>0</v>
      </c>
      <c r="N536" t="s">
        <v>114</v>
      </c>
      <c r="O536" s="6">
        <v>0</v>
      </c>
      <c r="P536" t="s">
        <v>114</v>
      </c>
      <c r="Q536" s="6">
        <v>0</v>
      </c>
      <c r="R536" s="7">
        <f t="shared" si="48"/>
        <v>0</v>
      </c>
      <c r="S536" t="s">
        <v>180</v>
      </c>
      <c r="T536" t="s">
        <v>114</v>
      </c>
      <c r="U536" t="s">
        <v>180</v>
      </c>
      <c r="W536" t="s">
        <v>114</v>
      </c>
      <c r="X536" t="s">
        <v>1151</v>
      </c>
      <c r="Z536" t="s">
        <v>4646</v>
      </c>
      <c r="AA536" t="s">
        <v>4647</v>
      </c>
      <c r="AB536" s="1" t="s">
        <v>4556</v>
      </c>
      <c r="AC536" t="s">
        <v>4648</v>
      </c>
      <c r="AD536" t="s">
        <v>4647</v>
      </c>
      <c r="AH536" t="s">
        <v>123</v>
      </c>
      <c r="AI536" t="s">
        <v>124</v>
      </c>
      <c r="AJ536" t="s">
        <v>4649</v>
      </c>
      <c r="AK536" t="s">
        <v>126</v>
      </c>
      <c r="AL536" t="s">
        <v>127</v>
      </c>
      <c r="AN536" t="s">
        <v>4650</v>
      </c>
      <c r="AO536" t="s">
        <v>4651</v>
      </c>
      <c r="AP536" t="s">
        <v>4652</v>
      </c>
      <c r="AQ536" t="s">
        <v>131</v>
      </c>
      <c r="AR536" t="s">
        <v>132</v>
      </c>
      <c r="AS536" t="s">
        <v>3271</v>
      </c>
      <c r="AT536" t="s">
        <v>3272</v>
      </c>
      <c r="AV536" t="s">
        <v>759</v>
      </c>
      <c r="AX536" t="s">
        <v>136</v>
      </c>
      <c r="AY536" t="s">
        <v>272</v>
      </c>
      <c r="AZ536" t="s">
        <v>273</v>
      </c>
      <c r="BA536" t="s">
        <v>4653</v>
      </c>
      <c r="BC536" t="s">
        <v>140</v>
      </c>
      <c r="BT536" s="7">
        <f t="shared" si="49"/>
        <v>0</v>
      </c>
      <c r="BU536" s="6">
        <f t="shared" si="50"/>
        <v>0</v>
      </c>
      <c r="BV536" s="6">
        <f t="shared" si="51"/>
        <v>0</v>
      </c>
      <c r="BW536" s="6">
        <f t="shared" si="52"/>
        <v>0</v>
      </c>
      <c r="BX536" s="6">
        <f t="shared" si="53"/>
        <v>0</v>
      </c>
    </row>
    <row r="537" spans="1:76" x14ac:dyDescent="0.35">
      <c r="A537" t="s">
        <v>4654</v>
      </c>
      <c r="B537" t="s">
        <v>107</v>
      </c>
      <c r="C537" t="s">
        <v>107</v>
      </c>
      <c r="F537" t="s">
        <v>358</v>
      </c>
      <c r="G537" t="s">
        <v>359</v>
      </c>
      <c r="H537" t="s">
        <v>360</v>
      </c>
      <c r="I537" t="s">
        <v>341</v>
      </c>
      <c r="J537" t="s">
        <v>113</v>
      </c>
      <c r="K537" s="8" t="s">
        <v>114</v>
      </c>
      <c r="L537" t="s">
        <v>114</v>
      </c>
      <c r="M537" s="6">
        <v>0</v>
      </c>
      <c r="N537" t="s">
        <v>114</v>
      </c>
      <c r="O537" s="6">
        <v>0</v>
      </c>
      <c r="P537" t="s">
        <v>114</v>
      </c>
      <c r="Q537" s="6">
        <v>0</v>
      </c>
      <c r="R537" s="7">
        <f t="shared" si="48"/>
        <v>0</v>
      </c>
      <c r="S537" t="s">
        <v>114</v>
      </c>
      <c r="T537" t="s">
        <v>114</v>
      </c>
      <c r="U537" t="s">
        <v>114</v>
      </c>
      <c r="W537" t="s">
        <v>114</v>
      </c>
      <c r="X537" t="s">
        <v>114</v>
      </c>
      <c r="Z537" t="s">
        <v>4655</v>
      </c>
      <c r="AA537" t="s">
        <v>4655</v>
      </c>
      <c r="AB537" s="1" t="s">
        <v>4556</v>
      </c>
      <c r="AC537" t="s">
        <v>4656</v>
      </c>
      <c r="AD537" t="s">
        <v>4657</v>
      </c>
      <c r="AH537" t="s">
        <v>123</v>
      </c>
      <c r="AI537" t="s">
        <v>124</v>
      </c>
      <c r="AJ537" t="s">
        <v>4658</v>
      </c>
      <c r="AK537" t="s">
        <v>126</v>
      </c>
      <c r="AL537" t="s">
        <v>127</v>
      </c>
      <c r="AN537" t="s">
        <v>4659</v>
      </c>
      <c r="AO537" t="s">
        <v>4660</v>
      </c>
      <c r="AP537" t="s">
        <v>4661</v>
      </c>
      <c r="AQ537" t="s">
        <v>131</v>
      </c>
      <c r="AR537" t="s">
        <v>132</v>
      </c>
      <c r="AS537" t="s">
        <v>4308</v>
      </c>
      <c r="AT537" t="s">
        <v>4309</v>
      </c>
      <c r="AV537" t="s">
        <v>530</v>
      </c>
      <c r="AY537" t="s">
        <v>177</v>
      </c>
      <c r="AZ537" t="s">
        <v>364</v>
      </c>
      <c r="BA537" t="s">
        <v>4662</v>
      </c>
      <c r="BC537" t="s">
        <v>140</v>
      </c>
      <c r="BT537" s="7">
        <f t="shared" si="49"/>
        <v>0</v>
      </c>
      <c r="BU537" s="6">
        <f t="shared" si="50"/>
        <v>0</v>
      </c>
      <c r="BV537" s="6">
        <f t="shared" si="51"/>
        <v>0</v>
      </c>
      <c r="BW537" s="6">
        <f t="shared" si="52"/>
        <v>0</v>
      </c>
      <c r="BX537" s="6">
        <f t="shared" si="53"/>
        <v>0</v>
      </c>
    </row>
    <row r="538" spans="1:76" x14ac:dyDescent="0.35">
      <c r="A538" t="s">
        <v>4663</v>
      </c>
      <c r="B538" t="s">
        <v>107</v>
      </c>
      <c r="C538" t="s">
        <v>107</v>
      </c>
      <c r="F538" t="s">
        <v>158</v>
      </c>
      <c r="G538" t="s">
        <v>159</v>
      </c>
      <c r="H538" t="s">
        <v>111</v>
      </c>
      <c r="I538" t="s">
        <v>341</v>
      </c>
      <c r="J538" t="s">
        <v>113</v>
      </c>
      <c r="K538" s="8" t="s">
        <v>114</v>
      </c>
      <c r="L538" t="s">
        <v>114</v>
      </c>
      <c r="M538" s="6">
        <v>0</v>
      </c>
      <c r="N538" t="s">
        <v>114</v>
      </c>
      <c r="O538" s="6">
        <v>0</v>
      </c>
      <c r="P538" t="s">
        <v>114</v>
      </c>
      <c r="Q538" s="6">
        <v>0</v>
      </c>
      <c r="R538" s="7">
        <f t="shared" si="48"/>
        <v>0</v>
      </c>
      <c r="S538" t="s">
        <v>114</v>
      </c>
      <c r="T538" t="s">
        <v>114</v>
      </c>
      <c r="U538" t="s">
        <v>114</v>
      </c>
      <c r="W538" t="s">
        <v>114</v>
      </c>
      <c r="X538" t="s">
        <v>114</v>
      </c>
      <c r="Z538" t="s">
        <v>4664</v>
      </c>
      <c r="AA538" t="s">
        <v>4665</v>
      </c>
      <c r="AB538" s="1" t="s">
        <v>4556</v>
      </c>
      <c r="AC538" t="s">
        <v>4666</v>
      </c>
      <c r="AD538" t="s">
        <v>4667</v>
      </c>
      <c r="AH538" t="s">
        <v>123</v>
      </c>
      <c r="AI538" t="s">
        <v>124</v>
      </c>
      <c r="AJ538" t="s">
        <v>4668</v>
      </c>
      <c r="AK538" t="s">
        <v>126</v>
      </c>
      <c r="AL538" t="s">
        <v>127</v>
      </c>
      <c r="AN538" t="s">
        <v>4669</v>
      </c>
      <c r="AO538" t="s">
        <v>4670</v>
      </c>
      <c r="AP538" t="s">
        <v>4671</v>
      </c>
      <c r="AQ538" t="s">
        <v>131</v>
      </c>
      <c r="AR538" t="s">
        <v>132</v>
      </c>
      <c r="AS538" t="s">
        <v>2076</v>
      </c>
      <c r="AT538" t="s">
        <v>4672</v>
      </c>
      <c r="AV538" t="s">
        <v>516</v>
      </c>
      <c r="AW538" t="s">
        <v>354</v>
      </c>
      <c r="AY538" t="s">
        <v>177</v>
      </c>
      <c r="AZ538" t="s">
        <v>138</v>
      </c>
      <c r="BA538" t="s">
        <v>4673</v>
      </c>
      <c r="BC538" t="s">
        <v>140</v>
      </c>
      <c r="BT538" s="7">
        <f t="shared" si="49"/>
        <v>0</v>
      </c>
      <c r="BU538" s="6">
        <f t="shared" si="50"/>
        <v>0</v>
      </c>
      <c r="BV538" s="6">
        <f t="shared" si="51"/>
        <v>0</v>
      </c>
      <c r="BW538" s="6">
        <f t="shared" si="52"/>
        <v>0</v>
      </c>
      <c r="BX538" s="6">
        <f t="shared" si="53"/>
        <v>0</v>
      </c>
    </row>
    <row r="539" spans="1:76" x14ac:dyDescent="0.35">
      <c r="A539" t="s">
        <v>4674</v>
      </c>
      <c r="B539" t="s">
        <v>107</v>
      </c>
      <c r="C539" t="s">
        <v>107</v>
      </c>
      <c r="F539" t="s">
        <v>358</v>
      </c>
      <c r="G539" t="s">
        <v>359</v>
      </c>
      <c r="H539" t="s">
        <v>360</v>
      </c>
      <c r="I539" t="s">
        <v>341</v>
      </c>
      <c r="J539" t="s">
        <v>113</v>
      </c>
      <c r="K539" s="8" t="s">
        <v>114</v>
      </c>
      <c r="L539" t="s">
        <v>114</v>
      </c>
      <c r="M539" s="6">
        <v>0</v>
      </c>
      <c r="N539" t="s">
        <v>114</v>
      </c>
      <c r="O539" s="6">
        <v>0</v>
      </c>
      <c r="P539" t="s">
        <v>114</v>
      </c>
      <c r="Q539" s="6">
        <v>0</v>
      </c>
      <c r="R539" s="7">
        <f t="shared" si="48"/>
        <v>0</v>
      </c>
      <c r="S539" t="s">
        <v>114</v>
      </c>
      <c r="T539" t="s">
        <v>114</v>
      </c>
      <c r="U539" t="s">
        <v>114</v>
      </c>
      <c r="W539" t="s">
        <v>114</v>
      </c>
      <c r="X539" t="s">
        <v>114</v>
      </c>
      <c r="Z539" t="s">
        <v>4675</v>
      </c>
      <c r="AA539" t="s">
        <v>4675</v>
      </c>
      <c r="AB539" s="1" t="s">
        <v>4556</v>
      </c>
      <c r="AC539" t="s">
        <v>4676</v>
      </c>
      <c r="AD539" t="s">
        <v>4677</v>
      </c>
      <c r="AH539" t="s">
        <v>123</v>
      </c>
      <c r="AI539" t="s">
        <v>124</v>
      </c>
      <c r="AJ539" t="s">
        <v>4678</v>
      </c>
      <c r="AK539" t="s">
        <v>126</v>
      </c>
      <c r="AL539" t="s">
        <v>127</v>
      </c>
      <c r="AN539" t="s">
        <v>4679</v>
      </c>
      <c r="AO539" t="s">
        <v>4680</v>
      </c>
      <c r="AP539" t="s">
        <v>988</v>
      </c>
      <c r="AQ539" t="s">
        <v>131</v>
      </c>
      <c r="AR539" t="s">
        <v>132</v>
      </c>
      <c r="AS539" t="s">
        <v>202</v>
      </c>
      <c r="AT539" t="s">
        <v>4681</v>
      </c>
      <c r="AV539" t="s">
        <v>1195</v>
      </c>
      <c r="AY539" t="s">
        <v>177</v>
      </c>
      <c r="AZ539" t="s">
        <v>364</v>
      </c>
      <c r="BA539" t="s">
        <v>4682</v>
      </c>
      <c r="BC539" t="s">
        <v>140</v>
      </c>
      <c r="BT539" s="7">
        <f t="shared" si="49"/>
        <v>0</v>
      </c>
      <c r="BU539" s="6">
        <f t="shared" si="50"/>
        <v>0</v>
      </c>
      <c r="BV539" s="6">
        <f t="shared" si="51"/>
        <v>0</v>
      </c>
      <c r="BW539" s="6">
        <f t="shared" si="52"/>
        <v>0</v>
      </c>
      <c r="BX539" s="6">
        <f t="shared" si="53"/>
        <v>0</v>
      </c>
    </row>
    <row r="540" spans="1:76" x14ac:dyDescent="0.35">
      <c r="A540" t="s">
        <v>4683</v>
      </c>
      <c r="B540" t="s">
        <v>107</v>
      </c>
      <c r="C540" t="s">
        <v>107</v>
      </c>
      <c r="F540" t="s">
        <v>358</v>
      </c>
      <c r="G540" t="s">
        <v>359</v>
      </c>
      <c r="H540" t="s">
        <v>360</v>
      </c>
      <c r="I540" t="s">
        <v>341</v>
      </c>
      <c r="J540" t="s">
        <v>113</v>
      </c>
      <c r="K540" s="8" t="s">
        <v>114</v>
      </c>
      <c r="L540" t="s">
        <v>114</v>
      </c>
      <c r="M540" s="6">
        <v>0</v>
      </c>
      <c r="N540" t="s">
        <v>114</v>
      </c>
      <c r="O540" s="6">
        <v>0</v>
      </c>
      <c r="P540" t="s">
        <v>114</v>
      </c>
      <c r="Q540" s="6">
        <v>0</v>
      </c>
      <c r="R540" s="7">
        <f t="shared" si="48"/>
        <v>0</v>
      </c>
      <c r="S540" t="s">
        <v>114</v>
      </c>
      <c r="T540" t="s">
        <v>114</v>
      </c>
      <c r="U540" t="s">
        <v>114</v>
      </c>
      <c r="W540" t="s">
        <v>114</v>
      </c>
      <c r="X540" t="s">
        <v>114</v>
      </c>
      <c r="Z540" t="s">
        <v>4684</v>
      </c>
      <c r="AA540" t="s">
        <v>4684</v>
      </c>
      <c r="AB540" s="1" t="s">
        <v>4685</v>
      </c>
      <c r="AC540" t="s">
        <v>4686</v>
      </c>
      <c r="AD540" t="s">
        <v>4687</v>
      </c>
      <c r="AH540" t="s">
        <v>123</v>
      </c>
      <c r="AI540" t="s">
        <v>124</v>
      </c>
      <c r="AJ540" t="s">
        <v>4688</v>
      </c>
      <c r="AK540" t="s">
        <v>126</v>
      </c>
      <c r="AL540" t="s">
        <v>127</v>
      </c>
      <c r="AN540" t="s">
        <v>4689</v>
      </c>
      <c r="AO540" t="s">
        <v>4690</v>
      </c>
      <c r="AP540" t="s">
        <v>4691</v>
      </c>
      <c r="AQ540" t="s">
        <v>131</v>
      </c>
      <c r="AR540" t="s">
        <v>403</v>
      </c>
      <c r="AS540" t="s">
        <v>743</v>
      </c>
      <c r="AT540" t="s">
        <v>4692</v>
      </c>
      <c r="AV540" t="s">
        <v>219</v>
      </c>
      <c r="AY540" t="s">
        <v>177</v>
      </c>
      <c r="AZ540" t="s">
        <v>364</v>
      </c>
      <c r="BA540" t="s">
        <v>4693</v>
      </c>
      <c r="BC540" t="s">
        <v>140</v>
      </c>
      <c r="BT540" s="7">
        <f t="shared" si="49"/>
        <v>0</v>
      </c>
      <c r="BU540" s="6">
        <f t="shared" si="50"/>
        <v>0</v>
      </c>
      <c r="BV540" s="6">
        <f t="shared" si="51"/>
        <v>0</v>
      </c>
      <c r="BW540" s="6">
        <f t="shared" si="52"/>
        <v>0</v>
      </c>
      <c r="BX540" s="6">
        <f t="shared" si="53"/>
        <v>0</v>
      </c>
    </row>
    <row r="541" spans="1:76" x14ac:dyDescent="0.35">
      <c r="A541" t="s">
        <v>4694</v>
      </c>
      <c r="B541" t="s">
        <v>107</v>
      </c>
      <c r="C541" t="s">
        <v>107</v>
      </c>
      <c r="E541" t="s">
        <v>108</v>
      </c>
      <c r="F541" t="s">
        <v>338</v>
      </c>
      <c r="G541" t="s">
        <v>339</v>
      </c>
      <c r="H541" t="s">
        <v>340</v>
      </c>
      <c r="I541" t="s">
        <v>341</v>
      </c>
      <c r="J541" t="s">
        <v>113</v>
      </c>
      <c r="K541" s="8" t="s">
        <v>114</v>
      </c>
      <c r="L541" t="s">
        <v>114</v>
      </c>
      <c r="M541" s="6">
        <v>0</v>
      </c>
      <c r="N541" t="s">
        <v>114</v>
      </c>
      <c r="O541" s="6">
        <v>0</v>
      </c>
      <c r="P541" t="s">
        <v>114</v>
      </c>
      <c r="Q541" s="6">
        <v>0</v>
      </c>
      <c r="R541" s="7">
        <f t="shared" si="48"/>
        <v>0</v>
      </c>
      <c r="S541" t="s">
        <v>180</v>
      </c>
      <c r="T541" t="s">
        <v>114</v>
      </c>
      <c r="U541" t="s">
        <v>180</v>
      </c>
      <c r="W541" t="s">
        <v>114</v>
      </c>
      <c r="X541" t="s">
        <v>4037</v>
      </c>
      <c r="Z541" t="s">
        <v>4695</v>
      </c>
      <c r="AA541" t="s">
        <v>4696</v>
      </c>
      <c r="AB541" s="1" t="s">
        <v>4697</v>
      </c>
      <c r="AC541" t="s">
        <v>4698</v>
      </c>
      <c r="AD541" t="s">
        <v>4696</v>
      </c>
      <c r="AH541" t="s">
        <v>123</v>
      </c>
      <c r="AI541" t="s">
        <v>124</v>
      </c>
      <c r="AJ541" t="s">
        <v>4699</v>
      </c>
      <c r="AK541" t="s">
        <v>126</v>
      </c>
      <c r="AL541" t="s">
        <v>127</v>
      </c>
      <c r="AN541" t="s">
        <v>4700</v>
      </c>
      <c r="AO541" t="s">
        <v>4701</v>
      </c>
      <c r="AP541" t="s">
        <v>4702</v>
      </c>
      <c r="AQ541" t="s">
        <v>131</v>
      </c>
      <c r="AR541" t="s">
        <v>132</v>
      </c>
      <c r="AS541" t="s">
        <v>1120</v>
      </c>
      <c r="AT541" t="s">
        <v>4703</v>
      </c>
      <c r="AV541" t="s">
        <v>991</v>
      </c>
      <c r="AX541" t="s">
        <v>136</v>
      </c>
      <c r="AY541" t="s">
        <v>177</v>
      </c>
      <c r="AZ541" t="s">
        <v>356</v>
      </c>
      <c r="BA541" t="s">
        <v>4704</v>
      </c>
      <c r="BC541" t="s">
        <v>140</v>
      </c>
      <c r="BT541" s="7">
        <f t="shared" si="49"/>
        <v>0</v>
      </c>
      <c r="BU541" s="6">
        <f t="shared" si="50"/>
        <v>0</v>
      </c>
      <c r="BV541" s="6">
        <f t="shared" si="51"/>
        <v>0</v>
      </c>
      <c r="BW541" s="6">
        <f t="shared" si="52"/>
        <v>0</v>
      </c>
      <c r="BX541" s="6">
        <f t="shared" si="53"/>
        <v>0</v>
      </c>
    </row>
    <row r="542" spans="1:76" x14ac:dyDescent="0.35">
      <c r="A542" t="s">
        <v>4694</v>
      </c>
      <c r="B542" t="s">
        <v>107</v>
      </c>
      <c r="C542" t="s">
        <v>107</v>
      </c>
      <c r="E542" t="s">
        <v>108</v>
      </c>
      <c r="F542" t="s">
        <v>358</v>
      </c>
      <c r="G542" t="s">
        <v>359</v>
      </c>
      <c r="H542" t="s">
        <v>360</v>
      </c>
      <c r="I542" t="s">
        <v>341</v>
      </c>
      <c r="J542" t="s">
        <v>113</v>
      </c>
      <c r="K542" s="8" t="s">
        <v>114</v>
      </c>
      <c r="L542" t="s">
        <v>361</v>
      </c>
      <c r="M542" s="6">
        <v>233</v>
      </c>
      <c r="N542" t="s">
        <v>114</v>
      </c>
      <c r="O542" s="6">
        <v>127</v>
      </c>
      <c r="P542" t="s">
        <v>4037</v>
      </c>
      <c r="Q542" s="6">
        <v>0</v>
      </c>
      <c r="R542" s="7">
        <f t="shared" si="48"/>
        <v>106</v>
      </c>
      <c r="S542" t="s">
        <v>180</v>
      </c>
      <c r="T542" t="s">
        <v>114</v>
      </c>
      <c r="U542" t="s">
        <v>180</v>
      </c>
      <c r="W542" t="s">
        <v>114</v>
      </c>
      <c r="X542" t="s">
        <v>4037</v>
      </c>
      <c r="Z542" t="s">
        <v>4695</v>
      </c>
      <c r="AA542" t="s">
        <v>4696</v>
      </c>
      <c r="AB542" s="1" t="s">
        <v>4697</v>
      </c>
      <c r="AC542" t="s">
        <v>4698</v>
      </c>
      <c r="AD542" t="s">
        <v>4696</v>
      </c>
      <c r="AH542" t="s">
        <v>123</v>
      </c>
      <c r="AI542" t="s">
        <v>124</v>
      </c>
      <c r="AJ542" t="s">
        <v>4699</v>
      </c>
      <c r="AK542" t="s">
        <v>126</v>
      </c>
      <c r="AL542" t="s">
        <v>127</v>
      </c>
      <c r="AN542" t="s">
        <v>4700</v>
      </c>
      <c r="AO542" t="s">
        <v>4701</v>
      </c>
      <c r="AP542" t="s">
        <v>4702</v>
      </c>
      <c r="AQ542" t="s">
        <v>131</v>
      </c>
      <c r="AR542" t="s">
        <v>132</v>
      </c>
      <c r="AS542" t="s">
        <v>1120</v>
      </c>
      <c r="AT542" t="s">
        <v>4703</v>
      </c>
      <c r="AV542" t="s">
        <v>991</v>
      </c>
      <c r="AX542" t="s">
        <v>136</v>
      </c>
      <c r="AY542" t="s">
        <v>177</v>
      </c>
      <c r="AZ542" t="s">
        <v>364</v>
      </c>
      <c r="BA542" t="s">
        <v>4704</v>
      </c>
      <c r="BC542" t="s">
        <v>140</v>
      </c>
      <c r="BT542" s="7">
        <f t="shared" si="49"/>
        <v>106</v>
      </c>
      <c r="BU542" s="6">
        <f t="shared" si="50"/>
        <v>99.065420560747654</v>
      </c>
      <c r="BV542" s="6">
        <f t="shared" si="51"/>
        <v>6.9345794392523361</v>
      </c>
      <c r="BW542" s="6">
        <f t="shared" si="52"/>
        <v>105.99999999999999</v>
      </c>
      <c r="BX542" s="6">
        <f t="shared" si="53"/>
        <v>0</v>
      </c>
    </row>
    <row r="543" spans="1:76" x14ac:dyDescent="0.35">
      <c r="A543" t="s">
        <v>4705</v>
      </c>
      <c r="B543" t="s">
        <v>107</v>
      </c>
      <c r="C543" t="s">
        <v>107</v>
      </c>
      <c r="F543" t="s">
        <v>358</v>
      </c>
      <c r="G543" t="s">
        <v>359</v>
      </c>
      <c r="H543" t="s">
        <v>360</v>
      </c>
      <c r="I543" t="s">
        <v>341</v>
      </c>
      <c r="J543" t="s">
        <v>113</v>
      </c>
      <c r="K543" s="8" t="s">
        <v>114</v>
      </c>
      <c r="L543" t="s">
        <v>114</v>
      </c>
      <c r="M543" s="6">
        <v>0</v>
      </c>
      <c r="N543" t="s">
        <v>114</v>
      </c>
      <c r="O543" s="6">
        <v>0</v>
      </c>
      <c r="P543" t="s">
        <v>114</v>
      </c>
      <c r="Q543" s="6">
        <v>0</v>
      </c>
      <c r="R543" s="7">
        <f t="shared" si="48"/>
        <v>0</v>
      </c>
      <c r="S543" t="s">
        <v>114</v>
      </c>
      <c r="T543" t="s">
        <v>114</v>
      </c>
      <c r="U543" t="s">
        <v>114</v>
      </c>
      <c r="W543" t="s">
        <v>114</v>
      </c>
      <c r="X543" t="s">
        <v>114</v>
      </c>
      <c r="Z543" t="s">
        <v>4706</v>
      </c>
      <c r="AA543" t="s">
        <v>4706</v>
      </c>
      <c r="AB543" s="1" t="s">
        <v>4697</v>
      </c>
      <c r="AC543" t="s">
        <v>4707</v>
      </c>
      <c r="AD543" t="s">
        <v>4708</v>
      </c>
      <c r="AH543" t="s">
        <v>123</v>
      </c>
      <c r="AI543" t="s">
        <v>124</v>
      </c>
      <c r="AJ543" t="s">
        <v>4709</v>
      </c>
      <c r="AK543" t="s">
        <v>126</v>
      </c>
      <c r="AL543" t="s">
        <v>127</v>
      </c>
      <c r="AN543" t="s">
        <v>4710</v>
      </c>
      <c r="AO543" t="s">
        <v>4711</v>
      </c>
      <c r="AP543" t="s">
        <v>4712</v>
      </c>
      <c r="AQ543" t="s">
        <v>131</v>
      </c>
      <c r="AR543" t="s">
        <v>132</v>
      </c>
      <c r="AS543" t="s">
        <v>152</v>
      </c>
      <c r="AT543" t="s">
        <v>689</v>
      </c>
      <c r="AV543" t="s">
        <v>434</v>
      </c>
      <c r="AW543" t="s">
        <v>638</v>
      </c>
      <c r="AY543" t="s">
        <v>177</v>
      </c>
      <c r="AZ543" t="s">
        <v>364</v>
      </c>
      <c r="BA543" t="s">
        <v>4713</v>
      </c>
      <c r="BC543" t="s">
        <v>140</v>
      </c>
      <c r="BT543" s="7">
        <f t="shared" si="49"/>
        <v>0</v>
      </c>
      <c r="BU543" s="6">
        <f t="shared" si="50"/>
        <v>0</v>
      </c>
      <c r="BV543" s="6">
        <f t="shared" si="51"/>
        <v>0</v>
      </c>
      <c r="BW543" s="6">
        <f t="shared" si="52"/>
        <v>0</v>
      </c>
      <c r="BX543" s="6">
        <f t="shared" si="53"/>
        <v>0</v>
      </c>
    </row>
    <row r="544" spans="1:76" x14ac:dyDescent="0.35">
      <c r="A544" t="s">
        <v>4714</v>
      </c>
      <c r="B544" t="s">
        <v>107</v>
      </c>
      <c r="C544" t="s">
        <v>107</v>
      </c>
      <c r="F544" t="s">
        <v>158</v>
      </c>
      <c r="G544" t="s">
        <v>159</v>
      </c>
      <c r="H544" t="s">
        <v>111</v>
      </c>
      <c r="I544" t="s">
        <v>341</v>
      </c>
      <c r="J544" t="s">
        <v>113</v>
      </c>
      <c r="K544" s="8" t="s">
        <v>114</v>
      </c>
      <c r="L544" t="s">
        <v>114</v>
      </c>
      <c r="M544" s="6">
        <v>0</v>
      </c>
      <c r="N544" t="s">
        <v>114</v>
      </c>
      <c r="O544" s="6">
        <v>0</v>
      </c>
      <c r="P544" t="s">
        <v>114</v>
      </c>
      <c r="Q544" s="6">
        <v>0</v>
      </c>
      <c r="R544" s="7">
        <f t="shared" si="48"/>
        <v>0</v>
      </c>
      <c r="S544" t="s">
        <v>114</v>
      </c>
      <c r="T544" t="s">
        <v>114</v>
      </c>
      <c r="U544" t="s">
        <v>114</v>
      </c>
      <c r="W544" t="s">
        <v>114</v>
      </c>
      <c r="X544" t="s">
        <v>114</v>
      </c>
      <c r="Z544" t="s">
        <v>4715</v>
      </c>
      <c r="AA544" t="s">
        <v>4715</v>
      </c>
      <c r="AB544" s="1" t="s">
        <v>4697</v>
      </c>
      <c r="AC544" t="s">
        <v>4716</v>
      </c>
      <c r="AD544" t="s">
        <v>4717</v>
      </c>
      <c r="AH544" t="s">
        <v>123</v>
      </c>
      <c r="AI544" t="s">
        <v>124</v>
      </c>
      <c r="AJ544" t="s">
        <v>4718</v>
      </c>
      <c r="AK544" t="s">
        <v>126</v>
      </c>
      <c r="AL544" t="s">
        <v>127</v>
      </c>
      <c r="AN544" t="s">
        <v>4719</v>
      </c>
      <c r="AO544" t="s">
        <v>4720</v>
      </c>
      <c r="AP544" t="s">
        <v>4721</v>
      </c>
      <c r="AQ544" t="s">
        <v>131</v>
      </c>
      <c r="AR544" t="s">
        <v>403</v>
      </c>
      <c r="AS544" t="s">
        <v>1789</v>
      </c>
      <c r="AT544" t="s">
        <v>4722</v>
      </c>
      <c r="AV544" t="s">
        <v>264</v>
      </c>
      <c r="AY544" t="s">
        <v>177</v>
      </c>
      <c r="AZ544" t="s">
        <v>138</v>
      </c>
      <c r="BA544" t="s">
        <v>4723</v>
      </c>
      <c r="BC544" t="s">
        <v>140</v>
      </c>
      <c r="BT544" s="7">
        <f t="shared" si="49"/>
        <v>0</v>
      </c>
      <c r="BU544" s="6">
        <f t="shared" si="50"/>
        <v>0</v>
      </c>
      <c r="BV544" s="6">
        <f t="shared" si="51"/>
        <v>0</v>
      </c>
      <c r="BW544" s="6">
        <f t="shared" si="52"/>
        <v>0</v>
      </c>
      <c r="BX544" s="6">
        <f t="shared" si="53"/>
        <v>0</v>
      </c>
    </row>
    <row r="545" spans="1:76" x14ac:dyDescent="0.35">
      <c r="A545" t="s">
        <v>4724</v>
      </c>
      <c r="B545" t="s">
        <v>107</v>
      </c>
      <c r="C545" t="s">
        <v>107</v>
      </c>
      <c r="F545" t="s">
        <v>358</v>
      </c>
      <c r="G545" t="s">
        <v>359</v>
      </c>
      <c r="H545" t="s">
        <v>360</v>
      </c>
      <c r="I545" t="s">
        <v>341</v>
      </c>
      <c r="J545" t="s">
        <v>113</v>
      </c>
      <c r="K545" s="8" t="s">
        <v>114</v>
      </c>
      <c r="L545" t="s">
        <v>114</v>
      </c>
      <c r="M545" s="6">
        <v>0</v>
      </c>
      <c r="N545" t="s">
        <v>114</v>
      </c>
      <c r="O545" s="6">
        <v>0</v>
      </c>
      <c r="P545" t="s">
        <v>114</v>
      </c>
      <c r="Q545" s="6">
        <v>0</v>
      </c>
      <c r="R545" s="7">
        <f t="shared" si="48"/>
        <v>0</v>
      </c>
      <c r="S545" t="s">
        <v>114</v>
      </c>
      <c r="T545" t="s">
        <v>114</v>
      </c>
      <c r="U545" t="s">
        <v>114</v>
      </c>
      <c r="W545" t="s">
        <v>114</v>
      </c>
      <c r="X545" t="s">
        <v>114</v>
      </c>
      <c r="Z545" t="s">
        <v>4725</v>
      </c>
      <c r="AA545" t="s">
        <v>4725</v>
      </c>
      <c r="AB545" s="1" t="s">
        <v>4697</v>
      </c>
      <c r="AC545" t="s">
        <v>4726</v>
      </c>
      <c r="AD545" t="s">
        <v>4727</v>
      </c>
      <c r="AH545" t="s">
        <v>123</v>
      </c>
      <c r="AI545" t="s">
        <v>124</v>
      </c>
      <c r="AJ545" t="s">
        <v>4728</v>
      </c>
      <c r="AK545" t="s">
        <v>126</v>
      </c>
      <c r="AL545" t="s">
        <v>127</v>
      </c>
      <c r="AN545" t="s">
        <v>4729</v>
      </c>
      <c r="AO545" t="s">
        <v>4730</v>
      </c>
      <c r="AP545" t="s">
        <v>4731</v>
      </c>
      <c r="AQ545" t="s">
        <v>131</v>
      </c>
      <c r="AR545" t="s">
        <v>132</v>
      </c>
      <c r="AS545" t="s">
        <v>262</v>
      </c>
      <c r="AT545" t="s">
        <v>1007</v>
      </c>
      <c r="AV545" t="s">
        <v>264</v>
      </c>
      <c r="AY545" t="s">
        <v>177</v>
      </c>
      <c r="AZ545" t="s">
        <v>364</v>
      </c>
      <c r="BA545" t="s">
        <v>4732</v>
      </c>
      <c r="BC545" t="s">
        <v>140</v>
      </c>
      <c r="BT545" s="7">
        <f t="shared" si="49"/>
        <v>0</v>
      </c>
      <c r="BU545" s="6">
        <f t="shared" si="50"/>
        <v>0</v>
      </c>
      <c r="BV545" s="6">
        <f t="shared" si="51"/>
        <v>0</v>
      </c>
      <c r="BW545" s="6">
        <f t="shared" si="52"/>
        <v>0</v>
      </c>
      <c r="BX545" s="6">
        <f t="shared" si="53"/>
        <v>0</v>
      </c>
    </row>
    <row r="546" spans="1:76" x14ac:dyDescent="0.35">
      <c r="A546" t="s">
        <v>4733</v>
      </c>
      <c r="B546" t="s">
        <v>107</v>
      </c>
      <c r="C546" t="s">
        <v>107</v>
      </c>
      <c r="F546" t="s">
        <v>358</v>
      </c>
      <c r="G546" t="s">
        <v>359</v>
      </c>
      <c r="H546" t="s">
        <v>360</v>
      </c>
      <c r="I546" t="s">
        <v>341</v>
      </c>
      <c r="J546" t="s">
        <v>113</v>
      </c>
      <c r="K546" s="8" t="s">
        <v>114</v>
      </c>
      <c r="L546" t="s">
        <v>114</v>
      </c>
      <c r="M546" s="6">
        <v>0</v>
      </c>
      <c r="N546" t="s">
        <v>114</v>
      </c>
      <c r="O546" s="6">
        <v>0</v>
      </c>
      <c r="P546" t="s">
        <v>114</v>
      </c>
      <c r="Q546" s="6">
        <v>0</v>
      </c>
      <c r="R546" s="7">
        <f t="shared" si="48"/>
        <v>0</v>
      </c>
      <c r="S546" t="s">
        <v>114</v>
      </c>
      <c r="T546" t="s">
        <v>114</v>
      </c>
      <c r="U546" t="s">
        <v>114</v>
      </c>
      <c r="W546" t="s">
        <v>114</v>
      </c>
      <c r="X546" t="s">
        <v>114</v>
      </c>
      <c r="Z546" t="s">
        <v>4734</v>
      </c>
      <c r="AA546" t="s">
        <v>4734</v>
      </c>
      <c r="AB546" s="1" t="s">
        <v>4697</v>
      </c>
      <c r="AC546" t="s">
        <v>4735</v>
      </c>
      <c r="AD546" t="s">
        <v>4736</v>
      </c>
      <c r="AH546" t="s">
        <v>123</v>
      </c>
      <c r="AI546" t="s">
        <v>124</v>
      </c>
      <c r="AJ546" t="s">
        <v>4737</v>
      </c>
      <c r="AK546" t="s">
        <v>126</v>
      </c>
      <c r="AL546" t="s">
        <v>127</v>
      </c>
      <c r="AN546" t="s">
        <v>4738</v>
      </c>
      <c r="AO546" t="s">
        <v>4739</v>
      </c>
      <c r="AP546" t="s">
        <v>4740</v>
      </c>
      <c r="AQ546" t="s">
        <v>131</v>
      </c>
      <c r="AR546" t="s">
        <v>132</v>
      </c>
      <c r="AS546" t="s">
        <v>133</v>
      </c>
      <c r="AT546" t="s">
        <v>4741</v>
      </c>
      <c r="AV546" t="s">
        <v>2195</v>
      </c>
      <c r="AY546" t="s">
        <v>177</v>
      </c>
      <c r="AZ546" t="s">
        <v>364</v>
      </c>
      <c r="BA546" t="s">
        <v>4742</v>
      </c>
      <c r="BC546" t="s">
        <v>140</v>
      </c>
      <c r="BT546" s="7">
        <f t="shared" si="49"/>
        <v>0</v>
      </c>
      <c r="BU546" s="6">
        <f t="shared" si="50"/>
        <v>0</v>
      </c>
      <c r="BV546" s="6">
        <f t="shared" si="51"/>
        <v>0</v>
      </c>
      <c r="BW546" s="6">
        <f t="shared" si="52"/>
        <v>0</v>
      </c>
      <c r="BX546" s="6">
        <f t="shared" si="53"/>
        <v>0</v>
      </c>
    </row>
    <row r="547" spans="1:76" x14ac:dyDescent="0.35">
      <c r="A547" t="s">
        <v>4743</v>
      </c>
      <c r="B547" t="s">
        <v>107</v>
      </c>
      <c r="C547" t="s">
        <v>107</v>
      </c>
      <c r="E547" t="s">
        <v>108</v>
      </c>
      <c r="F547" t="s">
        <v>338</v>
      </c>
      <c r="G547" t="s">
        <v>339</v>
      </c>
      <c r="H547" t="s">
        <v>340</v>
      </c>
      <c r="I547" t="s">
        <v>341</v>
      </c>
      <c r="J547" t="s">
        <v>113</v>
      </c>
      <c r="K547" s="8" t="s">
        <v>114</v>
      </c>
      <c r="L547" t="s">
        <v>114</v>
      </c>
      <c r="M547" s="6">
        <v>0</v>
      </c>
      <c r="N547" t="s">
        <v>114</v>
      </c>
      <c r="O547" s="6">
        <v>0</v>
      </c>
      <c r="P547" t="s">
        <v>114</v>
      </c>
      <c r="Q547" s="6">
        <v>0</v>
      </c>
      <c r="R547" s="7">
        <f t="shared" si="48"/>
        <v>0</v>
      </c>
      <c r="S547" t="s">
        <v>180</v>
      </c>
      <c r="T547" t="s">
        <v>114</v>
      </c>
      <c r="U547" t="s">
        <v>180</v>
      </c>
      <c r="W547" t="s">
        <v>114</v>
      </c>
      <c r="X547" t="s">
        <v>4744</v>
      </c>
      <c r="Z547" t="s">
        <v>4745</v>
      </c>
      <c r="AA547" t="s">
        <v>4746</v>
      </c>
      <c r="AB547" s="1" t="s">
        <v>4697</v>
      </c>
      <c r="AC547" t="s">
        <v>4747</v>
      </c>
      <c r="AD547" t="s">
        <v>4748</v>
      </c>
      <c r="AH547" t="s">
        <v>123</v>
      </c>
      <c r="AI547" t="s">
        <v>124</v>
      </c>
      <c r="AJ547" t="s">
        <v>4749</v>
      </c>
      <c r="AK547" t="s">
        <v>126</v>
      </c>
      <c r="AL547" t="s">
        <v>127</v>
      </c>
      <c r="AN547" t="s">
        <v>4750</v>
      </c>
      <c r="AO547" t="s">
        <v>4751</v>
      </c>
      <c r="AP547" t="s">
        <v>4752</v>
      </c>
      <c r="AQ547" t="s">
        <v>131</v>
      </c>
      <c r="AR547" t="s">
        <v>132</v>
      </c>
      <c r="AS547" t="s">
        <v>284</v>
      </c>
      <c r="AT547" t="s">
        <v>3340</v>
      </c>
      <c r="AV547" t="s">
        <v>4753</v>
      </c>
      <c r="AX547" t="s">
        <v>655</v>
      </c>
      <c r="AY547" t="s">
        <v>177</v>
      </c>
      <c r="AZ547" t="s">
        <v>356</v>
      </c>
      <c r="BA547" t="s">
        <v>4754</v>
      </c>
      <c r="BC547" t="s">
        <v>140</v>
      </c>
      <c r="BT547" s="7">
        <f t="shared" si="49"/>
        <v>0</v>
      </c>
      <c r="BU547" s="6">
        <f t="shared" si="50"/>
        <v>0</v>
      </c>
      <c r="BV547" s="6">
        <f t="shared" si="51"/>
        <v>0</v>
      </c>
      <c r="BW547" s="6">
        <f t="shared" si="52"/>
        <v>0</v>
      </c>
      <c r="BX547" s="6">
        <f t="shared" si="53"/>
        <v>0</v>
      </c>
    </row>
    <row r="548" spans="1:76" x14ac:dyDescent="0.35">
      <c r="A548" t="s">
        <v>4743</v>
      </c>
      <c r="B548" t="s">
        <v>107</v>
      </c>
      <c r="C548" t="s">
        <v>107</v>
      </c>
      <c r="E548" t="s">
        <v>108</v>
      </c>
      <c r="F548" t="s">
        <v>358</v>
      </c>
      <c r="G548" t="s">
        <v>359</v>
      </c>
      <c r="H548" t="s">
        <v>360</v>
      </c>
      <c r="I548" t="s">
        <v>341</v>
      </c>
      <c r="J548" t="s">
        <v>113</v>
      </c>
      <c r="K548" s="8" t="s">
        <v>114</v>
      </c>
      <c r="L548" t="s">
        <v>361</v>
      </c>
      <c r="M548" s="6">
        <v>233</v>
      </c>
      <c r="N548" t="s">
        <v>4755</v>
      </c>
      <c r="O548" s="6">
        <v>127</v>
      </c>
      <c r="P548" t="s">
        <v>4744</v>
      </c>
      <c r="Q548" s="6">
        <v>0</v>
      </c>
      <c r="R548" s="7">
        <f t="shared" si="48"/>
        <v>106</v>
      </c>
      <c r="S548" t="s">
        <v>180</v>
      </c>
      <c r="T548" t="s">
        <v>114</v>
      </c>
      <c r="U548" t="s">
        <v>180</v>
      </c>
      <c r="W548" t="s">
        <v>114</v>
      </c>
      <c r="X548" t="s">
        <v>4744</v>
      </c>
      <c r="Z548" t="s">
        <v>4745</v>
      </c>
      <c r="AA548" t="s">
        <v>4746</v>
      </c>
      <c r="AB548" s="1" t="s">
        <v>4697</v>
      </c>
      <c r="AC548" t="s">
        <v>4747</v>
      </c>
      <c r="AD548" t="s">
        <v>4748</v>
      </c>
      <c r="AH548" t="s">
        <v>123</v>
      </c>
      <c r="AI548" t="s">
        <v>124</v>
      </c>
      <c r="AJ548" t="s">
        <v>4749</v>
      </c>
      <c r="AK548" t="s">
        <v>126</v>
      </c>
      <c r="AL548" t="s">
        <v>127</v>
      </c>
      <c r="AN548" t="s">
        <v>4750</v>
      </c>
      <c r="AO548" t="s">
        <v>4751</v>
      </c>
      <c r="AP548" t="s">
        <v>4752</v>
      </c>
      <c r="AQ548" t="s">
        <v>131</v>
      </c>
      <c r="AR548" t="s">
        <v>132</v>
      </c>
      <c r="AS548" t="s">
        <v>284</v>
      </c>
      <c r="AT548" t="s">
        <v>3340</v>
      </c>
      <c r="AV548" t="s">
        <v>4753</v>
      </c>
      <c r="AX548" t="s">
        <v>655</v>
      </c>
      <c r="AY548" t="s">
        <v>177</v>
      </c>
      <c r="AZ548" t="s">
        <v>364</v>
      </c>
      <c r="BA548" t="s">
        <v>4754</v>
      </c>
      <c r="BC548" t="s">
        <v>140</v>
      </c>
      <c r="BT548" s="7">
        <f t="shared" si="49"/>
        <v>106</v>
      </c>
      <c r="BU548" s="6">
        <f t="shared" si="50"/>
        <v>99.065420560747654</v>
      </c>
      <c r="BV548" s="6">
        <f t="shared" si="51"/>
        <v>6.9345794392523361</v>
      </c>
      <c r="BW548" s="6">
        <f t="shared" si="52"/>
        <v>105.99999999999999</v>
      </c>
      <c r="BX548" s="6">
        <f t="shared" si="53"/>
        <v>0</v>
      </c>
    </row>
    <row r="549" spans="1:76" x14ac:dyDescent="0.35">
      <c r="A549" t="s">
        <v>4756</v>
      </c>
      <c r="B549" t="s">
        <v>107</v>
      </c>
      <c r="C549" t="s">
        <v>107</v>
      </c>
      <c r="F549" t="s">
        <v>358</v>
      </c>
      <c r="G549" t="s">
        <v>359</v>
      </c>
      <c r="H549" t="s">
        <v>360</v>
      </c>
      <c r="I549" t="s">
        <v>341</v>
      </c>
      <c r="J549" t="s">
        <v>113</v>
      </c>
      <c r="K549" s="8" t="s">
        <v>114</v>
      </c>
      <c r="L549" t="s">
        <v>114</v>
      </c>
      <c r="M549" s="6">
        <v>0</v>
      </c>
      <c r="N549" t="s">
        <v>114</v>
      </c>
      <c r="O549" s="6">
        <v>0</v>
      </c>
      <c r="P549" t="s">
        <v>114</v>
      </c>
      <c r="Q549" s="6">
        <v>0</v>
      </c>
      <c r="R549" s="7">
        <f t="shared" si="48"/>
        <v>0</v>
      </c>
      <c r="S549" t="s">
        <v>114</v>
      </c>
      <c r="T549" t="s">
        <v>114</v>
      </c>
      <c r="U549" t="s">
        <v>114</v>
      </c>
      <c r="W549" t="s">
        <v>114</v>
      </c>
      <c r="X549" t="s">
        <v>114</v>
      </c>
      <c r="Z549" t="s">
        <v>4757</v>
      </c>
      <c r="AA549" t="s">
        <v>4758</v>
      </c>
      <c r="AB549" s="1" t="s">
        <v>4697</v>
      </c>
      <c r="AC549" t="s">
        <v>4759</v>
      </c>
      <c r="AD549" t="s">
        <v>4760</v>
      </c>
      <c r="AH549" t="s">
        <v>123</v>
      </c>
      <c r="AI549" t="s">
        <v>124</v>
      </c>
      <c r="AJ549" t="s">
        <v>4761</v>
      </c>
      <c r="AK549" t="s">
        <v>126</v>
      </c>
      <c r="AL549" t="s">
        <v>127</v>
      </c>
      <c r="AN549" t="s">
        <v>4762</v>
      </c>
      <c r="AO549" t="s">
        <v>4763</v>
      </c>
      <c r="AP549" t="s">
        <v>4764</v>
      </c>
      <c r="AQ549" t="s">
        <v>131</v>
      </c>
      <c r="AR549" t="s">
        <v>132</v>
      </c>
      <c r="AS549" t="s">
        <v>152</v>
      </c>
      <c r="AT549" t="s">
        <v>4765</v>
      </c>
      <c r="AV549" t="s">
        <v>316</v>
      </c>
      <c r="AW549" t="s">
        <v>965</v>
      </c>
      <c r="AY549" t="s">
        <v>177</v>
      </c>
      <c r="AZ549" t="s">
        <v>364</v>
      </c>
      <c r="BA549" t="s">
        <v>4766</v>
      </c>
      <c r="BC549" t="s">
        <v>140</v>
      </c>
      <c r="BT549" s="7">
        <f t="shared" si="49"/>
        <v>0</v>
      </c>
      <c r="BU549" s="6">
        <f t="shared" si="50"/>
        <v>0</v>
      </c>
      <c r="BV549" s="6">
        <f t="shared" si="51"/>
        <v>0</v>
      </c>
      <c r="BW549" s="6">
        <f t="shared" si="52"/>
        <v>0</v>
      </c>
      <c r="BX549" s="6">
        <f t="shared" si="53"/>
        <v>0</v>
      </c>
    </row>
    <row r="550" spans="1:76" x14ac:dyDescent="0.35">
      <c r="A550" t="s">
        <v>4767</v>
      </c>
      <c r="B550" t="s">
        <v>107</v>
      </c>
      <c r="C550" t="s">
        <v>107</v>
      </c>
      <c r="F550" t="s">
        <v>613</v>
      </c>
      <c r="G550" t="s">
        <v>614</v>
      </c>
      <c r="H550" t="s">
        <v>615</v>
      </c>
      <c r="I550" t="s">
        <v>271</v>
      </c>
      <c r="J550" t="s">
        <v>113</v>
      </c>
      <c r="K550" s="8" t="s">
        <v>114</v>
      </c>
      <c r="L550" t="s">
        <v>114</v>
      </c>
      <c r="M550" s="6">
        <v>0</v>
      </c>
      <c r="N550" t="s">
        <v>114</v>
      </c>
      <c r="O550" s="6">
        <v>0</v>
      </c>
      <c r="P550" t="s">
        <v>114</v>
      </c>
      <c r="Q550" s="6">
        <v>0</v>
      </c>
      <c r="R550" s="7">
        <f t="shared" si="48"/>
        <v>0</v>
      </c>
      <c r="S550" t="s">
        <v>114</v>
      </c>
      <c r="T550" t="s">
        <v>114</v>
      </c>
      <c r="U550" t="s">
        <v>114</v>
      </c>
      <c r="W550" t="s">
        <v>114</v>
      </c>
      <c r="X550" t="s">
        <v>114</v>
      </c>
      <c r="Z550" t="s">
        <v>4768</v>
      </c>
      <c r="AA550" t="s">
        <v>4768</v>
      </c>
      <c r="AB550" s="1" t="s">
        <v>4697</v>
      </c>
      <c r="AC550" t="s">
        <v>4769</v>
      </c>
      <c r="AD550" t="s">
        <v>4770</v>
      </c>
      <c r="AH550" t="s">
        <v>123</v>
      </c>
      <c r="AI550" t="s">
        <v>124</v>
      </c>
      <c r="AJ550" t="s">
        <v>4771</v>
      </c>
      <c r="AK550" t="s">
        <v>126</v>
      </c>
      <c r="AL550" t="s">
        <v>127</v>
      </c>
      <c r="AN550" t="s">
        <v>4772</v>
      </c>
      <c r="AO550" t="s">
        <v>4773</v>
      </c>
      <c r="AP550" t="s">
        <v>3103</v>
      </c>
      <c r="AQ550" t="s">
        <v>131</v>
      </c>
      <c r="AR550" t="s">
        <v>132</v>
      </c>
      <c r="AS550" t="s">
        <v>152</v>
      </c>
      <c r="AT550" t="s">
        <v>1702</v>
      </c>
      <c r="AV550" t="s">
        <v>573</v>
      </c>
      <c r="AY550" t="s">
        <v>177</v>
      </c>
      <c r="AZ550" t="s">
        <v>627</v>
      </c>
      <c r="BA550" t="s">
        <v>4774</v>
      </c>
      <c r="BC550" t="s">
        <v>140</v>
      </c>
      <c r="BT550" s="7">
        <f t="shared" si="49"/>
        <v>0</v>
      </c>
      <c r="BU550" s="6">
        <f t="shared" si="50"/>
        <v>0</v>
      </c>
      <c r="BV550" s="6">
        <f t="shared" si="51"/>
        <v>0</v>
      </c>
      <c r="BW550" s="6">
        <f t="shared" si="52"/>
        <v>0</v>
      </c>
      <c r="BX550" s="6">
        <f t="shared" si="53"/>
        <v>0</v>
      </c>
    </row>
    <row r="551" spans="1:76" x14ac:dyDescent="0.35">
      <c r="A551" t="s">
        <v>4775</v>
      </c>
      <c r="B551" t="s">
        <v>107</v>
      </c>
      <c r="C551" t="s">
        <v>107</v>
      </c>
      <c r="F551" t="s">
        <v>358</v>
      </c>
      <c r="G551" t="s">
        <v>359</v>
      </c>
      <c r="H551" t="s">
        <v>360</v>
      </c>
      <c r="I551" t="s">
        <v>341</v>
      </c>
      <c r="J551" t="s">
        <v>113</v>
      </c>
      <c r="K551" s="8" t="s">
        <v>114</v>
      </c>
      <c r="L551" t="s">
        <v>114</v>
      </c>
      <c r="M551" s="6">
        <v>0</v>
      </c>
      <c r="N551" t="s">
        <v>114</v>
      </c>
      <c r="O551" s="6">
        <v>0</v>
      </c>
      <c r="P551" t="s">
        <v>114</v>
      </c>
      <c r="Q551" s="6">
        <v>0</v>
      </c>
      <c r="R551" s="7">
        <f t="shared" si="48"/>
        <v>0</v>
      </c>
      <c r="S551" t="s">
        <v>114</v>
      </c>
      <c r="T551" t="s">
        <v>114</v>
      </c>
      <c r="U551" t="s">
        <v>114</v>
      </c>
      <c r="W551" t="s">
        <v>114</v>
      </c>
      <c r="X551" t="s">
        <v>114</v>
      </c>
      <c r="Z551" t="s">
        <v>4776</v>
      </c>
      <c r="AA551" t="s">
        <v>4776</v>
      </c>
      <c r="AB551" s="1" t="s">
        <v>4697</v>
      </c>
      <c r="AC551" t="s">
        <v>4777</v>
      </c>
      <c r="AD551" t="s">
        <v>4778</v>
      </c>
      <c r="AH551" t="s">
        <v>123</v>
      </c>
      <c r="AI551" t="s">
        <v>124</v>
      </c>
      <c r="AJ551" t="s">
        <v>4779</v>
      </c>
      <c r="AK551" t="s">
        <v>126</v>
      </c>
      <c r="AL551" t="s">
        <v>127</v>
      </c>
      <c r="AN551" t="s">
        <v>4780</v>
      </c>
      <c r="AO551" t="s">
        <v>4781</v>
      </c>
      <c r="AP551" t="s">
        <v>2087</v>
      </c>
      <c r="AQ551" t="s">
        <v>131</v>
      </c>
      <c r="AR551" t="s">
        <v>132</v>
      </c>
      <c r="AS551" t="s">
        <v>1380</v>
      </c>
      <c r="AT551" t="s">
        <v>2783</v>
      </c>
      <c r="AV551" t="s">
        <v>299</v>
      </c>
      <c r="AW551" t="s">
        <v>191</v>
      </c>
      <c r="AY551" t="s">
        <v>177</v>
      </c>
      <c r="AZ551" t="s">
        <v>364</v>
      </c>
      <c r="BA551" t="s">
        <v>4782</v>
      </c>
      <c r="BC551" t="s">
        <v>140</v>
      </c>
      <c r="BT551" s="7">
        <f t="shared" si="49"/>
        <v>0</v>
      </c>
      <c r="BU551" s="6">
        <f t="shared" si="50"/>
        <v>0</v>
      </c>
      <c r="BV551" s="6">
        <f t="shared" si="51"/>
        <v>0</v>
      </c>
      <c r="BW551" s="6">
        <f t="shared" si="52"/>
        <v>0</v>
      </c>
      <c r="BX551" s="6">
        <f t="shared" si="53"/>
        <v>0</v>
      </c>
    </row>
    <row r="552" spans="1:76" x14ac:dyDescent="0.35">
      <c r="A552" t="s">
        <v>4783</v>
      </c>
      <c r="B552" t="s">
        <v>107</v>
      </c>
      <c r="C552" t="s">
        <v>107</v>
      </c>
      <c r="E552" t="s">
        <v>108</v>
      </c>
      <c r="F552" t="s">
        <v>158</v>
      </c>
      <c r="G552" t="s">
        <v>159</v>
      </c>
      <c r="H552" t="s">
        <v>111</v>
      </c>
      <c r="I552" t="s">
        <v>341</v>
      </c>
      <c r="J552" t="s">
        <v>1548</v>
      </c>
      <c r="K552" s="8" t="s">
        <v>114</v>
      </c>
      <c r="L552" t="s">
        <v>161</v>
      </c>
      <c r="M552" s="6">
        <v>918</v>
      </c>
      <c r="N552" t="s">
        <v>2928</v>
      </c>
      <c r="O552" s="6">
        <v>440</v>
      </c>
      <c r="P552" t="s">
        <v>4784</v>
      </c>
      <c r="Q552" s="6">
        <v>0</v>
      </c>
      <c r="R552" s="7">
        <f t="shared" si="48"/>
        <v>478</v>
      </c>
      <c r="S552" t="s">
        <v>180</v>
      </c>
      <c r="T552" t="s">
        <v>114</v>
      </c>
      <c r="U552" t="s">
        <v>180</v>
      </c>
      <c r="W552" t="s">
        <v>114</v>
      </c>
      <c r="X552" t="s">
        <v>4784</v>
      </c>
      <c r="Z552" t="s">
        <v>4785</v>
      </c>
      <c r="AA552" t="s">
        <v>4786</v>
      </c>
      <c r="AB552" s="1" t="s">
        <v>4697</v>
      </c>
      <c r="AC552" t="s">
        <v>4787</v>
      </c>
      <c r="AD552" t="s">
        <v>4788</v>
      </c>
      <c r="AH552" t="s">
        <v>123</v>
      </c>
      <c r="AI552" t="s">
        <v>124</v>
      </c>
      <c r="AJ552" t="s">
        <v>4789</v>
      </c>
      <c r="AK552" t="s">
        <v>126</v>
      </c>
      <c r="AL552" t="s">
        <v>127</v>
      </c>
      <c r="AN552" t="s">
        <v>4790</v>
      </c>
      <c r="AO552" t="s">
        <v>4791</v>
      </c>
      <c r="AP552" t="s">
        <v>4792</v>
      </c>
      <c r="AQ552" t="s">
        <v>131</v>
      </c>
      <c r="AR552" t="s">
        <v>233</v>
      </c>
      <c r="AS552" t="s">
        <v>4563</v>
      </c>
      <c r="AT552" t="s">
        <v>4793</v>
      </c>
      <c r="AV552" t="s">
        <v>495</v>
      </c>
      <c r="AX552" t="s">
        <v>176</v>
      </c>
      <c r="AY552" t="s">
        <v>1562</v>
      </c>
      <c r="AZ552" t="s">
        <v>138</v>
      </c>
      <c r="BA552" t="s">
        <v>4794</v>
      </c>
      <c r="BC552" t="s">
        <v>140</v>
      </c>
      <c r="BT552" s="7">
        <f t="shared" si="49"/>
        <v>478</v>
      </c>
      <c r="BU552" s="6">
        <f t="shared" si="50"/>
        <v>446.72897196261681</v>
      </c>
      <c r="BV552" s="6">
        <f t="shared" si="51"/>
        <v>31.271028037383175</v>
      </c>
      <c r="BW552" s="6">
        <f t="shared" si="52"/>
        <v>478</v>
      </c>
      <c r="BX552" s="6">
        <f t="shared" si="53"/>
        <v>0</v>
      </c>
    </row>
    <row r="553" spans="1:76" x14ac:dyDescent="0.35">
      <c r="A553" t="s">
        <v>4783</v>
      </c>
      <c r="B553" t="s">
        <v>107</v>
      </c>
      <c r="C553" t="s">
        <v>107</v>
      </c>
      <c r="E553" t="s">
        <v>108</v>
      </c>
      <c r="F553" t="s">
        <v>268</v>
      </c>
      <c r="G553" t="s">
        <v>269</v>
      </c>
      <c r="H553" t="s">
        <v>2268</v>
      </c>
      <c r="I553" t="s">
        <v>271</v>
      </c>
      <c r="J553" t="s">
        <v>113</v>
      </c>
      <c r="K553" s="8" t="s">
        <v>114</v>
      </c>
      <c r="L553" t="s">
        <v>114</v>
      </c>
      <c r="M553" s="6">
        <v>0</v>
      </c>
      <c r="N553" t="s">
        <v>114</v>
      </c>
      <c r="O553" s="6">
        <v>0</v>
      </c>
      <c r="P553" t="s">
        <v>114</v>
      </c>
      <c r="Q553" s="6">
        <v>0</v>
      </c>
      <c r="R553" s="7">
        <f t="shared" si="48"/>
        <v>0</v>
      </c>
      <c r="S553" t="s">
        <v>180</v>
      </c>
      <c r="T553" t="s">
        <v>114</v>
      </c>
      <c r="U553" t="s">
        <v>180</v>
      </c>
      <c r="W553" t="s">
        <v>114</v>
      </c>
      <c r="X553" t="s">
        <v>4784</v>
      </c>
      <c r="Z553" t="s">
        <v>4785</v>
      </c>
      <c r="AA553" t="s">
        <v>4786</v>
      </c>
      <c r="AB553" s="1" t="s">
        <v>4697</v>
      </c>
      <c r="AC553" t="s">
        <v>4787</v>
      </c>
      <c r="AD553" t="s">
        <v>4788</v>
      </c>
      <c r="AH553" t="s">
        <v>123</v>
      </c>
      <c r="AI553" t="s">
        <v>124</v>
      </c>
      <c r="AJ553" t="s">
        <v>4789</v>
      </c>
      <c r="AK553" t="s">
        <v>126</v>
      </c>
      <c r="AL553" t="s">
        <v>127</v>
      </c>
      <c r="AN553" t="s">
        <v>4790</v>
      </c>
      <c r="AO553" t="s">
        <v>4791</v>
      </c>
      <c r="AP553" t="s">
        <v>4792</v>
      </c>
      <c r="AQ553" t="s">
        <v>131</v>
      </c>
      <c r="AR553" t="s">
        <v>233</v>
      </c>
      <c r="AS553" t="s">
        <v>4563</v>
      </c>
      <c r="AT553" t="s">
        <v>4793</v>
      </c>
      <c r="AV553" t="s">
        <v>495</v>
      </c>
      <c r="AX553" t="s">
        <v>176</v>
      </c>
      <c r="AY553" t="s">
        <v>272</v>
      </c>
      <c r="AZ553" t="s">
        <v>273</v>
      </c>
      <c r="BA553" t="s">
        <v>4794</v>
      </c>
      <c r="BC553" t="s">
        <v>140</v>
      </c>
      <c r="BT553" s="7">
        <f t="shared" si="49"/>
        <v>0</v>
      </c>
      <c r="BU553" s="6">
        <f t="shared" si="50"/>
        <v>0</v>
      </c>
      <c r="BV553" s="6">
        <f t="shared" si="51"/>
        <v>0</v>
      </c>
      <c r="BW553" s="6">
        <f t="shared" si="52"/>
        <v>0</v>
      </c>
      <c r="BX553" s="6">
        <f t="shared" si="53"/>
        <v>0</v>
      </c>
    </row>
    <row r="554" spans="1:76" x14ac:dyDescent="0.35">
      <c r="A554" t="s">
        <v>4795</v>
      </c>
      <c r="B554" t="s">
        <v>107</v>
      </c>
      <c r="C554" t="s">
        <v>107</v>
      </c>
      <c r="E554" t="s">
        <v>108</v>
      </c>
      <c r="F554" t="s">
        <v>268</v>
      </c>
      <c r="G554" t="s">
        <v>269</v>
      </c>
      <c r="H554" t="s">
        <v>2268</v>
      </c>
      <c r="I554" t="s">
        <v>271</v>
      </c>
      <c r="J554" t="s">
        <v>113</v>
      </c>
      <c r="K554" s="8" t="s">
        <v>114</v>
      </c>
      <c r="L554" t="s">
        <v>114</v>
      </c>
      <c r="M554" s="6">
        <v>0</v>
      </c>
      <c r="N554" t="s">
        <v>114</v>
      </c>
      <c r="O554" s="6">
        <v>0</v>
      </c>
      <c r="P554" t="s">
        <v>114</v>
      </c>
      <c r="Q554" s="6">
        <v>0</v>
      </c>
      <c r="R554" s="7">
        <f t="shared" si="48"/>
        <v>0</v>
      </c>
      <c r="S554" t="s">
        <v>142</v>
      </c>
      <c r="T554" t="s">
        <v>114</v>
      </c>
      <c r="U554" t="s">
        <v>142</v>
      </c>
      <c r="W554" t="s">
        <v>114</v>
      </c>
      <c r="X554" t="s">
        <v>1876</v>
      </c>
      <c r="Z554" t="s">
        <v>4796</v>
      </c>
      <c r="AA554" t="s">
        <v>4797</v>
      </c>
      <c r="AB554" s="1" t="s">
        <v>4697</v>
      </c>
      <c r="AC554" t="s">
        <v>4798</v>
      </c>
      <c r="AD554" t="s">
        <v>4797</v>
      </c>
      <c r="AH554" t="s">
        <v>123</v>
      </c>
      <c r="AI554" t="s">
        <v>124</v>
      </c>
      <c r="AJ554" t="s">
        <v>4799</v>
      </c>
      <c r="AK554" t="s">
        <v>126</v>
      </c>
      <c r="AL554" t="s">
        <v>127</v>
      </c>
      <c r="AN554" t="s">
        <v>4800</v>
      </c>
      <c r="AO554" t="s">
        <v>4801</v>
      </c>
      <c r="AP554" t="s">
        <v>4802</v>
      </c>
      <c r="AQ554" t="s">
        <v>131</v>
      </c>
      <c r="AR554" t="s">
        <v>132</v>
      </c>
      <c r="AS554" t="s">
        <v>152</v>
      </c>
      <c r="AT554" t="s">
        <v>4145</v>
      </c>
      <c r="AV554" t="s">
        <v>759</v>
      </c>
      <c r="AW554" t="s">
        <v>300</v>
      </c>
      <c r="AX554" t="s">
        <v>136</v>
      </c>
      <c r="AY554" t="s">
        <v>272</v>
      </c>
      <c r="AZ554" t="s">
        <v>273</v>
      </c>
      <c r="BA554" t="s">
        <v>4803</v>
      </c>
      <c r="BC554" t="s">
        <v>140</v>
      </c>
      <c r="BT554" s="7">
        <f t="shared" si="49"/>
        <v>0</v>
      </c>
      <c r="BU554" s="6">
        <f t="shared" si="50"/>
        <v>0</v>
      </c>
      <c r="BV554" s="6">
        <f t="shared" si="51"/>
        <v>0</v>
      </c>
      <c r="BW554" s="6">
        <f t="shared" si="52"/>
        <v>0</v>
      </c>
      <c r="BX554" s="6">
        <f t="shared" si="53"/>
        <v>0</v>
      </c>
    </row>
    <row r="555" spans="1:76" x14ac:dyDescent="0.35">
      <c r="A555" t="s">
        <v>4795</v>
      </c>
      <c r="B555" t="s">
        <v>107</v>
      </c>
      <c r="C555" t="s">
        <v>107</v>
      </c>
      <c r="E555" t="s">
        <v>108</v>
      </c>
      <c r="F555" t="s">
        <v>158</v>
      </c>
      <c r="G555" t="s">
        <v>159</v>
      </c>
      <c r="H555" t="s">
        <v>111</v>
      </c>
      <c r="I555" t="s">
        <v>341</v>
      </c>
      <c r="J555" t="s">
        <v>113</v>
      </c>
      <c r="K555" s="8" t="s">
        <v>114</v>
      </c>
      <c r="L555" t="s">
        <v>161</v>
      </c>
      <c r="M555" s="6">
        <v>459</v>
      </c>
      <c r="N555" t="s">
        <v>436</v>
      </c>
      <c r="O555" s="6">
        <v>220</v>
      </c>
      <c r="P555" t="s">
        <v>1876</v>
      </c>
      <c r="Q555" s="6">
        <v>0</v>
      </c>
      <c r="R555" s="7">
        <f t="shared" si="48"/>
        <v>239</v>
      </c>
      <c r="S555" t="s">
        <v>142</v>
      </c>
      <c r="T555" t="s">
        <v>114</v>
      </c>
      <c r="U555" t="s">
        <v>142</v>
      </c>
      <c r="W555" t="s">
        <v>114</v>
      </c>
      <c r="X555" t="s">
        <v>1876</v>
      </c>
      <c r="Z555" t="s">
        <v>4796</v>
      </c>
      <c r="AA555" t="s">
        <v>4797</v>
      </c>
      <c r="AB555" s="1" t="s">
        <v>4697</v>
      </c>
      <c r="AC555" t="s">
        <v>4798</v>
      </c>
      <c r="AD555" t="s">
        <v>4797</v>
      </c>
      <c r="AH555" t="s">
        <v>123</v>
      </c>
      <c r="AI555" t="s">
        <v>124</v>
      </c>
      <c r="AJ555" t="s">
        <v>4799</v>
      </c>
      <c r="AK555" t="s">
        <v>126</v>
      </c>
      <c r="AL555" t="s">
        <v>127</v>
      </c>
      <c r="AN555" t="s">
        <v>4800</v>
      </c>
      <c r="AO555" t="s">
        <v>4801</v>
      </c>
      <c r="AP555" t="s">
        <v>4802</v>
      </c>
      <c r="AQ555" t="s">
        <v>131</v>
      </c>
      <c r="AR555" t="s">
        <v>132</v>
      </c>
      <c r="AS555" t="s">
        <v>152</v>
      </c>
      <c r="AT555" t="s">
        <v>4145</v>
      </c>
      <c r="AV555" t="s">
        <v>759</v>
      </c>
      <c r="AW555" t="s">
        <v>300</v>
      </c>
      <c r="AX555" t="s">
        <v>136</v>
      </c>
      <c r="AY555" t="s">
        <v>177</v>
      </c>
      <c r="AZ555" t="s">
        <v>138</v>
      </c>
      <c r="BA555" t="s">
        <v>4803</v>
      </c>
      <c r="BC555" t="s">
        <v>140</v>
      </c>
      <c r="BT555" s="7">
        <f t="shared" si="49"/>
        <v>239</v>
      </c>
      <c r="BU555" s="6">
        <f t="shared" si="50"/>
        <v>223.36448598130841</v>
      </c>
      <c r="BV555" s="6">
        <f t="shared" si="51"/>
        <v>15.635514018691588</v>
      </c>
      <c r="BW555" s="6">
        <f t="shared" si="52"/>
        <v>239</v>
      </c>
      <c r="BX555" s="6">
        <f t="shared" si="53"/>
        <v>0</v>
      </c>
    </row>
    <row r="556" spans="1:76" x14ac:dyDescent="0.35">
      <c r="A556" t="s">
        <v>4804</v>
      </c>
      <c r="B556" t="s">
        <v>107</v>
      </c>
      <c r="C556" t="s">
        <v>107</v>
      </c>
      <c r="E556" t="s">
        <v>108</v>
      </c>
      <c r="F556" t="s">
        <v>158</v>
      </c>
      <c r="G556" t="s">
        <v>159</v>
      </c>
      <c r="H556" t="s">
        <v>111</v>
      </c>
      <c r="I556" t="s">
        <v>341</v>
      </c>
      <c r="J556" t="s">
        <v>113</v>
      </c>
      <c r="K556" s="8" t="s">
        <v>114</v>
      </c>
      <c r="L556" t="s">
        <v>161</v>
      </c>
      <c r="M556" s="6">
        <v>459</v>
      </c>
      <c r="N556" t="s">
        <v>1219</v>
      </c>
      <c r="O556" s="6">
        <v>220</v>
      </c>
      <c r="P556" t="s">
        <v>1220</v>
      </c>
      <c r="Q556" s="6">
        <v>0</v>
      </c>
      <c r="R556" s="7">
        <f t="shared" si="48"/>
        <v>239</v>
      </c>
      <c r="S556" t="s">
        <v>180</v>
      </c>
      <c r="T556" t="s">
        <v>114</v>
      </c>
      <c r="U556" t="s">
        <v>180</v>
      </c>
      <c r="W556" t="s">
        <v>114</v>
      </c>
      <c r="X556" t="s">
        <v>1220</v>
      </c>
      <c r="Z556" t="s">
        <v>4805</v>
      </c>
      <c r="AA556" t="s">
        <v>4806</v>
      </c>
      <c r="AB556" s="1" t="s">
        <v>4807</v>
      </c>
      <c r="AC556" t="s">
        <v>4808</v>
      </c>
      <c r="AD556" t="s">
        <v>4809</v>
      </c>
      <c r="AH556" t="s">
        <v>123</v>
      </c>
      <c r="AI556" t="s">
        <v>124</v>
      </c>
      <c r="AJ556" t="s">
        <v>4810</v>
      </c>
      <c r="AK556" t="s">
        <v>126</v>
      </c>
      <c r="AL556" t="s">
        <v>127</v>
      </c>
      <c r="AN556" t="s">
        <v>4811</v>
      </c>
      <c r="AO556" t="s">
        <v>4812</v>
      </c>
      <c r="AP556" t="s">
        <v>2356</v>
      </c>
      <c r="AQ556" t="s">
        <v>131</v>
      </c>
      <c r="AR556" t="s">
        <v>132</v>
      </c>
      <c r="AS556" t="s">
        <v>1369</v>
      </c>
      <c r="AT556" t="s">
        <v>4813</v>
      </c>
      <c r="AV556" t="s">
        <v>175</v>
      </c>
      <c r="AW556" t="s">
        <v>191</v>
      </c>
      <c r="AX556" t="s">
        <v>655</v>
      </c>
      <c r="AY556" t="s">
        <v>177</v>
      </c>
      <c r="AZ556" t="s">
        <v>138</v>
      </c>
      <c r="BA556" t="s">
        <v>4814</v>
      </c>
      <c r="BC556" t="s">
        <v>140</v>
      </c>
      <c r="BT556" s="7">
        <f t="shared" si="49"/>
        <v>239</v>
      </c>
      <c r="BU556" s="6">
        <f t="shared" si="50"/>
        <v>223.36448598130841</v>
      </c>
      <c r="BV556" s="6">
        <f t="shared" si="51"/>
        <v>15.635514018691588</v>
      </c>
      <c r="BW556" s="6">
        <f t="shared" si="52"/>
        <v>239</v>
      </c>
      <c r="BX556" s="6">
        <f t="shared" si="53"/>
        <v>0</v>
      </c>
    </row>
    <row r="557" spans="1:76" x14ac:dyDescent="0.35">
      <c r="A557" t="s">
        <v>4804</v>
      </c>
      <c r="B557" t="s">
        <v>107</v>
      </c>
      <c r="C557" t="s">
        <v>107</v>
      </c>
      <c r="E557" t="s">
        <v>108</v>
      </c>
      <c r="F557" t="s">
        <v>268</v>
      </c>
      <c r="G557" t="s">
        <v>269</v>
      </c>
      <c r="H557" t="s">
        <v>2268</v>
      </c>
      <c r="I557" t="s">
        <v>271</v>
      </c>
      <c r="J557" t="s">
        <v>113</v>
      </c>
      <c r="K557" s="8" t="s">
        <v>114</v>
      </c>
      <c r="L557" t="s">
        <v>114</v>
      </c>
      <c r="M557" s="6">
        <v>0</v>
      </c>
      <c r="N557" t="s">
        <v>114</v>
      </c>
      <c r="O557" s="6">
        <v>0</v>
      </c>
      <c r="P557" t="s">
        <v>114</v>
      </c>
      <c r="Q557" s="6">
        <v>0</v>
      </c>
      <c r="R557" s="7">
        <f t="shared" si="48"/>
        <v>0</v>
      </c>
      <c r="S557" t="s">
        <v>180</v>
      </c>
      <c r="T557" t="s">
        <v>114</v>
      </c>
      <c r="U557" t="s">
        <v>180</v>
      </c>
      <c r="W557" t="s">
        <v>114</v>
      </c>
      <c r="X557" t="s">
        <v>1220</v>
      </c>
      <c r="Z557" t="s">
        <v>4805</v>
      </c>
      <c r="AA557" t="s">
        <v>4806</v>
      </c>
      <c r="AB557" s="1" t="s">
        <v>4807</v>
      </c>
      <c r="AC557" t="s">
        <v>4808</v>
      </c>
      <c r="AD557" t="s">
        <v>4809</v>
      </c>
      <c r="AH557" t="s">
        <v>123</v>
      </c>
      <c r="AI557" t="s">
        <v>124</v>
      </c>
      <c r="AJ557" t="s">
        <v>4810</v>
      </c>
      <c r="AK557" t="s">
        <v>126</v>
      </c>
      <c r="AL557" t="s">
        <v>127</v>
      </c>
      <c r="AN557" t="s">
        <v>4811</v>
      </c>
      <c r="AO557" t="s">
        <v>4812</v>
      </c>
      <c r="AP557" t="s">
        <v>2356</v>
      </c>
      <c r="AQ557" t="s">
        <v>131</v>
      </c>
      <c r="AR557" t="s">
        <v>132</v>
      </c>
      <c r="AS557" t="s">
        <v>1369</v>
      </c>
      <c r="AT557" t="s">
        <v>4813</v>
      </c>
      <c r="AV557" t="s">
        <v>175</v>
      </c>
      <c r="AW557" t="s">
        <v>191</v>
      </c>
      <c r="AX557" t="s">
        <v>655</v>
      </c>
      <c r="AY557" t="s">
        <v>272</v>
      </c>
      <c r="AZ557" t="s">
        <v>273</v>
      </c>
      <c r="BA557" t="s">
        <v>4814</v>
      </c>
      <c r="BC557" t="s">
        <v>140</v>
      </c>
      <c r="BT557" s="7">
        <f t="shared" si="49"/>
        <v>0</v>
      </c>
      <c r="BU557" s="6">
        <f t="shared" si="50"/>
        <v>0</v>
      </c>
      <c r="BV557" s="6">
        <f t="shared" si="51"/>
        <v>0</v>
      </c>
      <c r="BW557" s="6">
        <f t="shared" si="52"/>
        <v>0</v>
      </c>
      <c r="BX557" s="6">
        <f t="shared" si="53"/>
        <v>0</v>
      </c>
    </row>
    <row r="558" spans="1:76" x14ac:dyDescent="0.35">
      <c r="A558" t="s">
        <v>4815</v>
      </c>
      <c r="B558" t="s">
        <v>107</v>
      </c>
      <c r="C558" t="s">
        <v>107</v>
      </c>
      <c r="E558" t="s">
        <v>108</v>
      </c>
      <c r="F558" t="s">
        <v>158</v>
      </c>
      <c r="G558" t="s">
        <v>159</v>
      </c>
      <c r="H558" t="s">
        <v>111</v>
      </c>
      <c r="I558" t="s">
        <v>341</v>
      </c>
      <c r="J558" t="s">
        <v>113</v>
      </c>
      <c r="K558" s="8" t="s">
        <v>114</v>
      </c>
      <c r="L558" t="s">
        <v>161</v>
      </c>
      <c r="M558" s="6">
        <v>459</v>
      </c>
      <c r="N558" t="s">
        <v>4816</v>
      </c>
      <c r="O558" s="6">
        <v>220</v>
      </c>
      <c r="P558" t="s">
        <v>4817</v>
      </c>
      <c r="Q558" s="6">
        <v>0</v>
      </c>
      <c r="R558" s="7">
        <f t="shared" si="48"/>
        <v>239</v>
      </c>
      <c r="S558" t="s">
        <v>142</v>
      </c>
      <c r="T558" t="s">
        <v>114</v>
      </c>
      <c r="U558" t="s">
        <v>142</v>
      </c>
      <c r="W558" t="s">
        <v>114</v>
      </c>
      <c r="X558" t="s">
        <v>4817</v>
      </c>
      <c r="Z558" t="s">
        <v>4818</v>
      </c>
      <c r="AA558" t="s">
        <v>4819</v>
      </c>
      <c r="AB558" s="1" t="s">
        <v>4697</v>
      </c>
      <c r="AC558" t="s">
        <v>4820</v>
      </c>
      <c r="AD558" t="s">
        <v>4821</v>
      </c>
      <c r="AH558" t="s">
        <v>123</v>
      </c>
      <c r="AI558" t="s">
        <v>124</v>
      </c>
      <c r="AJ558" t="s">
        <v>4822</v>
      </c>
      <c r="AK558" t="s">
        <v>126</v>
      </c>
      <c r="AL558" t="s">
        <v>127</v>
      </c>
      <c r="AN558" t="s">
        <v>4823</v>
      </c>
      <c r="AO558" t="s">
        <v>4824</v>
      </c>
      <c r="AP558" t="s">
        <v>4825</v>
      </c>
      <c r="AQ558" t="s">
        <v>131</v>
      </c>
      <c r="AR558" t="s">
        <v>132</v>
      </c>
      <c r="AS558" t="s">
        <v>152</v>
      </c>
      <c r="AT558" t="s">
        <v>1971</v>
      </c>
      <c r="AV558" t="s">
        <v>639</v>
      </c>
      <c r="AX558" t="s">
        <v>317</v>
      </c>
      <c r="AY558" t="s">
        <v>177</v>
      </c>
      <c r="AZ558" t="s">
        <v>138</v>
      </c>
      <c r="BA558" t="s">
        <v>4826</v>
      </c>
      <c r="BC558" t="s">
        <v>140</v>
      </c>
      <c r="BT558" s="7">
        <f t="shared" si="49"/>
        <v>239</v>
      </c>
      <c r="BU558" s="6">
        <f t="shared" si="50"/>
        <v>223.36448598130841</v>
      </c>
      <c r="BV558" s="6">
        <f t="shared" si="51"/>
        <v>15.635514018691588</v>
      </c>
      <c r="BW558" s="6">
        <f t="shared" si="52"/>
        <v>239</v>
      </c>
      <c r="BX558" s="6">
        <f t="shared" si="53"/>
        <v>0</v>
      </c>
    </row>
    <row r="559" spans="1:76" x14ac:dyDescent="0.35">
      <c r="A559" t="s">
        <v>4815</v>
      </c>
      <c r="B559" t="s">
        <v>107</v>
      </c>
      <c r="C559" t="s">
        <v>107</v>
      </c>
      <c r="E559" t="s">
        <v>108</v>
      </c>
      <c r="F559" t="s">
        <v>268</v>
      </c>
      <c r="G559" t="s">
        <v>269</v>
      </c>
      <c r="H559" t="s">
        <v>2268</v>
      </c>
      <c r="I559" t="s">
        <v>271</v>
      </c>
      <c r="J559" t="s">
        <v>113</v>
      </c>
      <c r="K559" s="8" t="s">
        <v>114</v>
      </c>
      <c r="L559" t="s">
        <v>114</v>
      </c>
      <c r="M559" s="6">
        <v>0</v>
      </c>
      <c r="N559" t="s">
        <v>114</v>
      </c>
      <c r="O559" s="6">
        <v>0</v>
      </c>
      <c r="P559" t="s">
        <v>114</v>
      </c>
      <c r="Q559" s="6">
        <v>0</v>
      </c>
      <c r="R559" s="7">
        <f t="shared" si="48"/>
        <v>0</v>
      </c>
      <c r="S559" t="s">
        <v>142</v>
      </c>
      <c r="T559" t="s">
        <v>114</v>
      </c>
      <c r="U559" t="s">
        <v>142</v>
      </c>
      <c r="W559" t="s">
        <v>114</v>
      </c>
      <c r="X559" t="s">
        <v>4817</v>
      </c>
      <c r="Z559" t="s">
        <v>4818</v>
      </c>
      <c r="AA559" t="s">
        <v>4819</v>
      </c>
      <c r="AB559" s="1" t="s">
        <v>4697</v>
      </c>
      <c r="AC559" t="s">
        <v>4820</v>
      </c>
      <c r="AD559" t="s">
        <v>4821</v>
      </c>
      <c r="AH559" t="s">
        <v>123</v>
      </c>
      <c r="AI559" t="s">
        <v>124</v>
      </c>
      <c r="AJ559" t="s">
        <v>4822</v>
      </c>
      <c r="AK559" t="s">
        <v>126</v>
      </c>
      <c r="AL559" t="s">
        <v>127</v>
      </c>
      <c r="AN559" t="s">
        <v>4823</v>
      </c>
      <c r="AO559" t="s">
        <v>4824</v>
      </c>
      <c r="AP559" t="s">
        <v>4825</v>
      </c>
      <c r="AQ559" t="s">
        <v>131</v>
      </c>
      <c r="AR559" t="s">
        <v>132</v>
      </c>
      <c r="AS559" t="s">
        <v>152</v>
      </c>
      <c r="AT559" t="s">
        <v>1971</v>
      </c>
      <c r="AV559" t="s">
        <v>639</v>
      </c>
      <c r="AX559" t="s">
        <v>317</v>
      </c>
      <c r="AY559" t="s">
        <v>272</v>
      </c>
      <c r="AZ559" t="s">
        <v>273</v>
      </c>
      <c r="BA559" t="s">
        <v>4826</v>
      </c>
      <c r="BC559" t="s">
        <v>140</v>
      </c>
      <c r="BT559" s="7">
        <f t="shared" si="49"/>
        <v>0</v>
      </c>
      <c r="BU559" s="6">
        <f t="shared" si="50"/>
        <v>0</v>
      </c>
      <c r="BV559" s="6">
        <f t="shared" si="51"/>
        <v>0</v>
      </c>
      <c r="BW559" s="6">
        <f t="shared" si="52"/>
        <v>0</v>
      </c>
      <c r="BX559" s="6">
        <f t="shared" si="53"/>
        <v>0</v>
      </c>
    </row>
    <row r="560" spans="1:76" x14ac:dyDescent="0.35">
      <c r="A560" t="s">
        <v>4827</v>
      </c>
      <c r="B560" t="s">
        <v>336</v>
      </c>
      <c r="C560" t="s">
        <v>336</v>
      </c>
      <c r="D560" t="s">
        <v>337</v>
      </c>
      <c r="E560" t="s">
        <v>108</v>
      </c>
      <c r="F560" t="s">
        <v>613</v>
      </c>
      <c r="G560" t="s">
        <v>614</v>
      </c>
      <c r="H560" t="s">
        <v>615</v>
      </c>
      <c r="I560" t="s">
        <v>271</v>
      </c>
      <c r="J560" t="s">
        <v>113</v>
      </c>
      <c r="K560" s="8" t="s">
        <v>113</v>
      </c>
      <c r="L560" t="s">
        <v>2550</v>
      </c>
      <c r="M560" s="6">
        <v>196</v>
      </c>
      <c r="N560" t="s">
        <v>114</v>
      </c>
      <c r="O560" s="6">
        <v>118</v>
      </c>
      <c r="P560" t="s">
        <v>2552</v>
      </c>
      <c r="Q560" s="6">
        <v>0</v>
      </c>
      <c r="R560" s="7">
        <f t="shared" si="48"/>
        <v>78</v>
      </c>
      <c r="S560" t="s">
        <v>180</v>
      </c>
      <c r="T560" t="s">
        <v>114</v>
      </c>
      <c r="U560" t="s">
        <v>180</v>
      </c>
      <c r="W560" t="s">
        <v>114</v>
      </c>
      <c r="X560" t="s">
        <v>2552</v>
      </c>
      <c r="Y560" t="s">
        <v>2552</v>
      </c>
      <c r="Z560" t="s">
        <v>4828</v>
      </c>
      <c r="AE560" t="s">
        <v>4829</v>
      </c>
      <c r="AF560" t="s">
        <v>346</v>
      </c>
      <c r="AG560" t="s">
        <v>1325</v>
      </c>
      <c r="AH560" t="s">
        <v>123</v>
      </c>
      <c r="AI560" t="s">
        <v>124</v>
      </c>
      <c r="AK560" t="s">
        <v>126</v>
      </c>
      <c r="AN560" t="s">
        <v>4830</v>
      </c>
      <c r="AO560" t="s">
        <v>4831</v>
      </c>
      <c r="AP560" t="s">
        <v>4832</v>
      </c>
      <c r="AQ560" t="s">
        <v>131</v>
      </c>
      <c r="AR560" t="s">
        <v>132</v>
      </c>
      <c r="AS560" t="s">
        <v>2076</v>
      </c>
      <c r="AT560" t="s">
        <v>4833</v>
      </c>
      <c r="AV560" t="s">
        <v>219</v>
      </c>
      <c r="AX560" t="s">
        <v>155</v>
      </c>
      <c r="AY560" t="s">
        <v>177</v>
      </c>
      <c r="AZ560" t="s">
        <v>627</v>
      </c>
      <c r="BT560" s="7">
        <f t="shared" si="49"/>
        <v>78</v>
      </c>
      <c r="BU560" s="6">
        <f t="shared" si="50"/>
        <v>72.89719626168224</v>
      </c>
      <c r="BV560" s="6">
        <f t="shared" si="51"/>
        <v>5.1028037383177569</v>
      </c>
      <c r="BW560" s="6">
        <f t="shared" si="52"/>
        <v>78</v>
      </c>
      <c r="BX560" s="6">
        <f t="shared" si="53"/>
        <v>0</v>
      </c>
    </row>
    <row r="561" spans="1:76" x14ac:dyDescent="0.35">
      <c r="A561" t="s">
        <v>4834</v>
      </c>
      <c r="B561" t="s">
        <v>107</v>
      </c>
      <c r="C561" t="s">
        <v>107</v>
      </c>
      <c r="F561" t="s">
        <v>613</v>
      </c>
      <c r="G561" t="s">
        <v>614</v>
      </c>
      <c r="H561" t="s">
        <v>615</v>
      </c>
      <c r="I561" t="s">
        <v>271</v>
      </c>
      <c r="J561" t="s">
        <v>113</v>
      </c>
      <c r="K561" s="8" t="s">
        <v>114</v>
      </c>
      <c r="L561" t="s">
        <v>114</v>
      </c>
      <c r="M561" s="6">
        <v>0</v>
      </c>
      <c r="N561" t="s">
        <v>114</v>
      </c>
      <c r="O561" s="6">
        <v>0</v>
      </c>
      <c r="P561" t="s">
        <v>114</v>
      </c>
      <c r="Q561" s="6">
        <v>0</v>
      </c>
      <c r="R561" s="7">
        <f t="shared" si="48"/>
        <v>0</v>
      </c>
      <c r="S561" t="s">
        <v>114</v>
      </c>
      <c r="T561" t="s">
        <v>114</v>
      </c>
      <c r="U561" t="s">
        <v>114</v>
      </c>
      <c r="W561" t="s">
        <v>114</v>
      </c>
      <c r="X561" t="s">
        <v>114</v>
      </c>
      <c r="Z561" t="s">
        <v>4835</v>
      </c>
      <c r="AA561" t="s">
        <v>4836</v>
      </c>
      <c r="AB561" s="1" t="s">
        <v>4697</v>
      </c>
      <c r="AC561" t="s">
        <v>4837</v>
      </c>
      <c r="AD561" t="s">
        <v>4838</v>
      </c>
      <c r="AH561" t="s">
        <v>123</v>
      </c>
      <c r="AI561" t="s">
        <v>124</v>
      </c>
      <c r="AJ561" t="s">
        <v>4839</v>
      </c>
      <c r="AK561" t="s">
        <v>126</v>
      </c>
      <c r="AL561" t="s">
        <v>127</v>
      </c>
      <c r="AN561" t="s">
        <v>4840</v>
      </c>
      <c r="AO561" t="s">
        <v>4841</v>
      </c>
      <c r="AP561" t="s">
        <v>4842</v>
      </c>
      <c r="AQ561" t="s">
        <v>131</v>
      </c>
      <c r="AR561" t="s">
        <v>132</v>
      </c>
      <c r="AS561" t="s">
        <v>152</v>
      </c>
      <c r="AT561" t="s">
        <v>3516</v>
      </c>
      <c r="AV561" t="s">
        <v>3361</v>
      </c>
      <c r="AW561" t="s">
        <v>237</v>
      </c>
      <c r="AY561" t="s">
        <v>177</v>
      </c>
      <c r="AZ561" t="s">
        <v>627</v>
      </c>
      <c r="BA561" t="s">
        <v>4843</v>
      </c>
      <c r="BC561" t="s">
        <v>140</v>
      </c>
      <c r="BT561" s="7">
        <f t="shared" si="49"/>
        <v>0</v>
      </c>
      <c r="BU561" s="6">
        <f t="shared" si="50"/>
        <v>0</v>
      </c>
      <c r="BV561" s="6">
        <f t="shared" si="51"/>
        <v>0</v>
      </c>
      <c r="BW561" s="6">
        <f t="shared" si="52"/>
        <v>0</v>
      </c>
      <c r="BX561" s="6">
        <f t="shared" si="53"/>
        <v>0</v>
      </c>
    </row>
    <row r="562" spans="1:76" x14ac:dyDescent="0.35">
      <c r="A562" t="s">
        <v>4844</v>
      </c>
      <c r="B562" t="s">
        <v>107</v>
      </c>
      <c r="C562" t="s">
        <v>107</v>
      </c>
      <c r="F562" t="s">
        <v>358</v>
      </c>
      <c r="G562" t="s">
        <v>359</v>
      </c>
      <c r="H562" t="s">
        <v>360</v>
      </c>
      <c r="I562" t="s">
        <v>341</v>
      </c>
      <c r="J562" t="s">
        <v>113</v>
      </c>
      <c r="K562" s="8" t="s">
        <v>114</v>
      </c>
      <c r="L562" t="s">
        <v>114</v>
      </c>
      <c r="M562" s="6">
        <v>0</v>
      </c>
      <c r="N562" t="s">
        <v>114</v>
      </c>
      <c r="O562" s="6">
        <v>0</v>
      </c>
      <c r="P562" t="s">
        <v>114</v>
      </c>
      <c r="Q562" s="6">
        <v>0</v>
      </c>
      <c r="R562" s="7">
        <f t="shared" si="48"/>
        <v>0</v>
      </c>
      <c r="S562" t="s">
        <v>114</v>
      </c>
      <c r="T562" t="s">
        <v>114</v>
      </c>
      <c r="U562" t="s">
        <v>114</v>
      </c>
      <c r="W562" t="s">
        <v>114</v>
      </c>
      <c r="X562" t="s">
        <v>114</v>
      </c>
      <c r="Z562" t="s">
        <v>4845</v>
      </c>
      <c r="AA562" t="s">
        <v>4845</v>
      </c>
      <c r="AB562" s="1" t="s">
        <v>4697</v>
      </c>
      <c r="AC562" t="s">
        <v>4846</v>
      </c>
      <c r="AD562" t="s">
        <v>4847</v>
      </c>
      <c r="AH562" t="s">
        <v>123</v>
      </c>
      <c r="AI562" t="s">
        <v>124</v>
      </c>
      <c r="AJ562" t="s">
        <v>4848</v>
      </c>
      <c r="AK562" t="s">
        <v>126</v>
      </c>
      <c r="AL562" t="s">
        <v>127</v>
      </c>
      <c r="AN562" t="s">
        <v>2534</v>
      </c>
      <c r="AO562" t="s">
        <v>2535</v>
      </c>
      <c r="AP562" t="s">
        <v>2536</v>
      </c>
      <c r="AQ562" t="s">
        <v>131</v>
      </c>
      <c r="AR562" t="s">
        <v>132</v>
      </c>
      <c r="AS562" t="s">
        <v>2312</v>
      </c>
      <c r="AT562" t="s">
        <v>2537</v>
      </c>
      <c r="AV562" t="s">
        <v>1665</v>
      </c>
      <c r="AW562" t="s">
        <v>237</v>
      </c>
      <c r="AY562" t="s">
        <v>177</v>
      </c>
      <c r="AZ562" t="s">
        <v>364</v>
      </c>
      <c r="BA562" t="s">
        <v>4849</v>
      </c>
      <c r="BC562" t="s">
        <v>140</v>
      </c>
      <c r="BT562" s="7">
        <f t="shared" si="49"/>
        <v>0</v>
      </c>
      <c r="BU562" s="6">
        <f t="shared" si="50"/>
        <v>0</v>
      </c>
      <c r="BV562" s="6">
        <f t="shared" si="51"/>
        <v>0</v>
      </c>
      <c r="BW562" s="6">
        <f t="shared" si="52"/>
        <v>0</v>
      </c>
      <c r="BX562" s="6">
        <f t="shared" si="53"/>
        <v>0</v>
      </c>
    </row>
    <row r="563" spans="1:76" x14ac:dyDescent="0.35">
      <c r="A563" t="s">
        <v>4850</v>
      </c>
      <c r="B563" t="s">
        <v>107</v>
      </c>
      <c r="C563" t="s">
        <v>107</v>
      </c>
      <c r="F563" t="s">
        <v>358</v>
      </c>
      <c r="G563" t="s">
        <v>359</v>
      </c>
      <c r="H563" t="s">
        <v>360</v>
      </c>
      <c r="I563" t="s">
        <v>341</v>
      </c>
      <c r="J563" t="s">
        <v>113</v>
      </c>
      <c r="K563" s="8" t="s">
        <v>114</v>
      </c>
      <c r="L563" t="s">
        <v>114</v>
      </c>
      <c r="M563" s="6">
        <v>0</v>
      </c>
      <c r="N563" t="s">
        <v>114</v>
      </c>
      <c r="O563" s="6">
        <v>0</v>
      </c>
      <c r="P563" t="s">
        <v>114</v>
      </c>
      <c r="Q563" s="6">
        <v>0</v>
      </c>
      <c r="R563" s="7">
        <f t="shared" si="48"/>
        <v>0</v>
      </c>
      <c r="S563" t="s">
        <v>114</v>
      </c>
      <c r="T563" t="s">
        <v>114</v>
      </c>
      <c r="U563" t="s">
        <v>114</v>
      </c>
      <c r="W563" t="s">
        <v>114</v>
      </c>
      <c r="X563" t="s">
        <v>114</v>
      </c>
      <c r="Z563" t="s">
        <v>4851</v>
      </c>
      <c r="AA563" t="s">
        <v>4851</v>
      </c>
      <c r="AB563" s="1" t="s">
        <v>4697</v>
      </c>
      <c r="AC563" t="s">
        <v>4852</v>
      </c>
      <c r="AD563" t="s">
        <v>4853</v>
      </c>
      <c r="AH563" t="s">
        <v>123</v>
      </c>
      <c r="AI563" t="s">
        <v>124</v>
      </c>
      <c r="AJ563" t="s">
        <v>4854</v>
      </c>
      <c r="AK563" t="s">
        <v>126</v>
      </c>
      <c r="AL563" t="s">
        <v>127</v>
      </c>
      <c r="AN563" t="s">
        <v>4855</v>
      </c>
      <c r="AO563" t="s">
        <v>4856</v>
      </c>
      <c r="AP563" t="s">
        <v>4857</v>
      </c>
      <c r="AQ563" t="s">
        <v>131</v>
      </c>
      <c r="AR563" t="s">
        <v>132</v>
      </c>
      <c r="AS563" t="s">
        <v>1440</v>
      </c>
      <c r="AT563" t="s">
        <v>4858</v>
      </c>
      <c r="AV563" t="s">
        <v>1766</v>
      </c>
      <c r="AY563" t="s">
        <v>177</v>
      </c>
      <c r="AZ563" t="s">
        <v>364</v>
      </c>
      <c r="BA563" t="s">
        <v>4859</v>
      </c>
      <c r="BC563" t="s">
        <v>140</v>
      </c>
      <c r="BT563" s="7">
        <f t="shared" si="49"/>
        <v>0</v>
      </c>
      <c r="BU563" s="6">
        <f t="shared" si="50"/>
        <v>0</v>
      </c>
      <c r="BV563" s="6">
        <f t="shared" si="51"/>
        <v>0</v>
      </c>
      <c r="BW563" s="6">
        <f t="shared" si="52"/>
        <v>0</v>
      </c>
      <c r="BX563" s="6">
        <f t="shared" si="53"/>
        <v>0</v>
      </c>
    </row>
    <row r="564" spans="1:76" x14ac:dyDescent="0.35">
      <c r="A564" t="s">
        <v>4860</v>
      </c>
      <c r="B564" t="s">
        <v>107</v>
      </c>
      <c r="C564" t="s">
        <v>107</v>
      </c>
      <c r="F564" t="s">
        <v>158</v>
      </c>
      <c r="G564" t="s">
        <v>159</v>
      </c>
      <c r="H564" t="s">
        <v>111</v>
      </c>
      <c r="I564" t="s">
        <v>341</v>
      </c>
      <c r="J564" t="s">
        <v>113</v>
      </c>
      <c r="K564" s="8" t="s">
        <v>114</v>
      </c>
      <c r="L564" t="s">
        <v>114</v>
      </c>
      <c r="M564" s="6">
        <v>0</v>
      </c>
      <c r="N564" t="s">
        <v>114</v>
      </c>
      <c r="O564" s="6">
        <v>0</v>
      </c>
      <c r="P564" t="s">
        <v>114</v>
      </c>
      <c r="Q564" s="6">
        <v>0</v>
      </c>
      <c r="R564" s="7">
        <f t="shared" si="48"/>
        <v>0</v>
      </c>
      <c r="S564" t="s">
        <v>114</v>
      </c>
      <c r="T564" t="s">
        <v>114</v>
      </c>
      <c r="U564" t="s">
        <v>114</v>
      </c>
      <c r="W564" t="s">
        <v>114</v>
      </c>
      <c r="X564" t="s">
        <v>114</v>
      </c>
      <c r="Z564" t="s">
        <v>4861</v>
      </c>
      <c r="AA564" t="s">
        <v>4861</v>
      </c>
      <c r="AB564" s="1" t="s">
        <v>4697</v>
      </c>
      <c r="AC564" t="s">
        <v>4862</v>
      </c>
      <c r="AD564" t="s">
        <v>4863</v>
      </c>
      <c r="AH564" t="s">
        <v>123</v>
      </c>
      <c r="AI564" t="s">
        <v>124</v>
      </c>
      <c r="AJ564" t="s">
        <v>4864</v>
      </c>
      <c r="AK564" t="s">
        <v>126</v>
      </c>
      <c r="AL564" t="s">
        <v>127</v>
      </c>
      <c r="AN564" t="s">
        <v>4865</v>
      </c>
      <c r="AO564" t="s">
        <v>4866</v>
      </c>
      <c r="AP564" t="s">
        <v>2617</v>
      </c>
      <c r="AQ564" t="s">
        <v>131</v>
      </c>
      <c r="AR564" t="s">
        <v>132</v>
      </c>
      <c r="AS564" t="s">
        <v>202</v>
      </c>
      <c r="AT564" t="s">
        <v>1489</v>
      </c>
      <c r="AV564" t="s">
        <v>481</v>
      </c>
      <c r="AY564" t="s">
        <v>177</v>
      </c>
      <c r="AZ564" t="s">
        <v>138</v>
      </c>
      <c r="BA564" t="s">
        <v>4867</v>
      </c>
      <c r="BC564" t="s">
        <v>140</v>
      </c>
      <c r="BT564" s="7">
        <f t="shared" si="49"/>
        <v>0</v>
      </c>
      <c r="BU564" s="6">
        <f t="shared" si="50"/>
        <v>0</v>
      </c>
      <c r="BV564" s="6">
        <f t="shared" si="51"/>
        <v>0</v>
      </c>
      <c r="BW564" s="6">
        <f t="shared" si="52"/>
        <v>0</v>
      </c>
      <c r="BX564" s="6">
        <f t="shared" si="53"/>
        <v>0</v>
      </c>
    </row>
    <row r="565" spans="1:76" x14ac:dyDescent="0.35">
      <c r="A565" t="s">
        <v>4868</v>
      </c>
      <c r="B565" t="s">
        <v>107</v>
      </c>
      <c r="C565" t="s">
        <v>107</v>
      </c>
      <c r="F565" t="s">
        <v>613</v>
      </c>
      <c r="G565" t="s">
        <v>614</v>
      </c>
      <c r="H565" t="s">
        <v>615</v>
      </c>
      <c r="I565" t="s">
        <v>271</v>
      </c>
      <c r="J565" t="s">
        <v>113</v>
      </c>
      <c r="K565" s="8" t="s">
        <v>114</v>
      </c>
      <c r="L565" t="s">
        <v>114</v>
      </c>
      <c r="M565" s="6">
        <v>0</v>
      </c>
      <c r="N565" t="s">
        <v>114</v>
      </c>
      <c r="O565" s="6">
        <v>0</v>
      </c>
      <c r="P565" t="s">
        <v>114</v>
      </c>
      <c r="Q565" s="6">
        <v>0</v>
      </c>
      <c r="R565" s="7">
        <f t="shared" si="48"/>
        <v>0</v>
      </c>
      <c r="S565" t="s">
        <v>114</v>
      </c>
      <c r="T565" t="s">
        <v>114</v>
      </c>
      <c r="U565" t="s">
        <v>114</v>
      </c>
      <c r="W565" t="s">
        <v>114</v>
      </c>
      <c r="X565" t="s">
        <v>114</v>
      </c>
      <c r="Z565" t="s">
        <v>4869</v>
      </c>
      <c r="AA565" t="s">
        <v>4869</v>
      </c>
      <c r="AB565" s="1" t="s">
        <v>4697</v>
      </c>
      <c r="AC565" t="s">
        <v>4870</v>
      </c>
      <c r="AD565" t="s">
        <v>4871</v>
      </c>
      <c r="AH565" t="s">
        <v>123</v>
      </c>
      <c r="AI565" t="s">
        <v>124</v>
      </c>
      <c r="AJ565" t="s">
        <v>4872</v>
      </c>
      <c r="AK565" t="s">
        <v>126</v>
      </c>
      <c r="AL565" t="s">
        <v>127</v>
      </c>
      <c r="AN565" t="s">
        <v>4873</v>
      </c>
      <c r="AO565" t="s">
        <v>4874</v>
      </c>
      <c r="AP565" t="s">
        <v>4875</v>
      </c>
      <c r="AQ565" t="s">
        <v>131</v>
      </c>
      <c r="AR565" t="s">
        <v>132</v>
      </c>
      <c r="AS565" t="s">
        <v>466</v>
      </c>
      <c r="AT565" t="s">
        <v>4876</v>
      </c>
      <c r="AV565" t="s">
        <v>1135</v>
      </c>
      <c r="AW565" t="s">
        <v>355</v>
      </c>
      <c r="AY565" t="s">
        <v>177</v>
      </c>
      <c r="AZ565" t="s">
        <v>627</v>
      </c>
      <c r="BA565" t="s">
        <v>4877</v>
      </c>
      <c r="BC565" t="s">
        <v>140</v>
      </c>
      <c r="BT565" s="7">
        <f t="shared" si="49"/>
        <v>0</v>
      </c>
      <c r="BU565" s="6">
        <f t="shared" si="50"/>
        <v>0</v>
      </c>
      <c r="BV565" s="6">
        <f t="shared" si="51"/>
        <v>0</v>
      </c>
      <c r="BW565" s="6">
        <f t="shared" si="52"/>
        <v>0</v>
      </c>
      <c r="BX565" s="6">
        <f t="shared" si="53"/>
        <v>0</v>
      </c>
    </row>
    <row r="566" spans="1:76" x14ac:dyDescent="0.35">
      <c r="A566" t="s">
        <v>4878</v>
      </c>
      <c r="B566" t="s">
        <v>107</v>
      </c>
      <c r="C566" t="s">
        <v>107</v>
      </c>
      <c r="F566" t="s">
        <v>613</v>
      </c>
      <c r="G566" t="s">
        <v>614</v>
      </c>
      <c r="H566" t="s">
        <v>615</v>
      </c>
      <c r="I566" t="s">
        <v>271</v>
      </c>
      <c r="J566" t="s">
        <v>113</v>
      </c>
      <c r="K566" s="8" t="s">
        <v>114</v>
      </c>
      <c r="L566" t="s">
        <v>114</v>
      </c>
      <c r="M566" s="6">
        <v>0</v>
      </c>
      <c r="N566" t="s">
        <v>114</v>
      </c>
      <c r="O566" s="6">
        <v>0</v>
      </c>
      <c r="P566" t="s">
        <v>114</v>
      </c>
      <c r="Q566" s="6">
        <v>0</v>
      </c>
      <c r="R566" s="7">
        <f t="shared" si="48"/>
        <v>0</v>
      </c>
      <c r="S566" t="s">
        <v>114</v>
      </c>
      <c r="T566" t="s">
        <v>114</v>
      </c>
      <c r="U566" t="s">
        <v>114</v>
      </c>
      <c r="W566" t="s">
        <v>114</v>
      </c>
      <c r="X566" t="s">
        <v>114</v>
      </c>
      <c r="Z566" t="s">
        <v>4879</v>
      </c>
      <c r="AA566" t="s">
        <v>4879</v>
      </c>
      <c r="AB566" s="1" t="s">
        <v>4697</v>
      </c>
      <c r="AC566" t="s">
        <v>4880</v>
      </c>
      <c r="AD566" t="s">
        <v>4881</v>
      </c>
      <c r="AH566" t="s">
        <v>123</v>
      </c>
      <c r="AI566" t="s">
        <v>124</v>
      </c>
      <c r="AJ566" t="s">
        <v>4882</v>
      </c>
      <c r="AK566" t="s">
        <v>126</v>
      </c>
      <c r="AL566" t="s">
        <v>127</v>
      </c>
      <c r="AN566" t="s">
        <v>4883</v>
      </c>
      <c r="AO566" t="s">
        <v>4884</v>
      </c>
      <c r="AP566" t="s">
        <v>4885</v>
      </c>
      <c r="AQ566" t="s">
        <v>131</v>
      </c>
      <c r="AR566" t="s">
        <v>403</v>
      </c>
      <c r="AS566" t="s">
        <v>1440</v>
      </c>
      <c r="AT566" t="s">
        <v>4886</v>
      </c>
      <c r="AV566" t="s">
        <v>450</v>
      </c>
      <c r="AY566" t="s">
        <v>177</v>
      </c>
      <c r="AZ566" t="s">
        <v>627</v>
      </c>
      <c r="BA566" t="s">
        <v>4887</v>
      </c>
      <c r="BC566" t="s">
        <v>140</v>
      </c>
      <c r="BT566" s="7">
        <f t="shared" si="49"/>
        <v>0</v>
      </c>
      <c r="BU566" s="6">
        <f t="shared" si="50"/>
        <v>0</v>
      </c>
      <c r="BV566" s="6">
        <f t="shared" si="51"/>
        <v>0</v>
      </c>
      <c r="BW566" s="6">
        <f t="shared" si="52"/>
        <v>0</v>
      </c>
      <c r="BX566" s="6">
        <f t="shared" si="53"/>
        <v>0</v>
      </c>
    </row>
    <row r="567" spans="1:76" x14ac:dyDescent="0.35">
      <c r="A567" t="s">
        <v>4888</v>
      </c>
      <c r="B567" t="s">
        <v>107</v>
      </c>
      <c r="C567" t="s">
        <v>107</v>
      </c>
      <c r="F567" t="s">
        <v>613</v>
      </c>
      <c r="G567" t="s">
        <v>614</v>
      </c>
      <c r="H567" t="s">
        <v>615</v>
      </c>
      <c r="I567" t="s">
        <v>271</v>
      </c>
      <c r="J567" t="s">
        <v>113</v>
      </c>
      <c r="K567" s="8" t="s">
        <v>114</v>
      </c>
      <c r="L567" t="s">
        <v>114</v>
      </c>
      <c r="M567" s="6">
        <v>0</v>
      </c>
      <c r="N567" t="s">
        <v>114</v>
      </c>
      <c r="O567" s="6">
        <v>0</v>
      </c>
      <c r="P567" t="s">
        <v>114</v>
      </c>
      <c r="Q567" s="6">
        <v>0</v>
      </c>
      <c r="R567" s="7">
        <f t="shared" si="48"/>
        <v>0</v>
      </c>
      <c r="S567" t="s">
        <v>114</v>
      </c>
      <c r="T567" t="s">
        <v>114</v>
      </c>
      <c r="U567" t="s">
        <v>114</v>
      </c>
      <c r="W567" t="s">
        <v>114</v>
      </c>
      <c r="X567" t="s">
        <v>114</v>
      </c>
      <c r="Z567" t="s">
        <v>4889</v>
      </c>
      <c r="AA567" t="s">
        <v>4889</v>
      </c>
      <c r="AB567" s="1" t="s">
        <v>4697</v>
      </c>
      <c r="AC567" t="s">
        <v>4890</v>
      </c>
      <c r="AD567" t="s">
        <v>4891</v>
      </c>
      <c r="AH567" t="s">
        <v>123</v>
      </c>
      <c r="AI567" t="s">
        <v>124</v>
      </c>
      <c r="AJ567" t="s">
        <v>4892</v>
      </c>
      <c r="AK567" t="s">
        <v>126</v>
      </c>
      <c r="AL567" t="s">
        <v>127</v>
      </c>
      <c r="AN567" t="s">
        <v>4893</v>
      </c>
      <c r="AO567" t="s">
        <v>4894</v>
      </c>
      <c r="AP567" t="s">
        <v>4895</v>
      </c>
      <c r="AQ567" t="s">
        <v>131</v>
      </c>
      <c r="AR567" t="s">
        <v>132</v>
      </c>
      <c r="AS567" t="s">
        <v>152</v>
      </c>
      <c r="AT567" t="s">
        <v>809</v>
      </c>
      <c r="AV567" t="s">
        <v>265</v>
      </c>
      <c r="AW567" t="s">
        <v>654</v>
      </c>
      <c r="AY567" t="s">
        <v>177</v>
      </c>
      <c r="AZ567" t="s">
        <v>627</v>
      </c>
      <c r="BA567" t="s">
        <v>4896</v>
      </c>
      <c r="BC567" t="s">
        <v>140</v>
      </c>
      <c r="BT567" s="7">
        <f t="shared" si="49"/>
        <v>0</v>
      </c>
      <c r="BU567" s="6">
        <f t="shared" si="50"/>
        <v>0</v>
      </c>
      <c r="BV567" s="6">
        <f t="shared" si="51"/>
        <v>0</v>
      </c>
      <c r="BW567" s="6">
        <f t="shared" si="52"/>
        <v>0</v>
      </c>
      <c r="BX567" s="6">
        <f t="shared" si="53"/>
        <v>0</v>
      </c>
    </row>
    <row r="568" spans="1:76" x14ac:dyDescent="0.35">
      <c r="A568" t="s">
        <v>4897</v>
      </c>
      <c r="B568" t="s">
        <v>107</v>
      </c>
      <c r="C568" t="s">
        <v>107</v>
      </c>
      <c r="F568" t="s">
        <v>613</v>
      </c>
      <c r="G568" t="s">
        <v>614</v>
      </c>
      <c r="H568" t="s">
        <v>615</v>
      </c>
      <c r="I568" t="s">
        <v>271</v>
      </c>
      <c r="J568" t="s">
        <v>113</v>
      </c>
      <c r="K568" s="8" t="s">
        <v>114</v>
      </c>
      <c r="L568" t="s">
        <v>114</v>
      </c>
      <c r="M568" s="6">
        <v>0</v>
      </c>
      <c r="N568" t="s">
        <v>114</v>
      </c>
      <c r="O568" s="6">
        <v>0</v>
      </c>
      <c r="P568" t="s">
        <v>114</v>
      </c>
      <c r="Q568" s="6">
        <v>0</v>
      </c>
      <c r="R568" s="7">
        <f t="shared" si="48"/>
        <v>0</v>
      </c>
      <c r="S568" t="s">
        <v>114</v>
      </c>
      <c r="T568" t="s">
        <v>114</v>
      </c>
      <c r="U568" t="s">
        <v>114</v>
      </c>
      <c r="W568" t="s">
        <v>114</v>
      </c>
      <c r="X568" t="s">
        <v>114</v>
      </c>
      <c r="Z568" t="s">
        <v>4889</v>
      </c>
      <c r="AA568" t="s">
        <v>4889</v>
      </c>
      <c r="AB568" s="1" t="s">
        <v>4697</v>
      </c>
      <c r="AC568" t="s">
        <v>4898</v>
      </c>
      <c r="AD568" t="s">
        <v>4899</v>
      </c>
      <c r="AH568" t="s">
        <v>123</v>
      </c>
      <c r="AI568" t="s">
        <v>124</v>
      </c>
      <c r="AJ568" t="s">
        <v>4900</v>
      </c>
      <c r="AK568" t="s">
        <v>126</v>
      </c>
      <c r="AL568" t="s">
        <v>127</v>
      </c>
      <c r="AN568" t="s">
        <v>4901</v>
      </c>
      <c r="AO568" t="s">
        <v>4902</v>
      </c>
      <c r="AP568" t="s">
        <v>4903</v>
      </c>
      <c r="AQ568" t="s">
        <v>131</v>
      </c>
      <c r="AR568" t="s">
        <v>132</v>
      </c>
      <c r="AS568" t="s">
        <v>4904</v>
      </c>
      <c r="AT568" t="s">
        <v>4905</v>
      </c>
      <c r="AV568" t="s">
        <v>1183</v>
      </c>
      <c r="AW568" t="s">
        <v>1534</v>
      </c>
      <c r="AY568" t="s">
        <v>177</v>
      </c>
      <c r="AZ568" t="s">
        <v>627</v>
      </c>
      <c r="BA568" t="s">
        <v>4906</v>
      </c>
      <c r="BC568" t="s">
        <v>140</v>
      </c>
      <c r="BT568" s="7">
        <f t="shared" si="49"/>
        <v>0</v>
      </c>
      <c r="BU568" s="6">
        <f t="shared" si="50"/>
        <v>0</v>
      </c>
      <c r="BV568" s="6">
        <f t="shared" si="51"/>
        <v>0</v>
      </c>
      <c r="BW568" s="6">
        <f t="shared" si="52"/>
        <v>0</v>
      </c>
      <c r="BX568" s="6">
        <f t="shared" si="53"/>
        <v>0</v>
      </c>
    </row>
    <row r="569" spans="1:76" x14ac:dyDescent="0.35">
      <c r="A569" t="s">
        <v>4907</v>
      </c>
      <c r="B569" t="s">
        <v>107</v>
      </c>
      <c r="C569" t="s">
        <v>107</v>
      </c>
      <c r="F569" t="s">
        <v>358</v>
      </c>
      <c r="G569" t="s">
        <v>359</v>
      </c>
      <c r="H569" t="s">
        <v>360</v>
      </c>
      <c r="I569" t="s">
        <v>341</v>
      </c>
      <c r="J569" t="s">
        <v>113</v>
      </c>
      <c r="K569" s="8" t="s">
        <v>114</v>
      </c>
      <c r="L569" t="s">
        <v>114</v>
      </c>
      <c r="M569" s="6">
        <v>0</v>
      </c>
      <c r="N569" t="s">
        <v>114</v>
      </c>
      <c r="O569" s="6">
        <v>0</v>
      </c>
      <c r="P569" t="s">
        <v>114</v>
      </c>
      <c r="Q569" s="6">
        <v>0</v>
      </c>
      <c r="R569" s="7">
        <f t="shared" si="48"/>
        <v>0</v>
      </c>
      <c r="S569" t="s">
        <v>114</v>
      </c>
      <c r="T569" t="s">
        <v>114</v>
      </c>
      <c r="U569" t="s">
        <v>114</v>
      </c>
      <c r="W569" t="s">
        <v>114</v>
      </c>
      <c r="X569" t="s">
        <v>114</v>
      </c>
      <c r="Z569" t="s">
        <v>4908</v>
      </c>
      <c r="AA569" t="s">
        <v>4908</v>
      </c>
      <c r="AB569" s="1" t="s">
        <v>4697</v>
      </c>
      <c r="AC569" t="s">
        <v>4909</v>
      </c>
      <c r="AD569" t="s">
        <v>4910</v>
      </c>
      <c r="AH569" t="s">
        <v>123</v>
      </c>
      <c r="AI569" t="s">
        <v>124</v>
      </c>
      <c r="AJ569" t="s">
        <v>4911</v>
      </c>
      <c r="AK569" t="s">
        <v>126</v>
      </c>
      <c r="AL569" t="s">
        <v>127</v>
      </c>
      <c r="AN569" t="s">
        <v>4912</v>
      </c>
      <c r="AO569" t="s">
        <v>4913</v>
      </c>
      <c r="AP569" t="s">
        <v>4914</v>
      </c>
      <c r="AQ569" t="s">
        <v>131</v>
      </c>
      <c r="AR569" t="s">
        <v>132</v>
      </c>
      <c r="AS569" t="s">
        <v>152</v>
      </c>
      <c r="AT569" t="s">
        <v>1730</v>
      </c>
      <c r="AV569" t="s">
        <v>236</v>
      </c>
      <c r="AY569" t="s">
        <v>177</v>
      </c>
      <c r="AZ569" t="s">
        <v>364</v>
      </c>
      <c r="BA569" t="s">
        <v>4915</v>
      </c>
      <c r="BC569" t="s">
        <v>140</v>
      </c>
      <c r="BT569" s="7">
        <f t="shared" si="49"/>
        <v>0</v>
      </c>
      <c r="BU569" s="6">
        <f t="shared" si="50"/>
        <v>0</v>
      </c>
      <c r="BV569" s="6">
        <f t="shared" si="51"/>
        <v>0</v>
      </c>
      <c r="BW569" s="6">
        <f t="shared" si="52"/>
        <v>0</v>
      </c>
      <c r="BX569" s="6">
        <f t="shared" si="53"/>
        <v>0</v>
      </c>
    </row>
    <row r="570" spans="1:76" x14ac:dyDescent="0.35">
      <c r="A570" t="s">
        <v>4916</v>
      </c>
      <c r="B570" t="s">
        <v>107</v>
      </c>
      <c r="C570" t="s">
        <v>107</v>
      </c>
      <c r="F570" t="s">
        <v>358</v>
      </c>
      <c r="G570" t="s">
        <v>359</v>
      </c>
      <c r="H570" t="s">
        <v>360</v>
      </c>
      <c r="I570" t="s">
        <v>341</v>
      </c>
      <c r="J570" t="s">
        <v>113</v>
      </c>
      <c r="K570" s="8" t="s">
        <v>114</v>
      </c>
      <c r="L570" t="s">
        <v>114</v>
      </c>
      <c r="M570" s="6">
        <v>0</v>
      </c>
      <c r="N570" t="s">
        <v>114</v>
      </c>
      <c r="O570" s="6">
        <v>0</v>
      </c>
      <c r="P570" t="s">
        <v>114</v>
      </c>
      <c r="Q570" s="6">
        <v>0</v>
      </c>
      <c r="R570" s="7">
        <f t="shared" si="48"/>
        <v>0</v>
      </c>
      <c r="S570" t="s">
        <v>114</v>
      </c>
      <c r="T570" t="s">
        <v>114</v>
      </c>
      <c r="U570" t="s">
        <v>114</v>
      </c>
      <c r="W570" t="s">
        <v>114</v>
      </c>
      <c r="X570" t="s">
        <v>114</v>
      </c>
      <c r="Z570" t="s">
        <v>4917</v>
      </c>
      <c r="AA570" t="s">
        <v>4917</v>
      </c>
      <c r="AB570" s="1" t="s">
        <v>4697</v>
      </c>
      <c r="AC570" t="s">
        <v>4918</v>
      </c>
      <c r="AD570" t="s">
        <v>4919</v>
      </c>
      <c r="AH570" t="s">
        <v>123</v>
      </c>
      <c r="AI570" t="s">
        <v>124</v>
      </c>
      <c r="AJ570" t="s">
        <v>4920</v>
      </c>
      <c r="AK570" t="s">
        <v>126</v>
      </c>
      <c r="AL570" t="s">
        <v>127</v>
      </c>
      <c r="AN570" t="s">
        <v>4921</v>
      </c>
      <c r="AO570" t="s">
        <v>4922</v>
      </c>
      <c r="AP570" t="s">
        <v>4923</v>
      </c>
      <c r="AQ570" t="s">
        <v>131</v>
      </c>
      <c r="AR570" t="s">
        <v>132</v>
      </c>
      <c r="AS570" t="s">
        <v>217</v>
      </c>
      <c r="AT570" t="s">
        <v>1083</v>
      </c>
      <c r="AV570" t="s">
        <v>798</v>
      </c>
      <c r="AW570" t="s">
        <v>375</v>
      </c>
      <c r="AY570" t="s">
        <v>177</v>
      </c>
      <c r="AZ570" t="s">
        <v>364</v>
      </c>
      <c r="BA570" t="s">
        <v>4924</v>
      </c>
      <c r="BC570" t="s">
        <v>140</v>
      </c>
      <c r="BT570" s="7">
        <f t="shared" si="49"/>
        <v>0</v>
      </c>
      <c r="BU570" s="6">
        <f t="shared" si="50"/>
        <v>0</v>
      </c>
      <c r="BV570" s="6">
        <f t="shared" si="51"/>
        <v>0</v>
      </c>
      <c r="BW570" s="6">
        <f t="shared" si="52"/>
        <v>0</v>
      </c>
      <c r="BX570" s="6">
        <f t="shared" si="53"/>
        <v>0</v>
      </c>
    </row>
    <row r="571" spans="1:76" x14ac:dyDescent="0.35">
      <c r="A571" t="s">
        <v>4925</v>
      </c>
      <c r="B571" t="s">
        <v>107</v>
      </c>
      <c r="C571" t="s">
        <v>107</v>
      </c>
      <c r="F571" t="s">
        <v>358</v>
      </c>
      <c r="G571" t="s">
        <v>359</v>
      </c>
      <c r="H571" t="s">
        <v>360</v>
      </c>
      <c r="I571" t="s">
        <v>341</v>
      </c>
      <c r="J571" t="s">
        <v>113</v>
      </c>
      <c r="K571" s="8" t="s">
        <v>114</v>
      </c>
      <c r="L571" t="s">
        <v>114</v>
      </c>
      <c r="M571" s="6">
        <v>0</v>
      </c>
      <c r="N571" t="s">
        <v>114</v>
      </c>
      <c r="O571" s="6">
        <v>0</v>
      </c>
      <c r="P571" t="s">
        <v>114</v>
      </c>
      <c r="Q571" s="6">
        <v>0</v>
      </c>
      <c r="R571" s="7">
        <f t="shared" si="48"/>
        <v>0</v>
      </c>
      <c r="S571" t="s">
        <v>114</v>
      </c>
      <c r="T571" t="s">
        <v>114</v>
      </c>
      <c r="U571" t="s">
        <v>114</v>
      </c>
      <c r="W571" t="s">
        <v>114</v>
      </c>
      <c r="X571" t="s">
        <v>114</v>
      </c>
      <c r="Z571" t="s">
        <v>4926</v>
      </c>
      <c r="AA571" t="s">
        <v>4926</v>
      </c>
      <c r="AB571" s="1" t="s">
        <v>4697</v>
      </c>
      <c r="AC571" t="s">
        <v>4927</v>
      </c>
      <c r="AD571" t="s">
        <v>4928</v>
      </c>
      <c r="AH571" t="s">
        <v>123</v>
      </c>
      <c r="AI571" t="s">
        <v>124</v>
      </c>
      <c r="AJ571" t="s">
        <v>4929</v>
      </c>
      <c r="AK571" t="s">
        <v>126</v>
      </c>
      <c r="AL571" t="s">
        <v>127</v>
      </c>
      <c r="AN571" t="s">
        <v>4930</v>
      </c>
      <c r="AO571" t="s">
        <v>2947</v>
      </c>
      <c r="AP571" t="s">
        <v>4931</v>
      </c>
      <c r="AQ571" t="s">
        <v>131</v>
      </c>
      <c r="AR571" t="s">
        <v>132</v>
      </c>
      <c r="AS571" t="s">
        <v>3784</v>
      </c>
      <c r="AT571" t="s">
        <v>3785</v>
      </c>
      <c r="AV571" t="s">
        <v>219</v>
      </c>
      <c r="AW571" t="s">
        <v>810</v>
      </c>
      <c r="AY571" t="s">
        <v>177</v>
      </c>
      <c r="AZ571" t="s">
        <v>364</v>
      </c>
      <c r="BA571" t="s">
        <v>4932</v>
      </c>
      <c r="BC571" t="s">
        <v>140</v>
      </c>
      <c r="BT571" s="7">
        <f t="shared" si="49"/>
        <v>0</v>
      </c>
      <c r="BU571" s="6">
        <f t="shared" si="50"/>
        <v>0</v>
      </c>
      <c r="BV571" s="6">
        <f t="shared" si="51"/>
        <v>0</v>
      </c>
      <c r="BW571" s="6">
        <f t="shared" si="52"/>
        <v>0</v>
      </c>
      <c r="BX571" s="6">
        <f t="shared" si="53"/>
        <v>0</v>
      </c>
    </row>
    <row r="572" spans="1:76" x14ac:dyDescent="0.35">
      <c r="A572" t="s">
        <v>4933</v>
      </c>
      <c r="B572" t="s">
        <v>107</v>
      </c>
      <c r="C572" t="s">
        <v>107</v>
      </c>
      <c r="F572" t="s">
        <v>158</v>
      </c>
      <c r="G572" t="s">
        <v>159</v>
      </c>
      <c r="H572" t="s">
        <v>111</v>
      </c>
      <c r="I572" t="s">
        <v>341</v>
      </c>
      <c r="J572" t="s">
        <v>113</v>
      </c>
      <c r="K572" s="8" t="s">
        <v>114</v>
      </c>
      <c r="L572" t="s">
        <v>114</v>
      </c>
      <c r="M572" s="6">
        <v>0</v>
      </c>
      <c r="N572" t="s">
        <v>114</v>
      </c>
      <c r="O572" s="6">
        <v>0</v>
      </c>
      <c r="P572" t="s">
        <v>114</v>
      </c>
      <c r="Q572" s="6">
        <v>0</v>
      </c>
      <c r="R572" s="7">
        <f t="shared" si="48"/>
        <v>0</v>
      </c>
      <c r="S572" t="s">
        <v>114</v>
      </c>
      <c r="T572" t="s">
        <v>114</v>
      </c>
      <c r="U572" t="s">
        <v>114</v>
      </c>
      <c r="W572" t="s">
        <v>114</v>
      </c>
      <c r="X572" t="s">
        <v>114</v>
      </c>
      <c r="Z572" t="s">
        <v>4934</v>
      </c>
      <c r="AA572" t="s">
        <v>4934</v>
      </c>
      <c r="AB572" s="1" t="s">
        <v>4697</v>
      </c>
      <c r="AC572" t="s">
        <v>4935</v>
      </c>
      <c r="AD572" t="s">
        <v>4936</v>
      </c>
      <c r="AH572" t="s">
        <v>123</v>
      </c>
      <c r="AI572" t="s">
        <v>124</v>
      </c>
      <c r="AJ572" t="s">
        <v>4937</v>
      </c>
      <c r="AK572" t="s">
        <v>126</v>
      </c>
      <c r="AL572" t="s">
        <v>127</v>
      </c>
      <c r="AN572" t="s">
        <v>4938</v>
      </c>
      <c r="AO572" t="s">
        <v>4939</v>
      </c>
      <c r="AP572" t="s">
        <v>4940</v>
      </c>
      <c r="AQ572" t="s">
        <v>131</v>
      </c>
      <c r="AR572" t="s">
        <v>132</v>
      </c>
      <c r="AS572" t="s">
        <v>3784</v>
      </c>
      <c r="AT572" t="s">
        <v>4941</v>
      </c>
      <c r="AV572" t="s">
        <v>300</v>
      </c>
      <c r="AY572" t="s">
        <v>177</v>
      </c>
      <c r="AZ572" t="s">
        <v>138</v>
      </c>
      <c r="BA572" t="s">
        <v>4942</v>
      </c>
      <c r="BC572" t="s">
        <v>140</v>
      </c>
      <c r="BT572" s="7">
        <f t="shared" si="49"/>
        <v>0</v>
      </c>
      <c r="BU572" s="6">
        <f t="shared" si="50"/>
        <v>0</v>
      </c>
      <c r="BV572" s="6">
        <f t="shared" si="51"/>
        <v>0</v>
      </c>
      <c r="BW572" s="6">
        <f t="shared" si="52"/>
        <v>0</v>
      </c>
      <c r="BX572" s="6">
        <f t="shared" si="53"/>
        <v>0</v>
      </c>
    </row>
    <row r="573" spans="1:76" x14ac:dyDescent="0.35">
      <c r="A573" t="s">
        <v>4943</v>
      </c>
      <c r="B573" t="s">
        <v>107</v>
      </c>
      <c r="C573" t="s">
        <v>107</v>
      </c>
      <c r="F573" t="s">
        <v>358</v>
      </c>
      <c r="G573" t="s">
        <v>359</v>
      </c>
      <c r="H573" t="s">
        <v>360</v>
      </c>
      <c r="I573" t="s">
        <v>341</v>
      </c>
      <c r="J573" t="s">
        <v>113</v>
      </c>
      <c r="K573" s="8" t="s">
        <v>114</v>
      </c>
      <c r="L573" t="s">
        <v>114</v>
      </c>
      <c r="M573" s="6">
        <v>0</v>
      </c>
      <c r="N573" t="s">
        <v>114</v>
      </c>
      <c r="O573" s="6">
        <v>0</v>
      </c>
      <c r="P573" t="s">
        <v>114</v>
      </c>
      <c r="Q573" s="6">
        <v>0</v>
      </c>
      <c r="R573" s="7">
        <f t="shared" si="48"/>
        <v>0</v>
      </c>
      <c r="S573" t="s">
        <v>114</v>
      </c>
      <c r="T573" t="s">
        <v>114</v>
      </c>
      <c r="U573" t="s">
        <v>114</v>
      </c>
      <c r="W573" t="s">
        <v>114</v>
      </c>
      <c r="X573" t="s">
        <v>114</v>
      </c>
      <c r="Z573" t="s">
        <v>4934</v>
      </c>
      <c r="AA573" t="s">
        <v>4944</v>
      </c>
      <c r="AB573" s="1" t="s">
        <v>4697</v>
      </c>
      <c r="AC573" t="s">
        <v>4945</v>
      </c>
      <c r="AD573" t="s">
        <v>4946</v>
      </c>
      <c r="AH573" t="s">
        <v>123</v>
      </c>
      <c r="AI573" t="s">
        <v>124</v>
      </c>
      <c r="AJ573" t="s">
        <v>4947</v>
      </c>
      <c r="AK573" t="s">
        <v>126</v>
      </c>
      <c r="AL573" t="s">
        <v>127</v>
      </c>
      <c r="AN573" t="s">
        <v>4948</v>
      </c>
      <c r="AO573" t="s">
        <v>4949</v>
      </c>
      <c r="AP573" t="s">
        <v>4950</v>
      </c>
      <c r="AQ573" t="s">
        <v>131</v>
      </c>
      <c r="AR573" t="s">
        <v>132</v>
      </c>
      <c r="AS573" t="s">
        <v>3481</v>
      </c>
      <c r="AT573" t="s">
        <v>4951</v>
      </c>
      <c r="AV573" t="s">
        <v>758</v>
      </c>
      <c r="AW573" t="s">
        <v>237</v>
      </c>
      <c r="AY573" t="s">
        <v>177</v>
      </c>
      <c r="AZ573" t="s">
        <v>364</v>
      </c>
      <c r="BA573" t="s">
        <v>4952</v>
      </c>
      <c r="BC573" t="s">
        <v>140</v>
      </c>
      <c r="BT573" s="7">
        <f t="shared" si="49"/>
        <v>0</v>
      </c>
      <c r="BU573" s="6">
        <f t="shared" si="50"/>
        <v>0</v>
      </c>
      <c r="BV573" s="6">
        <f t="shared" si="51"/>
        <v>0</v>
      </c>
      <c r="BW573" s="6">
        <f t="shared" si="52"/>
        <v>0</v>
      </c>
      <c r="BX573" s="6">
        <f t="shared" si="53"/>
        <v>0</v>
      </c>
    </row>
    <row r="574" spans="1:76" x14ac:dyDescent="0.35">
      <c r="A574" t="s">
        <v>4953</v>
      </c>
      <c r="B574" t="s">
        <v>107</v>
      </c>
      <c r="C574" t="s">
        <v>107</v>
      </c>
      <c r="F574" t="s">
        <v>3828</v>
      </c>
      <c r="G574" t="s">
        <v>359</v>
      </c>
      <c r="H574" t="s">
        <v>3829</v>
      </c>
      <c r="I574" t="s">
        <v>341</v>
      </c>
      <c r="J574" t="s">
        <v>113</v>
      </c>
      <c r="K574" s="8" t="s">
        <v>114</v>
      </c>
      <c r="L574" t="s">
        <v>114</v>
      </c>
      <c r="M574" s="6">
        <v>0</v>
      </c>
      <c r="N574" t="s">
        <v>114</v>
      </c>
      <c r="O574" s="6">
        <v>0</v>
      </c>
      <c r="P574" t="s">
        <v>114</v>
      </c>
      <c r="Q574" s="6">
        <v>0</v>
      </c>
      <c r="R574" s="7">
        <f t="shared" si="48"/>
        <v>0</v>
      </c>
      <c r="S574" t="s">
        <v>114</v>
      </c>
      <c r="T574" t="s">
        <v>114</v>
      </c>
      <c r="U574" t="s">
        <v>114</v>
      </c>
      <c r="W574" t="s">
        <v>114</v>
      </c>
      <c r="X574" t="s">
        <v>114</v>
      </c>
      <c r="Z574" t="s">
        <v>4944</v>
      </c>
      <c r="AA574" t="s">
        <v>4944</v>
      </c>
      <c r="AB574" s="1" t="s">
        <v>4697</v>
      </c>
      <c r="AC574" t="s">
        <v>4954</v>
      </c>
      <c r="AD574" t="s">
        <v>4955</v>
      </c>
      <c r="AH574" t="s">
        <v>123</v>
      </c>
      <c r="AI574" t="s">
        <v>124</v>
      </c>
      <c r="AJ574" t="s">
        <v>4956</v>
      </c>
      <c r="AK574" t="s">
        <v>126</v>
      </c>
      <c r="AL574" t="s">
        <v>127</v>
      </c>
      <c r="AN574" t="s">
        <v>4957</v>
      </c>
      <c r="AO574" t="s">
        <v>4958</v>
      </c>
      <c r="AP574" t="s">
        <v>4959</v>
      </c>
      <c r="AQ574" t="s">
        <v>131</v>
      </c>
      <c r="AR574" t="s">
        <v>132</v>
      </c>
      <c r="AS574" t="s">
        <v>152</v>
      </c>
      <c r="AT574" t="s">
        <v>315</v>
      </c>
      <c r="AV574" t="s">
        <v>810</v>
      </c>
      <c r="AW574" t="s">
        <v>4960</v>
      </c>
      <c r="AY574" t="s">
        <v>177</v>
      </c>
      <c r="AZ574" t="s">
        <v>364</v>
      </c>
      <c r="BA574" t="s">
        <v>4961</v>
      </c>
      <c r="BC574" t="s">
        <v>140</v>
      </c>
      <c r="BT574" s="7">
        <f t="shared" si="49"/>
        <v>0</v>
      </c>
      <c r="BU574" s="6">
        <f t="shared" si="50"/>
        <v>0</v>
      </c>
      <c r="BV574" s="6">
        <f t="shared" si="51"/>
        <v>0</v>
      </c>
      <c r="BW574" s="6">
        <f t="shared" si="52"/>
        <v>0</v>
      </c>
      <c r="BX574" s="6">
        <f t="shared" si="53"/>
        <v>0</v>
      </c>
    </row>
    <row r="575" spans="1:76" x14ac:dyDescent="0.35">
      <c r="A575" t="s">
        <v>4962</v>
      </c>
      <c r="B575" t="s">
        <v>107</v>
      </c>
      <c r="C575" t="s">
        <v>107</v>
      </c>
      <c r="F575" t="s">
        <v>358</v>
      </c>
      <c r="G575" t="s">
        <v>359</v>
      </c>
      <c r="H575" t="s">
        <v>360</v>
      </c>
      <c r="I575" t="s">
        <v>341</v>
      </c>
      <c r="J575" t="s">
        <v>113</v>
      </c>
      <c r="K575" s="8" t="s">
        <v>114</v>
      </c>
      <c r="L575" t="s">
        <v>114</v>
      </c>
      <c r="M575" s="6">
        <v>0</v>
      </c>
      <c r="N575" t="s">
        <v>114</v>
      </c>
      <c r="O575" s="6">
        <v>0</v>
      </c>
      <c r="P575" t="s">
        <v>114</v>
      </c>
      <c r="Q575" s="6">
        <v>0</v>
      </c>
      <c r="R575" s="7">
        <f t="shared" si="48"/>
        <v>0</v>
      </c>
      <c r="S575" t="s">
        <v>114</v>
      </c>
      <c r="T575" t="s">
        <v>114</v>
      </c>
      <c r="U575" t="s">
        <v>114</v>
      </c>
      <c r="W575" t="s">
        <v>114</v>
      </c>
      <c r="X575" t="s">
        <v>114</v>
      </c>
      <c r="Z575" t="s">
        <v>4963</v>
      </c>
      <c r="AA575" t="s">
        <v>4964</v>
      </c>
      <c r="AB575" s="1" t="s">
        <v>4697</v>
      </c>
      <c r="AC575" t="s">
        <v>4965</v>
      </c>
      <c r="AD575" t="s">
        <v>4966</v>
      </c>
      <c r="AH575" t="s">
        <v>123</v>
      </c>
      <c r="AI575" t="s">
        <v>124</v>
      </c>
      <c r="AJ575" t="s">
        <v>4967</v>
      </c>
      <c r="AK575" t="s">
        <v>126</v>
      </c>
      <c r="AL575" t="s">
        <v>127</v>
      </c>
      <c r="AN575" t="s">
        <v>4968</v>
      </c>
      <c r="AO575" t="s">
        <v>3570</v>
      </c>
      <c r="AP575" t="s">
        <v>4969</v>
      </c>
      <c r="AQ575" t="s">
        <v>131</v>
      </c>
      <c r="AR575" t="s">
        <v>132</v>
      </c>
      <c r="AS575" t="s">
        <v>202</v>
      </c>
      <c r="AT575" t="s">
        <v>4970</v>
      </c>
      <c r="AV575" t="s">
        <v>810</v>
      </c>
      <c r="AY575" t="s">
        <v>177</v>
      </c>
      <c r="AZ575" t="s">
        <v>364</v>
      </c>
      <c r="BA575" t="s">
        <v>4971</v>
      </c>
      <c r="BC575" t="s">
        <v>140</v>
      </c>
      <c r="BT575" s="7">
        <f t="shared" si="49"/>
        <v>0</v>
      </c>
      <c r="BU575" s="6">
        <f t="shared" si="50"/>
        <v>0</v>
      </c>
      <c r="BV575" s="6">
        <f t="shared" si="51"/>
        <v>0</v>
      </c>
      <c r="BW575" s="6">
        <f t="shared" si="52"/>
        <v>0</v>
      </c>
      <c r="BX575" s="6">
        <f t="shared" si="53"/>
        <v>0</v>
      </c>
    </row>
    <row r="576" spans="1:76" x14ac:dyDescent="0.35">
      <c r="A576" t="s">
        <v>4972</v>
      </c>
      <c r="B576" t="s">
        <v>107</v>
      </c>
      <c r="C576" t="s">
        <v>107</v>
      </c>
      <c r="E576" t="s">
        <v>108</v>
      </c>
      <c r="F576" t="s">
        <v>4973</v>
      </c>
      <c r="G576" t="s">
        <v>4974</v>
      </c>
      <c r="H576" t="s">
        <v>4975</v>
      </c>
      <c r="I576" t="s">
        <v>4976</v>
      </c>
      <c r="J576" t="s">
        <v>113</v>
      </c>
      <c r="K576" s="8" t="s">
        <v>114</v>
      </c>
      <c r="L576" t="s">
        <v>4977</v>
      </c>
      <c r="M576" s="6">
        <v>238</v>
      </c>
      <c r="N576" t="s">
        <v>114</v>
      </c>
      <c r="O576" s="6">
        <v>129</v>
      </c>
      <c r="P576" t="s">
        <v>858</v>
      </c>
      <c r="Q576" s="6">
        <v>0</v>
      </c>
      <c r="R576" s="7">
        <f t="shared" si="48"/>
        <v>109</v>
      </c>
      <c r="S576" t="s">
        <v>180</v>
      </c>
      <c r="T576" t="s">
        <v>114</v>
      </c>
      <c r="U576" t="s">
        <v>180</v>
      </c>
      <c r="W576" t="s">
        <v>114</v>
      </c>
      <c r="X576" t="s">
        <v>858</v>
      </c>
      <c r="Z576" t="s">
        <v>4978</v>
      </c>
      <c r="AA576" t="s">
        <v>4979</v>
      </c>
      <c r="AB576" s="1" t="s">
        <v>4697</v>
      </c>
      <c r="AC576" t="s">
        <v>4980</v>
      </c>
      <c r="AD576" t="s">
        <v>4981</v>
      </c>
      <c r="AH576" t="s">
        <v>123</v>
      </c>
      <c r="AI576" t="s">
        <v>124</v>
      </c>
      <c r="AJ576" t="s">
        <v>4982</v>
      </c>
      <c r="AK576" t="s">
        <v>126</v>
      </c>
      <c r="AL576" t="s">
        <v>127</v>
      </c>
      <c r="AN576" t="s">
        <v>4983</v>
      </c>
      <c r="AO576" t="s">
        <v>4984</v>
      </c>
      <c r="AP576" t="s">
        <v>4985</v>
      </c>
      <c r="AQ576" t="s">
        <v>131</v>
      </c>
      <c r="AR576" t="s">
        <v>403</v>
      </c>
      <c r="AS576" t="s">
        <v>2402</v>
      </c>
      <c r="AT576" t="s">
        <v>4986</v>
      </c>
      <c r="AV576" t="s">
        <v>434</v>
      </c>
      <c r="AX576" t="s">
        <v>655</v>
      </c>
      <c r="AY576" t="s">
        <v>547</v>
      </c>
      <c r="AZ576" t="s">
        <v>4987</v>
      </c>
      <c r="BA576" t="s">
        <v>4988</v>
      </c>
      <c r="BC576" t="s">
        <v>140</v>
      </c>
      <c r="BT576" s="7">
        <f t="shared" si="49"/>
        <v>109</v>
      </c>
      <c r="BU576" s="6">
        <f t="shared" si="50"/>
        <v>101.86915887850466</v>
      </c>
      <c r="BV576" s="6">
        <f t="shared" si="51"/>
        <v>7.130841121495326</v>
      </c>
      <c r="BW576" s="6">
        <f t="shared" si="52"/>
        <v>108.99999999999999</v>
      </c>
      <c r="BX576" s="6">
        <f t="shared" si="53"/>
        <v>0</v>
      </c>
    </row>
    <row r="577" spans="1:76" x14ac:dyDescent="0.35">
      <c r="A577" t="s">
        <v>4989</v>
      </c>
      <c r="B577" t="s">
        <v>107</v>
      </c>
      <c r="C577" t="s">
        <v>107</v>
      </c>
      <c r="E577" t="s">
        <v>108</v>
      </c>
      <c r="F577" t="s">
        <v>613</v>
      </c>
      <c r="G577" t="s">
        <v>614</v>
      </c>
      <c r="H577" t="s">
        <v>615</v>
      </c>
      <c r="I577" t="s">
        <v>271</v>
      </c>
      <c r="J577" t="s">
        <v>113</v>
      </c>
      <c r="K577" s="8" t="s">
        <v>114</v>
      </c>
      <c r="L577" t="s">
        <v>2550</v>
      </c>
      <c r="M577" s="6">
        <v>196</v>
      </c>
      <c r="N577" t="s">
        <v>114</v>
      </c>
      <c r="O577" s="6">
        <v>118</v>
      </c>
      <c r="P577" t="s">
        <v>2552</v>
      </c>
      <c r="Q577" s="6">
        <v>0</v>
      </c>
      <c r="R577" s="7">
        <f t="shared" si="48"/>
        <v>78</v>
      </c>
      <c r="S577" t="s">
        <v>180</v>
      </c>
      <c r="T577" t="s">
        <v>114</v>
      </c>
      <c r="U577" t="s">
        <v>180</v>
      </c>
      <c r="W577" t="s">
        <v>114</v>
      </c>
      <c r="X577" t="s">
        <v>2552</v>
      </c>
      <c r="Z577" t="s">
        <v>4990</v>
      </c>
      <c r="AA577" t="s">
        <v>4991</v>
      </c>
      <c r="AB577" s="1" t="s">
        <v>4697</v>
      </c>
      <c r="AC577" t="s">
        <v>4992</v>
      </c>
      <c r="AD577" t="s">
        <v>4991</v>
      </c>
      <c r="AH577" t="s">
        <v>123</v>
      </c>
      <c r="AI577" t="s">
        <v>124</v>
      </c>
      <c r="AJ577" t="s">
        <v>4993</v>
      </c>
      <c r="AK577" t="s">
        <v>126</v>
      </c>
      <c r="AL577" t="s">
        <v>127</v>
      </c>
      <c r="AN577" t="s">
        <v>4994</v>
      </c>
      <c r="AO577" t="s">
        <v>4995</v>
      </c>
      <c r="AP577" t="s">
        <v>4996</v>
      </c>
      <c r="AQ577" t="s">
        <v>131</v>
      </c>
      <c r="AR577" t="s">
        <v>132</v>
      </c>
      <c r="AS577" t="s">
        <v>331</v>
      </c>
      <c r="AT577" t="s">
        <v>4997</v>
      </c>
      <c r="AV577" t="s">
        <v>1478</v>
      </c>
      <c r="AX577" t="s">
        <v>136</v>
      </c>
      <c r="AY577" t="s">
        <v>177</v>
      </c>
      <c r="AZ577" t="s">
        <v>627</v>
      </c>
      <c r="BA577" t="s">
        <v>4998</v>
      </c>
      <c r="BC577" t="s">
        <v>140</v>
      </c>
      <c r="BT577" s="7">
        <f t="shared" si="49"/>
        <v>78</v>
      </c>
      <c r="BU577" s="6">
        <f t="shared" si="50"/>
        <v>72.89719626168224</v>
      </c>
      <c r="BV577" s="6">
        <f t="shared" si="51"/>
        <v>5.1028037383177569</v>
      </c>
      <c r="BW577" s="6">
        <f t="shared" si="52"/>
        <v>78</v>
      </c>
      <c r="BX577" s="6">
        <f t="shared" si="53"/>
        <v>0</v>
      </c>
    </row>
    <row r="578" spans="1:76" x14ac:dyDescent="0.35">
      <c r="A578" t="s">
        <v>4999</v>
      </c>
      <c r="B578" t="s">
        <v>107</v>
      </c>
      <c r="C578" t="s">
        <v>107</v>
      </c>
      <c r="E578" t="s">
        <v>108</v>
      </c>
      <c r="F578" t="s">
        <v>158</v>
      </c>
      <c r="G578" t="s">
        <v>159</v>
      </c>
      <c r="H578" t="s">
        <v>111</v>
      </c>
      <c r="I578" t="s">
        <v>341</v>
      </c>
      <c r="J578" t="s">
        <v>113</v>
      </c>
      <c r="K578" s="8" t="s">
        <v>114</v>
      </c>
      <c r="L578" t="s">
        <v>161</v>
      </c>
      <c r="M578" s="6">
        <v>459</v>
      </c>
      <c r="N578" t="s">
        <v>672</v>
      </c>
      <c r="O578" s="6">
        <v>220</v>
      </c>
      <c r="P578" t="s">
        <v>117</v>
      </c>
      <c r="Q578" s="6">
        <v>0</v>
      </c>
      <c r="R578" s="7">
        <f t="shared" si="48"/>
        <v>239</v>
      </c>
      <c r="S578" t="s">
        <v>180</v>
      </c>
      <c r="T578" t="s">
        <v>114</v>
      </c>
      <c r="U578" t="s">
        <v>180</v>
      </c>
      <c r="W578" t="s">
        <v>114</v>
      </c>
      <c r="X578" t="s">
        <v>117</v>
      </c>
      <c r="Z578" t="s">
        <v>5000</v>
      </c>
      <c r="AA578" t="s">
        <v>5001</v>
      </c>
      <c r="AB578" s="1" t="s">
        <v>4697</v>
      </c>
      <c r="AC578" t="s">
        <v>5002</v>
      </c>
      <c r="AD578" t="s">
        <v>5001</v>
      </c>
      <c r="AH578" t="s">
        <v>123</v>
      </c>
      <c r="AI578" t="s">
        <v>124</v>
      </c>
      <c r="AJ578" t="s">
        <v>5003</v>
      </c>
      <c r="AK578" t="s">
        <v>126</v>
      </c>
      <c r="AL578" t="s">
        <v>127</v>
      </c>
      <c r="AN578" t="s">
        <v>5004</v>
      </c>
      <c r="AO578" t="s">
        <v>5005</v>
      </c>
      <c r="AP578" t="s">
        <v>5006</v>
      </c>
      <c r="AQ578" t="s">
        <v>131</v>
      </c>
      <c r="AR578" t="s">
        <v>132</v>
      </c>
      <c r="AS578" t="s">
        <v>756</v>
      </c>
      <c r="AT578" t="s">
        <v>3504</v>
      </c>
      <c r="AV578" t="s">
        <v>434</v>
      </c>
      <c r="AX578" t="s">
        <v>136</v>
      </c>
      <c r="AY578" t="s">
        <v>177</v>
      </c>
      <c r="AZ578" t="s">
        <v>138</v>
      </c>
      <c r="BA578" t="s">
        <v>5007</v>
      </c>
      <c r="BC578" t="s">
        <v>140</v>
      </c>
      <c r="BT578" s="7">
        <f t="shared" si="49"/>
        <v>239</v>
      </c>
      <c r="BU578" s="6">
        <f t="shared" si="50"/>
        <v>223.36448598130841</v>
      </c>
      <c r="BV578" s="6">
        <f t="shared" si="51"/>
        <v>15.635514018691588</v>
      </c>
      <c r="BW578" s="6">
        <f t="shared" si="52"/>
        <v>239</v>
      </c>
      <c r="BX578" s="6">
        <f t="shared" si="53"/>
        <v>0</v>
      </c>
    </row>
    <row r="579" spans="1:76" x14ac:dyDescent="0.35">
      <c r="A579" t="s">
        <v>5008</v>
      </c>
      <c r="B579" t="s">
        <v>336</v>
      </c>
      <c r="C579" t="s">
        <v>336</v>
      </c>
      <c r="D579" t="s">
        <v>337</v>
      </c>
      <c r="E579" t="s">
        <v>108</v>
      </c>
      <c r="F579" t="s">
        <v>268</v>
      </c>
      <c r="G579" t="s">
        <v>269</v>
      </c>
      <c r="H579" t="s">
        <v>2268</v>
      </c>
      <c r="I579" t="s">
        <v>271</v>
      </c>
      <c r="J579" t="s">
        <v>113</v>
      </c>
      <c r="K579" s="8" t="s">
        <v>113</v>
      </c>
      <c r="L579" t="s">
        <v>114</v>
      </c>
      <c r="M579" s="6">
        <v>0</v>
      </c>
      <c r="N579" t="s">
        <v>114</v>
      </c>
      <c r="O579" s="6">
        <v>0</v>
      </c>
      <c r="P579" t="s">
        <v>114</v>
      </c>
      <c r="Q579" s="6">
        <v>0</v>
      </c>
      <c r="R579" s="7">
        <f t="shared" si="48"/>
        <v>0</v>
      </c>
      <c r="S579" t="s">
        <v>180</v>
      </c>
      <c r="T579" t="s">
        <v>114</v>
      </c>
      <c r="U579" t="s">
        <v>180</v>
      </c>
      <c r="W579" t="s">
        <v>114</v>
      </c>
      <c r="X579" t="s">
        <v>5009</v>
      </c>
      <c r="Y579" t="s">
        <v>114</v>
      </c>
      <c r="Z579" t="s">
        <v>5010</v>
      </c>
      <c r="AE579" t="s">
        <v>5011</v>
      </c>
      <c r="AF579" t="s">
        <v>346</v>
      </c>
      <c r="AG579" t="s">
        <v>347</v>
      </c>
      <c r="AH579" t="s">
        <v>123</v>
      </c>
      <c r="AI579" t="s">
        <v>124</v>
      </c>
      <c r="AK579" t="s">
        <v>126</v>
      </c>
      <c r="AN579" t="s">
        <v>5004</v>
      </c>
      <c r="AO579" t="s">
        <v>5005</v>
      </c>
      <c r="AP579" t="s">
        <v>5006</v>
      </c>
      <c r="AQ579" t="s">
        <v>131</v>
      </c>
      <c r="AR579" t="s">
        <v>132</v>
      </c>
      <c r="AS579" t="s">
        <v>756</v>
      </c>
      <c r="AT579" t="s">
        <v>3504</v>
      </c>
      <c r="AV579" t="s">
        <v>434</v>
      </c>
      <c r="AX579" t="s">
        <v>136</v>
      </c>
      <c r="AY579" t="s">
        <v>272</v>
      </c>
      <c r="AZ579" t="s">
        <v>273</v>
      </c>
      <c r="BA579" t="s">
        <v>5012</v>
      </c>
      <c r="BC579" t="s">
        <v>140</v>
      </c>
      <c r="BT579" s="7">
        <f t="shared" si="49"/>
        <v>0</v>
      </c>
      <c r="BU579" s="6">
        <f t="shared" si="50"/>
        <v>0</v>
      </c>
      <c r="BV579" s="6">
        <f t="shared" si="51"/>
        <v>0</v>
      </c>
      <c r="BW579" s="6">
        <f t="shared" si="52"/>
        <v>0</v>
      </c>
      <c r="BX579" s="6">
        <f t="shared" si="53"/>
        <v>0</v>
      </c>
    </row>
    <row r="580" spans="1:76" x14ac:dyDescent="0.35">
      <c r="A580" t="s">
        <v>5008</v>
      </c>
      <c r="B580" t="s">
        <v>336</v>
      </c>
      <c r="C580" t="s">
        <v>336</v>
      </c>
      <c r="D580" t="s">
        <v>337</v>
      </c>
      <c r="E580" t="s">
        <v>108</v>
      </c>
      <c r="F580" t="s">
        <v>484</v>
      </c>
      <c r="G580" t="s">
        <v>159</v>
      </c>
      <c r="H580" t="s">
        <v>5013</v>
      </c>
      <c r="I580" t="s">
        <v>341</v>
      </c>
      <c r="J580" t="s">
        <v>113</v>
      </c>
      <c r="K580" s="8" t="s">
        <v>113</v>
      </c>
      <c r="L580" t="s">
        <v>1985</v>
      </c>
      <c r="M580" s="6">
        <v>394</v>
      </c>
      <c r="N580" t="s">
        <v>5014</v>
      </c>
      <c r="O580" s="6">
        <v>193.8</v>
      </c>
      <c r="P580" t="s">
        <v>5009</v>
      </c>
      <c r="Q580" s="6">
        <v>0</v>
      </c>
      <c r="R580" s="7">
        <f t="shared" si="48"/>
        <v>200.2</v>
      </c>
      <c r="S580" t="s">
        <v>180</v>
      </c>
      <c r="T580" t="s">
        <v>114</v>
      </c>
      <c r="U580" t="s">
        <v>180</v>
      </c>
      <c r="W580" t="s">
        <v>114</v>
      </c>
      <c r="X580" t="s">
        <v>5009</v>
      </c>
      <c r="Y580" t="s">
        <v>5009</v>
      </c>
      <c r="Z580" t="s">
        <v>5010</v>
      </c>
      <c r="AE580" t="s">
        <v>5011</v>
      </c>
      <c r="AF580" t="s">
        <v>346</v>
      </c>
      <c r="AG580" t="s">
        <v>347</v>
      </c>
      <c r="AH580" t="s">
        <v>123</v>
      </c>
      <c r="AI580" t="s">
        <v>124</v>
      </c>
      <c r="AK580" t="s">
        <v>126</v>
      </c>
      <c r="AN580" t="s">
        <v>5004</v>
      </c>
      <c r="AO580" t="s">
        <v>5005</v>
      </c>
      <c r="AP580" t="s">
        <v>5006</v>
      </c>
      <c r="AQ580" t="s">
        <v>131</v>
      </c>
      <c r="AR580" t="s">
        <v>132</v>
      </c>
      <c r="AS580" t="s">
        <v>756</v>
      </c>
      <c r="AT580" t="s">
        <v>3504</v>
      </c>
      <c r="AV580" t="s">
        <v>434</v>
      </c>
      <c r="AX580" t="s">
        <v>136</v>
      </c>
      <c r="AY580" t="s">
        <v>177</v>
      </c>
      <c r="AZ580" t="s">
        <v>356</v>
      </c>
      <c r="BA580" t="s">
        <v>5012</v>
      </c>
      <c r="BC580" t="s">
        <v>140</v>
      </c>
      <c r="BT580" s="7">
        <f t="shared" si="49"/>
        <v>200.2</v>
      </c>
      <c r="BU580" s="6">
        <f t="shared" si="50"/>
        <v>187.10280373831773</v>
      </c>
      <c r="BV580" s="6">
        <f t="shared" si="51"/>
        <v>13.097196261682241</v>
      </c>
      <c r="BW580" s="6">
        <f t="shared" si="52"/>
        <v>200.19999999999996</v>
      </c>
      <c r="BX580" s="6">
        <f t="shared" si="53"/>
        <v>0</v>
      </c>
    </row>
    <row r="581" spans="1:76" x14ac:dyDescent="0.35">
      <c r="A581" t="s">
        <v>5016</v>
      </c>
      <c r="B581" t="s">
        <v>107</v>
      </c>
      <c r="C581" t="s">
        <v>107</v>
      </c>
      <c r="E581" t="s">
        <v>108</v>
      </c>
      <c r="F581" t="s">
        <v>158</v>
      </c>
      <c r="G581" t="s">
        <v>159</v>
      </c>
      <c r="H581" t="s">
        <v>111</v>
      </c>
      <c r="I581" t="s">
        <v>341</v>
      </c>
      <c r="J581" t="s">
        <v>113</v>
      </c>
      <c r="K581" s="8" t="s">
        <v>114</v>
      </c>
      <c r="L581" t="s">
        <v>161</v>
      </c>
      <c r="M581" s="6">
        <v>459</v>
      </c>
      <c r="N581" t="s">
        <v>672</v>
      </c>
      <c r="O581" s="6">
        <v>220</v>
      </c>
      <c r="P581" t="s">
        <v>117</v>
      </c>
      <c r="Q581" s="6">
        <v>0</v>
      </c>
      <c r="R581" s="7">
        <f t="shared" ref="R581:R628" si="54">M581-O581+Q581</f>
        <v>239</v>
      </c>
      <c r="S581" t="s">
        <v>142</v>
      </c>
      <c r="T581" t="s">
        <v>114</v>
      </c>
      <c r="U581" t="s">
        <v>142</v>
      </c>
      <c r="W581" t="s">
        <v>114</v>
      </c>
      <c r="X581" t="s">
        <v>117</v>
      </c>
      <c r="Z581" t="s">
        <v>5017</v>
      </c>
      <c r="AA581" t="s">
        <v>5018</v>
      </c>
      <c r="AB581" s="1" t="s">
        <v>4697</v>
      </c>
      <c r="AC581" t="s">
        <v>5019</v>
      </c>
      <c r="AD581" t="s">
        <v>5020</v>
      </c>
      <c r="AH581" t="s">
        <v>123</v>
      </c>
      <c r="AI581" t="s">
        <v>124</v>
      </c>
      <c r="AJ581" t="s">
        <v>5021</v>
      </c>
      <c r="AK581" t="s">
        <v>126</v>
      </c>
      <c r="AL581" t="s">
        <v>127</v>
      </c>
      <c r="AN581" t="s">
        <v>5022</v>
      </c>
      <c r="AO581" t="s">
        <v>5023</v>
      </c>
      <c r="AP581" t="s">
        <v>5024</v>
      </c>
      <c r="AQ581" t="s">
        <v>131</v>
      </c>
      <c r="AR581" t="s">
        <v>132</v>
      </c>
      <c r="AS581" t="s">
        <v>152</v>
      </c>
      <c r="AT581" t="s">
        <v>3137</v>
      </c>
      <c r="AV581" t="s">
        <v>654</v>
      </c>
      <c r="AX581" t="s">
        <v>176</v>
      </c>
      <c r="AY581" t="s">
        <v>177</v>
      </c>
      <c r="AZ581" t="s">
        <v>138</v>
      </c>
      <c r="BA581" t="s">
        <v>5025</v>
      </c>
      <c r="BC581" t="s">
        <v>140</v>
      </c>
      <c r="BT581" s="7">
        <f t="shared" ref="BT581:BT628" si="55">+R581</f>
        <v>239</v>
      </c>
      <c r="BU581" s="6">
        <f t="shared" ref="BU581:BU628" si="56">+BT581/1.07</f>
        <v>223.36448598130841</v>
      </c>
      <c r="BV581" s="6">
        <f t="shared" ref="BV581:BV628" si="57">+BU581*7/100</f>
        <v>15.635514018691588</v>
      </c>
      <c r="BW581" s="6">
        <f t="shared" ref="BW581:BW628" si="58">+BU581+BV581</f>
        <v>239</v>
      </c>
      <c r="BX581" s="6">
        <f t="shared" ref="BX581:BX628" si="59">+BW581-BT581</f>
        <v>0</v>
      </c>
    </row>
    <row r="582" spans="1:76" x14ac:dyDescent="0.35">
      <c r="A582" t="s">
        <v>5016</v>
      </c>
      <c r="B582" t="s">
        <v>107</v>
      </c>
      <c r="C582" t="s">
        <v>107</v>
      </c>
      <c r="E582" t="s">
        <v>108</v>
      </c>
      <c r="F582" t="s">
        <v>268</v>
      </c>
      <c r="G582" t="s">
        <v>269</v>
      </c>
      <c r="H582" t="s">
        <v>2268</v>
      </c>
      <c r="I582" t="s">
        <v>271</v>
      </c>
      <c r="J582" t="s">
        <v>113</v>
      </c>
      <c r="K582" s="8" t="s">
        <v>114</v>
      </c>
      <c r="L582" t="s">
        <v>114</v>
      </c>
      <c r="M582" s="6">
        <v>0</v>
      </c>
      <c r="N582" t="s">
        <v>114</v>
      </c>
      <c r="O582" s="6">
        <v>0</v>
      </c>
      <c r="P582" t="s">
        <v>114</v>
      </c>
      <c r="Q582" s="6">
        <v>0</v>
      </c>
      <c r="R582" s="7">
        <f t="shared" si="54"/>
        <v>0</v>
      </c>
      <c r="S582" t="s">
        <v>142</v>
      </c>
      <c r="T582" t="s">
        <v>114</v>
      </c>
      <c r="U582" t="s">
        <v>142</v>
      </c>
      <c r="W582" t="s">
        <v>114</v>
      </c>
      <c r="X582" t="s">
        <v>117</v>
      </c>
      <c r="Z582" t="s">
        <v>5017</v>
      </c>
      <c r="AA582" t="s">
        <v>5018</v>
      </c>
      <c r="AB582" s="1" t="s">
        <v>4697</v>
      </c>
      <c r="AC582" t="s">
        <v>5019</v>
      </c>
      <c r="AD582" t="s">
        <v>5020</v>
      </c>
      <c r="AH582" t="s">
        <v>123</v>
      </c>
      <c r="AI582" t="s">
        <v>124</v>
      </c>
      <c r="AJ582" t="s">
        <v>5021</v>
      </c>
      <c r="AK582" t="s">
        <v>126</v>
      </c>
      <c r="AL582" t="s">
        <v>127</v>
      </c>
      <c r="AN582" t="s">
        <v>5022</v>
      </c>
      <c r="AO582" t="s">
        <v>5023</v>
      </c>
      <c r="AP582" t="s">
        <v>5024</v>
      </c>
      <c r="AQ582" t="s">
        <v>131</v>
      </c>
      <c r="AR582" t="s">
        <v>132</v>
      </c>
      <c r="AS582" t="s">
        <v>152</v>
      </c>
      <c r="AT582" t="s">
        <v>3137</v>
      </c>
      <c r="AV582" t="s">
        <v>654</v>
      </c>
      <c r="AX582" t="s">
        <v>176</v>
      </c>
      <c r="AY582" t="s">
        <v>272</v>
      </c>
      <c r="AZ582" t="s">
        <v>273</v>
      </c>
      <c r="BA582" t="s">
        <v>5025</v>
      </c>
      <c r="BC582" t="s">
        <v>140</v>
      </c>
      <c r="BT582" s="7">
        <f t="shared" si="55"/>
        <v>0</v>
      </c>
      <c r="BU582" s="6">
        <f t="shared" si="56"/>
        <v>0</v>
      </c>
      <c r="BV582" s="6">
        <f t="shared" si="57"/>
        <v>0</v>
      </c>
      <c r="BW582" s="6">
        <f t="shared" si="58"/>
        <v>0</v>
      </c>
      <c r="BX582" s="6">
        <f t="shared" si="59"/>
        <v>0</v>
      </c>
    </row>
    <row r="583" spans="1:76" x14ac:dyDescent="0.35">
      <c r="A583" t="s">
        <v>5026</v>
      </c>
      <c r="B583" t="s">
        <v>107</v>
      </c>
      <c r="C583" t="s">
        <v>107</v>
      </c>
      <c r="E583" t="s">
        <v>108</v>
      </c>
      <c r="F583" t="s">
        <v>158</v>
      </c>
      <c r="G583" t="s">
        <v>159</v>
      </c>
      <c r="H583" t="s">
        <v>111</v>
      </c>
      <c r="I583" t="s">
        <v>341</v>
      </c>
      <c r="J583" t="s">
        <v>113</v>
      </c>
      <c r="K583" s="8" t="s">
        <v>114</v>
      </c>
      <c r="L583" t="s">
        <v>161</v>
      </c>
      <c r="M583" s="6">
        <v>459</v>
      </c>
      <c r="N583" t="s">
        <v>5027</v>
      </c>
      <c r="O583" s="6">
        <v>220</v>
      </c>
      <c r="P583" t="s">
        <v>5028</v>
      </c>
      <c r="Q583" s="6">
        <v>0</v>
      </c>
      <c r="R583" s="7">
        <f t="shared" si="54"/>
        <v>239</v>
      </c>
      <c r="S583" t="s">
        <v>142</v>
      </c>
      <c r="T583" t="s">
        <v>114</v>
      </c>
      <c r="U583" t="s">
        <v>142</v>
      </c>
      <c r="W583" t="s">
        <v>114</v>
      </c>
      <c r="X583" t="s">
        <v>5028</v>
      </c>
      <c r="Z583" t="s">
        <v>5029</v>
      </c>
      <c r="AA583" t="s">
        <v>5030</v>
      </c>
      <c r="AB583" s="1" t="s">
        <v>5031</v>
      </c>
      <c r="AC583" t="s">
        <v>5032</v>
      </c>
      <c r="AD583" t="s">
        <v>5033</v>
      </c>
      <c r="AH583" t="s">
        <v>123</v>
      </c>
      <c r="AI583" t="s">
        <v>124</v>
      </c>
      <c r="AJ583" t="s">
        <v>5034</v>
      </c>
      <c r="AK583" t="s">
        <v>126</v>
      </c>
      <c r="AL583" t="s">
        <v>127</v>
      </c>
      <c r="AN583" t="s">
        <v>5035</v>
      </c>
      <c r="AO583" t="s">
        <v>5036</v>
      </c>
      <c r="AP583" t="s">
        <v>5037</v>
      </c>
      <c r="AQ583" t="s">
        <v>131</v>
      </c>
      <c r="AR583" t="s">
        <v>132</v>
      </c>
      <c r="AS583" t="s">
        <v>1440</v>
      </c>
      <c r="AT583" t="s">
        <v>5038</v>
      </c>
      <c r="AV583" t="s">
        <v>175</v>
      </c>
      <c r="AX583" t="s">
        <v>655</v>
      </c>
      <c r="AY583" t="s">
        <v>177</v>
      </c>
      <c r="AZ583" t="s">
        <v>138</v>
      </c>
      <c r="BA583" t="s">
        <v>5039</v>
      </c>
      <c r="BC583" t="s">
        <v>140</v>
      </c>
      <c r="BT583" s="7">
        <f t="shared" si="55"/>
        <v>239</v>
      </c>
      <c r="BU583" s="6">
        <f t="shared" si="56"/>
        <v>223.36448598130841</v>
      </c>
      <c r="BV583" s="6">
        <f t="shared" si="57"/>
        <v>15.635514018691588</v>
      </c>
      <c r="BW583" s="6">
        <f t="shared" si="58"/>
        <v>239</v>
      </c>
      <c r="BX583" s="6">
        <f t="shared" si="59"/>
        <v>0</v>
      </c>
    </row>
    <row r="584" spans="1:76" x14ac:dyDescent="0.35">
      <c r="A584" t="s">
        <v>5026</v>
      </c>
      <c r="B584" t="s">
        <v>107</v>
      </c>
      <c r="C584" t="s">
        <v>107</v>
      </c>
      <c r="E584" t="s">
        <v>108</v>
      </c>
      <c r="F584" t="s">
        <v>268</v>
      </c>
      <c r="G584" t="s">
        <v>269</v>
      </c>
      <c r="H584" t="s">
        <v>2268</v>
      </c>
      <c r="I584" t="s">
        <v>271</v>
      </c>
      <c r="J584" t="s">
        <v>113</v>
      </c>
      <c r="K584" s="8" t="s">
        <v>114</v>
      </c>
      <c r="L584" t="s">
        <v>114</v>
      </c>
      <c r="M584" s="6">
        <v>0</v>
      </c>
      <c r="N584" t="s">
        <v>114</v>
      </c>
      <c r="O584" s="6">
        <v>0</v>
      </c>
      <c r="P584" t="s">
        <v>114</v>
      </c>
      <c r="Q584" s="6">
        <v>0</v>
      </c>
      <c r="R584" s="7">
        <f t="shared" si="54"/>
        <v>0</v>
      </c>
      <c r="S584" t="s">
        <v>142</v>
      </c>
      <c r="T584" t="s">
        <v>114</v>
      </c>
      <c r="U584" t="s">
        <v>142</v>
      </c>
      <c r="W584" t="s">
        <v>114</v>
      </c>
      <c r="X584" t="s">
        <v>5028</v>
      </c>
      <c r="Z584" t="s">
        <v>5029</v>
      </c>
      <c r="AA584" t="s">
        <v>5030</v>
      </c>
      <c r="AB584" s="1" t="s">
        <v>5031</v>
      </c>
      <c r="AC584" t="s">
        <v>5032</v>
      </c>
      <c r="AD584" t="s">
        <v>5033</v>
      </c>
      <c r="AH584" t="s">
        <v>123</v>
      </c>
      <c r="AI584" t="s">
        <v>124</v>
      </c>
      <c r="AJ584" t="s">
        <v>5034</v>
      </c>
      <c r="AK584" t="s">
        <v>126</v>
      </c>
      <c r="AL584" t="s">
        <v>127</v>
      </c>
      <c r="AN584" t="s">
        <v>5035</v>
      </c>
      <c r="AO584" t="s">
        <v>5036</v>
      </c>
      <c r="AP584" t="s">
        <v>5037</v>
      </c>
      <c r="AQ584" t="s">
        <v>131</v>
      </c>
      <c r="AR584" t="s">
        <v>132</v>
      </c>
      <c r="AS584" t="s">
        <v>1440</v>
      </c>
      <c r="AT584" t="s">
        <v>5038</v>
      </c>
      <c r="AV584" t="s">
        <v>175</v>
      </c>
      <c r="AX584" t="s">
        <v>655</v>
      </c>
      <c r="AY584" t="s">
        <v>272</v>
      </c>
      <c r="AZ584" t="s">
        <v>273</v>
      </c>
      <c r="BA584" t="s">
        <v>5039</v>
      </c>
      <c r="BC584" t="s">
        <v>140</v>
      </c>
      <c r="BT584" s="7">
        <f t="shared" si="55"/>
        <v>0</v>
      </c>
      <c r="BU584" s="6">
        <f t="shared" si="56"/>
        <v>0</v>
      </c>
      <c r="BV584" s="6">
        <f t="shared" si="57"/>
        <v>0</v>
      </c>
      <c r="BW584" s="6">
        <f t="shared" si="58"/>
        <v>0</v>
      </c>
      <c r="BX584" s="6">
        <f t="shared" si="59"/>
        <v>0</v>
      </c>
    </row>
    <row r="585" spans="1:76" x14ac:dyDescent="0.35">
      <c r="A585" t="s">
        <v>5040</v>
      </c>
      <c r="B585" t="s">
        <v>107</v>
      </c>
      <c r="C585" t="s">
        <v>107</v>
      </c>
      <c r="E585" t="s">
        <v>108</v>
      </c>
      <c r="F585" t="s">
        <v>158</v>
      </c>
      <c r="G585" t="s">
        <v>159</v>
      </c>
      <c r="H585" t="s">
        <v>111</v>
      </c>
      <c r="I585" t="s">
        <v>341</v>
      </c>
      <c r="J585" t="s">
        <v>113</v>
      </c>
      <c r="K585" s="8" t="s">
        <v>114</v>
      </c>
      <c r="L585" t="s">
        <v>161</v>
      </c>
      <c r="M585" s="6">
        <v>459</v>
      </c>
      <c r="N585" t="s">
        <v>1679</v>
      </c>
      <c r="O585" s="6">
        <v>220</v>
      </c>
      <c r="P585" t="s">
        <v>1680</v>
      </c>
      <c r="Q585" s="6">
        <v>0</v>
      </c>
      <c r="R585" s="7">
        <f t="shared" si="54"/>
        <v>239</v>
      </c>
      <c r="S585" t="s">
        <v>180</v>
      </c>
      <c r="T585" t="s">
        <v>114</v>
      </c>
      <c r="U585" t="s">
        <v>180</v>
      </c>
      <c r="W585" t="s">
        <v>114</v>
      </c>
      <c r="X585" t="s">
        <v>1680</v>
      </c>
      <c r="Z585" t="s">
        <v>5041</v>
      </c>
      <c r="AA585" t="s">
        <v>5042</v>
      </c>
      <c r="AB585" s="1" t="s">
        <v>5031</v>
      </c>
      <c r="AC585" t="s">
        <v>5043</v>
      </c>
      <c r="AD585" t="s">
        <v>5042</v>
      </c>
      <c r="AH585" t="s">
        <v>123</v>
      </c>
      <c r="AI585" t="s">
        <v>124</v>
      </c>
      <c r="AJ585" t="s">
        <v>5044</v>
      </c>
      <c r="AK585" t="s">
        <v>126</v>
      </c>
      <c r="AL585" t="s">
        <v>127</v>
      </c>
      <c r="AN585" t="s">
        <v>5045</v>
      </c>
      <c r="AO585" t="s">
        <v>5046</v>
      </c>
      <c r="AP585" t="s">
        <v>5047</v>
      </c>
      <c r="AQ585" t="s">
        <v>131</v>
      </c>
      <c r="AR585" t="s">
        <v>132</v>
      </c>
      <c r="AS585" t="s">
        <v>2312</v>
      </c>
      <c r="AT585" t="s">
        <v>2313</v>
      </c>
      <c r="AV585" t="s">
        <v>300</v>
      </c>
      <c r="AX585" t="s">
        <v>136</v>
      </c>
      <c r="AY585" t="s">
        <v>177</v>
      </c>
      <c r="AZ585" t="s">
        <v>138</v>
      </c>
      <c r="BA585" t="s">
        <v>5048</v>
      </c>
      <c r="BC585" t="s">
        <v>140</v>
      </c>
      <c r="BT585" s="7">
        <f t="shared" si="55"/>
        <v>239</v>
      </c>
      <c r="BU585" s="6">
        <f t="shared" si="56"/>
        <v>223.36448598130841</v>
      </c>
      <c r="BV585" s="6">
        <f t="shared" si="57"/>
        <v>15.635514018691588</v>
      </c>
      <c r="BW585" s="6">
        <f t="shared" si="58"/>
        <v>239</v>
      </c>
      <c r="BX585" s="6">
        <f t="shared" si="59"/>
        <v>0</v>
      </c>
    </row>
    <row r="586" spans="1:76" x14ac:dyDescent="0.35">
      <c r="A586" t="s">
        <v>5040</v>
      </c>
      <c r="B586" t="s">
        <v>107</v>
      </c>
      <c r="C586" t="s">
        <v>107</v>
      </c>
      <c r="E586" t="s">
        <v>108</v>
      </c>
      <c r="F586" t="s">
        <v>268</v>
      </c>
      <c r="G586" t="s">
        <v>269</v>
      </c>
      <c r="H586" t="s">
        <v>2268</v>
      </c>
      <c r="I586" t="s">
        <v>271</v>
      </c>
      <c r="J586" t="s">
        <v>113</v>
      </c>
      <c r="K586" s="8" t="s">
        <v>114</v>
      </c>
      <c r="L586" t="s">
        <v>114</v>
      </c>
      <c r="M586" s="6">
        <v>0</v>
      </c>
      <c r="N586" t="s">
        <v>114</v>
      </c>
      <c r="O586" s="6">
        <v>0</v>
      </c>
      <c r="P586" t="s">
        <v>114</v>
      </c>
      <c r="Q586" s="6">
        <v>0</v>
      </c>
      <c r="R586" s="7">
        <f t="shared" si="54"/>
        <v>0</v>
      </c>
      <c r="S586" t="s">
        <v>180</v>
      </c>
      <c r="T586" t="s">
        <v>114</v>
      </c>
      <c r="U586" t="s">
        <v>180</v>
      </c>
      <c r="W586" t="s">
        <v>114</v>
      </c>
      <c r="X586" t="s">
        <v>1680</v>
      </c>
      <c r="Z586" t="s">
        <v>5041</v>
      </c>
      <c r="AA586" t="s">
        <v>5042</v>
      </c>
      <c r="AB586" s="1" t="s">
        <v>5031</v>
      </c>
      <c r="AC586" t="s">
        <v>5043</v>
      </c>
      <c r="AD586" t="s">
        <v>5042</v>
      </c>
      <c r="AH586" t="s">
        <v>123</v>
      </c>
      <c r="AI586" t="s">
        <v>124</v>
      </c>
      <c r="AJ586" t="s">
        <v>5044</v>
      </c>
      <c r="AK586" t="s">
        <v>126</v>
      </c>
      <c r="AL586" t="s">
        <v>127</v>
      </c>
      <c r="AN586" t="s">
        <v>5045</v>
      </c>
      <c r="AO586" t="s">
        <v>5046</v>
      </c>
      <c r="AP586" t="s">
        <v>5047</v>
      </c>
      <c r="AQ586" t="s">
        <v>131</v>
      </c>
      <c r="AR586" t="s">
        <v>132</v>
      </c>
      <c r="AS586" t="s">
        <v>2312</v>
      </c>
      <c r="AT586" t="s">
        <v>2313</v>
      </c>
      <c r="AV586" t="s">
        <v>300</v>
      </c>
      <c r="AX586" t="s">
        <v>136</v>
      </c>
      <c r="AY586" t="s">
        <v>272</v>
      </c>
      <c r="AZ586" t="s">
        <v>273</v>
      </c>
      <c r="BA586" t="s">
        <v>5048</v>
      </c>
      <c r="BC586" t="s">
        <v>140</v>
      </c>
      <c r="BT586" s="7">
        <f t="shared" si="55"/>
        <v>0</v>
      </c>
      <c r="BU586" s="6">
        <f t="shared" si="56"/>
        <v>0</v>
      </c>
      <c r="BV586" s="6">
        <f t="shared" si="57"/>
        <v>0</v>
      </c>
      <c r="BW586" s="6">
        <f t="shared" si="58"/>
        <v>0</v>
      </c>
      <c r="BX586" s="6">
        <f t="shared" si="59"/>
        <v>0</v>
      </c>
    </row>
    <row r="587" spans="1:76" x14ac:dyDescent="0.35">
      <c r="A587" t="s">
        <v>5049</v>
      </c>
      <c r="B587" t="s">
        <v>107</v>
      </c>
      <c r="C587" t="s">
        <v>107</v>
      </c>
      <c r="E587" t="s">
        <v>108</v>
      </c>
      <c r="F587" t="s">
        <v>338</v>
      </c>
      <c r="G587" t="s">
        <v>339</v>
      </c>
      <c r="H587" t="s">
        <v>340</v>
      </c>
      <c r="I587" t="s">
        <v>341</v>
      </c>
      <c r="J587" t="s">
        <v>113</v>
      </c>
      <c r="K587" s="8" t="s">
        <v>114</v>
      </c>
      <c r="L587" t="s">
        <v>114</v>
      </c>
      <c r="M587" s="6">
        <v>0</v>
      </c>
      <c r="N587" t="s">
        <v>114</v>
      </c>
      <c r="O587" s="6">
        <v>0</v>
      </c>
      <c r="P587" t="s">
        <v>114</v>
      </c>
      <c r="Q587" s="6">
        <v>0</v>
      </c>
      <c r="R587" s="7">
        <f t="shared" si="54"/>
        <v>0</v>
      </c>
      <c r="S587" t="s">
        <v>180</v>
      </c>
      <c r="T587" t="s">
        <v>114</v>
      </c>
      <c r="U587" t="s">
        <v>180</v>
      </c>
      <c r="W587" t="s">
        <v>114</v>
      </c>
      <c r="X587" t="s">
        <v>3459</v>
      </c>
      <c r="Z587" t="s">
        <v>5050</v>
      </c>
      <c r="AA587" t="s">
        <v>5051</v>
      </c>
      <c r="AB587" s="1" t="s">
        <v>5031</v>
      </c>
      <c r="AC587" t="s">
        <v>5052</v>
      </c>
      <c r="AD587" t="s">
        <v>5051</v>
      </c>
      <c r="AH587" t="s">
        <v>123</v>
      </c>
      <c r="AI587" t="s">
        <v>124</v>
      </c>
      <c r="AJ587" t="s">
        <v>5053</v>
      </c>
      <c r="AK587" t="s">
        <v>126</v>
      </c>
      <c r="AL587" t="s">
        <v>127</v>
      </c>
      <c r="AN587" t="s">
        <v>5054</v>
      </c>
      <c r="AO587" t="s">
        <v>5055</v>
      </c>
      <c r="AP587" t="s">
        <v>5056</v>
      </c>
      <c r="AQ587" t="s">
        <v>131</v>
      </c>
      <c r="AR587" t="s">
        <v>132</v>
      </c>
      <c r="AS587" t="s">
        <v>133</v>
      </c>
      <c r="AT587" t="s">
        <v>4741</v>
      </c>
      <c r="AV587" t="s">
        <v>4587</v>
      </c>
      <c r="AX587" t="s">
        <v>136</v>
      </c>
      <c r="AY587" t="s">
        <v>177</v>
      </c>
      <c r="AZ587" t="s">
        <v>356</v>
      </c>
      <c r="BA587" t="s">
        <v>5057</v>
      </c>
      <c r="BC587" t="s">
        <v>140</v>
      </c>
      <c r="BT587" s="7">
        <f t="shared" si="55"/>
        <v>0</v>
      </c>
      <c r="BU587" s="6">
        <f t="shared" si="56"/>
        <v>0</v>
      </c>
      <c r="BV587" s="6">
        <f t="shared" si="57"/>
        <v>0</v>
      </c>
      <c r="BW587" s="6">
        <f t="shared" si="58"/>
        <v>0</v>
      </c>
      <c r="BX587" s="6">
        <f t="shared" si="59"/>
        <v>0</v>
      </c>
    </row>
    <row r="588" spans="1:76" x14ac:dyDescent="0.35">
      <c r="A588" t="s">
        <v>5049</v>
      </c>
      <c r="B588" t="s">
        <v>107</v>
      </c>
      <c r="C588" t="s">
        <v>107</v>
      </c>
      <c r="E588" t="s">
        <v>108</v>
      </c>
      <c r="F588" t="s">
        <v>358</v>
      </c>
      <c r="G588" t="s">
        <v>359</v>
      </c>
      <c r="H588" t="s">
        <v>360</v>
      </c>
      <c r="I588" t="s">
        <v>341</v>
      </c>
      <c r="J588" t="s">
        <v>113</v>
      </c>
      <c r="K588" s="8" t="s">
        <v>114</v>
      </c>
      <c r="L588" t="s">
        <v>361</v>
      </c>
      <c r="M588" s="6">
        <v>233</v>
      </c>
      <c r="N588" t="s">
        <v>114</v>
      </c>
      <c r="O588" s="6">
        <v>117</v>
      </c>
      <c r="P588" t="s">
        <v>3459</v>
      </c>
      <c r="Q588" s="6">
        <v>0</v>
      </c>
      <c r="R588" s="7">
        <f t="shared" si="54"/>
        <v>116</v>
      </c>
      <c r="S588" t="s">
        <v>180</v>
      </c>
      <c r="T588" t="s">
        <v>114</v>
      </c>
      <c r="U588" t="s">
        <v>180</v>
      </c>
      <c r="W588" t="s">
        <v>114</v>
      </c>
      <c r="X588" t="s">
        <v>3459</v>
      </c>
      <c r="Z588" t="s">
        <v>5050</v>
      </c>
      <c r="AA588" t="s">
        <v>5051</v>
      </c>
      <c r="AB588" s="1" t="s">
        <v>5031</v>
      </c>
      <c r="AC588" t="s">
        <v>5052</v>
      </c>
      <c r="AD588" t="s">
        <v>5051</v>
      </c>
      <c r="AH588" t="s">
        <v>123</v>
      </c>
      <c r="AI588" t="s">
        <v>124</v>
      </c>
      <c r="AJ588" t="s">
        <v>5053</v>
      </c>
      <c r="AK588" t="s">
        <v>126</v>
      </c>
      <c r="AL588" t="s">
        <v>127</v>
      </c>
      <c r="AN588" t="s">
        <v>5054</v>
      </c>
      <c r="AO588" t="s">
        <v>5055</v>
      </c>
      <c r="AP588" t="s">
        <v>5056</v>
      </c>
      <c r="AQ588" t="s">
        <v>131</v>
      </c>
      <c r="AR588" t="s">
        <v>132</v>
      </c>
      <c r="AS588" t="s">
        <v>133</v>
      </c>
      <c r="AT588" t="s">
        <v>4741</v>
      </c>
      <c r="AV588" t="s">
        <v>4587</v>
      </c>
      <c r="AX588" t="s">
        <v>136</v>
      </c>
      <c r="AY588" t="s">
        <v>177</v>
      </c>
      <c r="AZ588" t="s">
        <v>364</v>
      </c>
      <c r="BA588" t="s">
        <v>5057</v>
      </c>
      <c r="BC588" t="s">
        <v>140</v>
      </c>
      <c r="BT588" s="7">
        <f t="shared" si="55"/>
        <v>116</v>
      </c>
      <c r="BU588" s="6">
        <f t="shared" si="56"/>
        <v>108.41121495327103</v>
      </c>
      <c r="BV588" s="6">
        <f t="shared" si="57"/>
        <v>7.5887850467289715</v>
      </c>
      <c r="BW588" s="6">
        <f t="shared" si="58"/>
        <v>116</v>
      </c>
      <c r="BX588" s="6">
        <f t="shared" si="59"/>
        <v>0</v>
      </c>
    </row>
    <row r="589" spans="1:76" x14ac:dyDescent="0.35">
      <c r="A589" t="s">
        <v>5058</v>
      </c>
      <c r="B589" t="s">
        <v>107</v>
      </c>
      <c r="C589" t="s">
        <v>107</v>
      </c>
      <c r="F589" t="s">
        <v>358</v>
      </c>
      <c r="G589" t="s">
        <v>359</v>
      </c>
      <c r="H589" t="s">
        <v>360</v>
      </c>
      <c r="I589" t="s">
        <v>341</v>
      </c>
      <c r="J589" t="s">
        <v>113</v>
      </c>
      <c r="K589" s="8" t="s">
        <v>114</v>
      </c>
      <c r="L589" t="s">
        <v>114</v>
      </c>
      <c r="M589" s="6">
        <v>0</v>
      </c>
      <c r="N589" t="s">
        <v>114</v>
      </c>
      <c r="O589" s="6">
        <v>0</v>
      </c>
      <c r="P589" t="s">
        <v>114</v>
      </c>
      <c r="Q589" s="6">
        <v>0</v>
      </c>
      <c r="R589" s="7">
        <f t="shared" si="54"/>
        <v>0</v>
      </c>
      <c r="S589" t="s">
        <v>114</v>
      </c>
      <c r="T589" t="s">
        <v>114</v>
      </c>
      <c r="U589" t="s">
        <v>114</v>
      </c>
      <c r="W589" t="s">
        <v>114</v>
      </c>
      <c r="X589" t="s">
        <v>114</v>
      </c>
      <c r="Z589" t="s">
        <v>5059</v>
      </c>
      <c r="AA589" t="s">
        <v>5060</v>
      </c>
      <c r="AB589" s="1" t="s">
        <v>5031</v>
      </c>
      <c r="AC589" t="s">
        <v>5061</v>
      </c>
      <c r="AD589" t="s">
        <v>5062</v>
      </c>
      <c r="AH589" t="s">
        <v>123</v>
      </c>
      <c r="AI589" t="s">
        <v>124</v>
      </c>
      <c r="AJ589" t="s">
        <v>5063</v>
      </c>
      <c r="AK589" t="s">
        <v>126</v>
      </c>
      <c r="AL589" t="s">
        <v>127</v>
      </c>
      <c r="AN589" t="s">
        <v>5064</v>
      </c>
      <c r="AO589" t="s">
        <v>2144</v>
      </c>
      <c r="AP589" t="s">
        <v>5065</v>
      </c>
      <c r="AQ589" t="s">
        <v>131</v>
      </c>
      <c r="AR589" t="s">
        <v>132</v>
      </c>
      <c r="AS589" t="s">
        <v>2514</v>
      </c>
      <c r="AT589" t="s">
        <v>1489</v>
      </c>
      <c r="AV589" t="s">
        <v>204</v>
      </c>
      <c r="AW589" t="s">
        <v>668</v>
      </c>
      <c r="AY589" t="s">
        <v>177</v>
      </c>
      <c r="AZ589" t="s">
        <v>364</v>
      </c>
      <c r="BA589" t="s">
        <v>5066</v>
      </c>
      <c r="BC589" t="s">
        <v>140</v>
      </c>
      <c r="BT589" s="7">
        <f t="shared" si="55"/>
        <v>0</v>
      </c>
      <c r="BU589" s="6">
        <f t="shared" si="56"/>
        <v>0</v>
      </c>
      <c r="BV589" s="6">
        <f t="shared" si="57"/>
        <v>0</v>
      </c>
      <c r="BW589" s="6">
        <f t="shared" si="58"/>
        <v>0</v>
      </c>
      <c r="BX589" s="6">
        <f t="shared" si="59"/>
        <v>0</v>
      </c>
    </row>
    <row r="590" spans="1:76" x14ac:dyDescent="0.35">
      <c r="A590" t="s">
        <v>5067</v>
      </c>
      <c r="B590" t="s">
        <v>107</v>
      </c>
      <c r="C590" t="s">
        <v>107</v>
      </c>
      <c r="F590" t="s">
        <v>358</v>
      </c>
      <c r="G590" t="s">
        <v>359</v>
      </c>
      <c r="H590" t="s">
        <v>360</v>
      </c>
      <c r="I590" t="s">
        <v>341</v>
      </c>
      <c r="J590" t="s">
        <v>113</v>
      </c>
      <c r="K590" s="8" t="s">
        <v>114</v>
      </c>
      <c r="L590" t="s">
        <v>114</v>
      </c>
      <c r="M590" s="6">
        <v>0</v>
      </c>
      <c r="N590" t="s">
        <v>114</v>
      </c>
      <c r="O590" s="6">
        <v>0</v>
      </c>
      <c r="P590" t="s">
        <v>114</v>
      </c>
      <c r="Q590" s="6">
        <v>0</v>
      </c>
      <c r="R590" s="7">
        <f t="shared" si="54"/>
        <v>0</v>
      </c>
      <c r="S590" t="s">
        <v>114</v>
      </c>
      <c r="T590" t="s">
        <v>114</v>
      </c>
      <c r="U590" t="s">
        <v>114</v>
      </c>
      <c r="W590" t="s">
        <v>114</v>
      </c>
      <c r="X590" t="s">
        <v>114</v>
      </c>
      <c r="Z590" t="s">
        <v>5068</v>
      </c>
      <c r="AA590" t="s">
        <v>5068</v>
      </c>
      <c r="AB590" s="1" t="s">
        <v>5031</v>
      </c>
      <c r="AC590" t="s">
        <v>5069</v>
      </c>
      <c r="AD590" t="s">
        <v>5070</v>
      </c>
      <c r="AH590" t="s">
        <v>123</v>
      </c>
      <c r="AI590" t="s">
        <v>124</v>
      </c>
      <c r="AJ590" t="s">
        <v>5071</v>
      </c>
      <c r="AK590" t="s">
        <v>126</v>
      </c>
      <c r="AL590" t="s">
        <v>127</v>
      </c>
      <c r="AN590" t="s">
        <v>5072</v>
      </c>
      <c r="AO590" t="s">
        <v>2836</v>
      </c>
      <c r="AP590" t="s">
        <v>5073</v>
      </c>
      <c r="AQ590" t="s">
        <v>131</v>
      </c>
      <c r="AR590" t="s">
        <v>132</v>
      </c>
      <c r="AS590" t="s">
        <v>1120</v>
      </c>
      <c r="AT590" t="s">
        <v>4703</v>
      </c>
      <c r="AV590" t="s">
        <v>375</v>
      </c>
      <c r="AW590" t="s">
        <v>3228</v>
      </c>
      <c r="AY590" t="s">
        <v>177</v>
      </c>
      <c r="AZ590" t="s">
        <v>364</v>
      </c>
      <c r="BA590" t="s">
        <v>5074</v>
      </c>
      <c r="BC590" t="s">
        <v>140</v>
      </c>
      <c r="BT590" s="7">
        <f t="shared" si="55"/>
        <v>0</v>
      </c>
      <c r="BU590" s="6">
        <f t="shared" si="56"/>
        <v>0</v>
      </c>
      <c r="BV590" s="6">
        <f t="shared" si="57"/>
        <v>0</v>
      </c>
      <c r="BW590" s="6">
        <f t="shared" si="58"/>
        <v>0</v>
      </c>
      <c r="BX590" s="6">
        <f t="shared" si="59"/>
        <v>0</v>
      </c>
    </row>
    <row r="591" spans="1:76" x14ac:dyDescent="0.35">
      <c r="A591" t="s">
        <v>5075</v>
      </c>
      <c r="B591" t="s">
        <v>107</v>
      </c>
      <c r="C591" t="s">
        <v>107</v>
      </c>
      <c r="F591" t="s">
        <v>358</v>
      </c>
      <c r="G591" t="s">
        <v>359</v>
      </c>
      <c r="H591" t="s">
        <v>360</v>
      </c>
      <c r="I591" t="s">
        <v>341</v>
      </c>
      <c r="J591" t="s">
        <v>113</v>
      </c>
      <c r="K591" s="8" t="s">
        <v>114</v>
      </c>
      <c r="L591" t="s">
        <v>114</v>
      </c>
      <c r="M591" s="6">
        <v>0</v>
      </c>
      <c r="N591" t="s">
        <v>114</v>
      </c>
      <c r="O591" s="6">
        <v>0</v>
      </c>
      <c r="P591" t="s">
        <v>114</v>
      </c>
      <c r="Q591" s="6">
        <v>0</v>
      </c>
      <c r="R591" s="7">
        <f t="shared" si="54"/>
        <v>0</v>
      </c>
      <c r="S591" t="s">
        <v>114</v>
      </c>
      <c r="T591" t="s">
        <v>114</v>
      </c>
      <c r="U591" t="s">
        <v>114</v>
      </c>
      <c r="W591" t="s">
        <v>114</v>
      </c>
      <c r="X591" t="s">
        <v>114</v>
      </c>
      <c r="Z591" t="s">
        <v>5076</v>
      </c>
      <c r="AA591" t="s">
        <v>5076</v>
      </c>
      <c r="AB591" s="1" t="s">
        <v>5031</v>
      </c>
      <c r="AC591" t="s">
        <v>5077</v>
      </c>
      <c r="AD591" t="s">
        <v>5078</v>
      </c>
      <c r="AH591" t="s">
        <v>123</v>
      </c>
      <c r="AI591" t="s">
        <v>124</v>
      </c>
      <c r="AJ591" t="s">
        <v>5079</v>
      </c>
      <c r="AK591" t="s">
        <v>126</v>
      </c>
      <c r="AL591" t="s">
        <v>127</v>
      </c>
      <c r="AN591" t="s">
        <v>5080</v>
      </c>
      <c r="AO591" t="s">
        <v>5081</v>
      </c>
      <c r="AP591" t="s">
        <v>5082</v>
      </c>
      <c r="AQ591" t="s">
        <v>131</v>
      </c>
      <c r="AR591" t="s">
        <v>132</v>
      </c>
      <c r="AS591" t="s">
        <v>1133</v>
      </c>
      <c r="AT591" t="s">
        <v>5083</v>
      </c>
      <c r="AV591" t="s">
        <v>918</v>
      </c>
      <c r="AW591" t="s">
        <v>638</v>
      </c>
      <c r="AY591" t="s">
        <v>177</v>
      </c>
      <c r="AZ591" t="s">
        <v>364</v>
      </c>
      <c r="BA591" t="s">
        <v>5084</v>
      </c>
      <c r="BC591" t="s">
        <v>140</v>
      </c>
      <c r="BT591" s="7">
        <f t="shared" si="55"/>
        <v>0</v>
      </c>
      <c r="BU591" s="6">
        <f t="shared" si="56"/>
        <v>0</v>
      </c>
      <c r="BV591" s="6">
        <f t="shared" si="57"/>
        <v>0</v>
      </c>
      <c r="BW591" s="6">
        <f t="shared" si="58"/>
        <v>0</v>
      </c>
      <c r="BX591" s="6">
        <f t="shared" si="59"/>
        <v>0</v>
      </c>
    </row>
    <row r="592" spans="1:76" x14ac:dyDescent="0.35">
      <c r="A592" t="s">
        <v>5085</v>
      </c>
      <c r="B592" t="s">
        <v>107</v>
      </c>
      <c r="C592" t="s">
        <v>107</v>
      </c>
      <c r="F592" t="s">
        <v>358</v>
      </c>
      <c r="G592" t="s">
        <v>359</v>
      </c>
      <c r="H592" t="s">
        <v>360</v>
      </c>
      <c r="I592" t="s">
        <v>341</v>
      </c>
      <c r="J592" t="s">
        <v>113</v>
      </c>
      <c r="K592" s="8" t="s">
        <v>114</v>
      </c>
      <c r="L592" t="s">
        <v>114</v>
      </c>
      <c r="M592" s="6">
        <v>0</v>
      </c>
      <c r="N592" t="s">
        <v>114</v>
      </c>
      <c r="O592" s="6">
        <v>0</v>
      </c>
      <c r="P592" t="s">
        <v>114</v>
      </c>
      <c r="Q592" s="6">
        <v>0</v>
      </c>
      <c r="R592" s="7">
        <f t="shared" si="54"/>
        <v>0</v>
      </c>
      <c r="S592" t="s">
        <v>114</v>
      </c>
      <c r="T592" t="s">
        <v>114</v>
      </c>
      <c r="U592" t="s">
        <v>114</v>
      </c>
      <c r="W592" t="s">
        <v>114</v>
      </c>
      <c r="X592" t="s">
        <v>114</v>
      </c>
      <c r="Z592" t="s">
        <v>5086</v>
      </c>
      <c r="AA592" t="s">
        <v>5086</v>
      </c>
      <c r="AB592" s="1" t="s">
        <v>5031</v>
      </c>
      <c r="AC592" t="s">
        <v>5087</v>
      </c>
      <c r="AD592" t="s">
        <v>5088</v>
      </c>
      <c r="AH592" t="s">
        <v>123</v>
      </c>
      <c r="AI592" t="s">
        <v>124</v>
      </c>
      <c r="AJ592" t="s">
        <v>5089</v>
      </c>
      <c r="AK592" t="s">
        <v>126</v>
      </c>
      <c r="AL592" t="s">
        <v>127</v>
      </c>
      <c r="AN592" t="s">
        <v>5090</v>
      </c>
      <c r="AO592" t="s">
        <v>5091</v>
      </c>
      <c r="AP592" t="s">
        <v>5092</v>
      </c>
      <c r="AQ592" t="s">
        <v>131</v>
      </c>
      <c r="AR592" t="s">
        <v>132</v>
      </c>
      <c r="AS592" t="s">
        <v>2300</v>
      </c>
      <c r="AT592" t="s">
        <v>2301</v>
      </c>
      <c r="AV592" t="s">
        <v>236</v>
      </c>
      <c r="AW592" t="s">
        <v>406</v>
      </c>
      <c r="AY592" t="s">
        <v>177</v>
      </c>
      <c r="AZ592" t="s">
        <v>364</v>
      </c>
      <c r="BA592" t="s">
        <v>5093</v>
      </c>
      <c r="BC592" t="s">
        <v>140</v>
      </c>
      <c r="BT592" s="7">
        <f t="shared" si="55"/>
        <v>0</v>
      </c>
      <c r="BU592" s="6">
        <f t="shared" si="56"/>
        <v>0</v>
      </c>
      <c r="BV592" s="6">
        <f t="shared" si="57"/>
        <v>0</v>
      </c>
      <c r="BW592" s="6">
        <f t="shared" si="58"/>
        <v>0</v>
      </c>
      <c r="BX592" s="6">
        <f t="shared" si="59"/>
        <v>0</v>
      </c>
    </row>
    <row r="593" spans="1:76" x14ac:dyDescent="0.35">
      <c r="A593" t="s">
        <v>5094</v>
      </c>
      <c r="B593" t="s">
        <v>107</v>
      </c>
      <c r="C593" t="s">
        <v>107</v>
      </c>
      <c r="E593" t="s">
        <v>108</v>
      </c>
      <c r="F593" t="s">
        <v>338</v>
      </c>
      <c r="G593" t="s">
        <v>339</v>
      </c>
      <c r="H593" t="s">
        <v>340</v>
      </c>
      <c r="I593" t="s">
        <v>341</v>
      </c>
      <c r="J593" t="s">
        <v>113</v>
      </c>
      <c r="K593" s="8" t="s">
        <v>114</v>
      </c>
      <c r="L593" t="s">
        <v>114</v>
      </c>
      <c r="M593" s="6">
        <v>0</v>
      </c>
      <c r="N593" t="s">
        <v>114</v>
      </c>
      <c r="O593" s="6">
        <v>0</v>
      </c>
      <c r="P593" t="s">
        <v>114</v>
      </c>
      <c r="Q593" s="6">
        <v>19</v>
      </c>
      <c r="R593" s="7">
        <f t="shared" si="54"/>
        <v>19</v>
      </c>
      <c r="S593" t="s">
        <v>180</v>
      </c>
      <c r="T593" t="s">
        <v>114</v>
      </c>
      <c r="U593" t="s">
        <v>5095</v>
      </c>
      <c r="W593" t="s">
        <v>114</v>
      </c>
      <c r="X593" t="s">
        <v>5096</v>
      </c>
      <c r="Z593" t="s">
        <v>5097</v>
      </c>
      <c r="AA593" t="s">
        <v>5098</v>
      </c>
      <c r="AB593" s="1" t="s">
        <v>5031</v>
      </c>
      <c r="AC593" t="s">
        <v>5099</v>
      </c>
      <c r="AD593" t="s">
        <v>5100</v>
      </c>
      <c r="AH593" t="s">
        <v>123</v>
      </c>
      <c r="AI593" t="s">
        <v>124</v>
      </c>
      <c r="AJ593" t="s">
        <v>5101</v>
      </c>
      <c r="AK593" t="s">
        <v>126</v>
      </c>
      <c r="AL593" t="s">
        <v>127</v>
      </c>
      <c r="AN593" t="s">
        <v>5102</v>
      </c>
      <c r="AO593" t="s">
        <v>5103</v>
      </c>
      <c r="AP593" t="s">
        <v>5104</v>
      </c>
      <c r="AQ593" t="s">
        <v>131</v>
      </c>
      <c r="AR593" t="s">
        <v>132</v>
      </c>
      <c r="AS593" t="s">
        <v>558</v>
      </c>
      <c r="AT593" t="s">
        <v>1960</v>
      </c>
      <c r="AV593" t="s">
        <v>1703</v>
      </c>
      <c r="AW593" t="s">
        <v>668</v>
      </c>
      <c r="AX593" t="s">
        <v>317</v>
      </c>
      <c r="AY593" t="s">
        <v>177</v>
      </c>
      <c r="AZ593" t="s">
        <v>356</v>
      </c>
      <c r="BA593" t="s">
        <v>5105</v>
      </c>
      <c r="BC593" t="s">
        <v>140</v>
      </c>
      <c r="BT593" s="7">
        <f t="shared" si="55"/>
        <v>19</v>
      </c>
      <c r="BU593" s="6">
        <f t="shared" si="56"/>
        <v>17.75700934579439</v>
      </c>
      <c r="BV593" s="6">
        <f t="shared" si="57"/>
        <v>1.2429906542056073</v>
      </c>
      <c r="BW593" s="6">
        <f t="shared" si="58"/>
        <v>18.999999999999996</v>
      </c>
      <c r="BX593" s="6">
        <f t="shared" si="59"/>
        <v>0</v>
      </c>
    </row>
    <row r="594" spans="1:76" x14ac:dyDescent="0.35">
      <c r="A594" t="s">
        <v>5094</v>
      </c>
      <c r="B594" t="s">
        <v>107</v>
      </c>
      <c r="C594" t="s">
        <v>107</v>
      </c>
      <c r="E594" t="s">
        <v>108</v>
      </c>
      <c r="F594" t="s">
        <v>358</v>
      </c>
      <c r="G594" t="s">
        <v>359</v>
      </c>
      <c r="H594" t="s">
        <v>360</v>
      </c>
      <c r="I594" t="s">
        <v>341</v>
      </c>
      <c r="J594" t="s">
        <v>113</v>
      </c>
      <c r="K594" s="8" t="s">
        <v>114</v>
      </c>
      <c r="L594" t="s">
        <v>361</v>
      </c>
      <c r="M594" s="6">
        <v>233</v>
      </c>
      <c r="N594" t="s">
        <v>5106</v>
      </c>
      <c r="O594" s="6">
        <v>117</v>
      </c>
      <c r="P594" t="s">
        <v>5107</v>
      </c>
      <c r="Q594" s="6">
        <v>19</v>
      </c>
      <c r="R594" s="7">
        <f t="shared" si="54"/>
        <v>135</v>
      </c>
      <c r="S594" t="s">
        <v>180</v>
      </c>
      <c r="T594" t="s">
        <v>114</v>
      </c>
      <c r="U594" t="s">
        <v>5095</v>
      </c>
      <c r="W594" t="s">
        <v>114</v>
      </c>
      <c r="X594" t="s">
        <v>5096</v>
      </c>
      <c r="Z594" t="s">
        <v>5097</v>
      </c>
      <c r="AA594" t="s">
        <v>5098</v>
      </c>
      <c r="AB594" s="1" t="s">
        <v>5031</v>
      </c>
      <c r="AC594" t="s">
        <v>5099</v>
      </c>
      <c r="AD594" t="s">
        <v>5100</v>
      </c>
      <c r="AH594" t="s">
        <v>123</v>
      </c>
      <c r="AI594" t="s">
        <v>124</v>
      </c>
      <c r="AJ594" t="s">
        <v>5101</v>
      </c>
      <c r="AK594" t="s">
        <v>126</v>
      </c>
      <c r="AL594" t="s">
        <v>127</v>
      </c>
      <c r="AN594" t="s">
        <v>5102</v>
      </c>
      <c r="AO594" t="s">
        <v>5103</v>
      </c>
      <c r="AP594" t="s">
        <v>5104</v>
      </c>
      <c r="AQ594" t="s">
        <v>131</v>
      </c>
      <c r="AR594" t="s">
        <v>132</v>
      </c>
      <c r="AS594" t="s">
        <v>558</v>
      </c>
      <c r="AT594" t="s">
        <v>1960</v>
      </c>
      <c r="AV594" t="s">
        <v>1703</v>
      </c>
      <c r="AW594" t="s">
        <v>668</v>
      </c>
      <c r="AX594" t="s">
        <v>317</v>
      </c>
      <c r="AY594" t="s">
        <v>177</v>
      </c>
      <c r="AZ594" t="s">
        <v>364</v>
      </c>
      <c r="BA594" t="s">
        <v>5105</v>
      </c>
      <c r="BC594" t="s">
        <v>140</v>
      </c>
      <c r="BT594" s="7">
        <f t="shared" si="55"/>
        <v>135</v>
      </c>
      <c r="BU594" s="6">
        <f t="shared" si="56"/>
        <v>126.16822429906541</v>
      </c>
      <c r="BV594" s="6">
        <f t="shared" si="57"/>
        <v>8.8317757009345783</v>
      </c>
      <c r="BW594" s="6">
        <f t="shared" si="58"/>
        <v>135</v>
      </c>
      <c r="BX594" s="6">
        <f t="shared" si="59"/>
        <v>0</v>
      </c>
    </row>
    <row r="595" spans="1:76" x14ac:dyDescent="0.35">
      <c r="A595" t="s">
        <v>5108</v>
      </c>
      <c r="B595" t="s">
        <v>336</v>
      </c>
      <c r="C595" t="s">
        <v>336</v>
      </c>
      <c r="D595" t="s">
        <v>337</v>
      </c>
      <c r="E595" t="s">
        <v>108</v>
      </c>
      <c r="F595" t="s">
        <v>158</v>
      </c>
      <c r="G595" t="s">
        <v>159</v>
      </c>
      <c r="H595" t="s">
        <v>111</v>
      </c>
      <c r="I595" t="s">
        <v>341</v>
      </c>
      <c r="J595" t="s">
        <v>113</v>
      </c>
      <c r="K595" s="8" t="s">
        <v>113</v>
      </c>
      <c r="L595" t="s">
        <v>161</v>
      </c>
      <c r="M595" s="6">
        <v>459</v>
      </c>
      <c r="N595" t="s">
        <v>436</v>
      </c>
      <c r="O595" s="6">
        <v>220</v>
      </c>
      <c r="P595" t="s">
        <v>1876</v>
      </c>
      <c r="Q595" s="6">
        <v>0</v>
      </c>
      <c r="R595" s="7">
        <f t="shared" si="54"/>
        <v>239</v>
      </c>
      <c r="S595" t="s">
        <v>180</v>
      </c>
      <c r="T595" t="s">
        <v>114</v>
      </c>
      <c r="U595" t="s">
        <v>180</v>
      </c>
      <c r="W595" t="s">
        <v>114</v>
      </c>
      <c r="X595" t="s">
        <v>1876</v>
      </c>
      <c r="Y595" t="s">
        <v>1876</v>
      </c>
      <c r="Z595" t="s">
        <v>5109</v>
      </c>
      <c r="AE595" t="s">
        <v>5110</v>
      </c>
      <c r="AF595" t="s">
        <v>346</v>
      </c>
      <c r="AG595" t="s">
        <v>347</v>
      </c>
      <c r="AH595" t="s">
        <v>123</v>
      </c>
      <c r="AI595" t="s">
        <v>124</v>
      </c>
      <c r="AK595" t="s">
        <v>126</v>
      </c>
      <c r="AN595" t="s">
        <v>2957</v>
      </c>
      <c r="AO595" t="s">
        <v>2958</v>
      </c>
      <c r="AP595" t="s">
        <v>2959</v>
      </c>
      <c r="AQ595" t="s">
        <v>131</v>
      </c>
      <c r="AR595" t="s">
        <v>132</v>
      </c>
      <c r="AS595" t="s">
        <v>352</v>
      </c>
      <c r="AT595" t="s">
        <v>353</v>
      </c>
      <c r="AV595" t="s">
        <v>1490</v>
      </c>
      <c r="AX595" t="s">
        <v>136</v>
      </c>
      <c r="AY595" t="s">
        <v>177</v>
      </c>
      <c r="AZ595" t="s">
        <v>138</v>
      </c>
      <c r="BA595" t="s">
        <v>5111</v>
      </c>
      <c r="BC595" t="s">
        <v>140</v>
      </c>
      <c r="BT595" s="7">
        <f t="shared" si="55"/>
        <v>239</v>
      </c>
      <c r="BU595" s="6">
        <f t="shared" si="56"/>
        <v>223.36448598130841</v>
      </c>
      <c r="BV595" s="6">
        <f t="shared" si="57"/>
        <v>15.635514018691588</v>
      </c>
      <c r="BW595" s="6">
        <f t="shared" si="58"/>
        <v>239</v>
      </c>
      <c r="BX595" s="6">
        <f t="shared" si="59"/>
        <v>0</v>
      </c>
    </row>
    <row r="596" spans="1:76" x14ac:dyDescent="0.35">
      <c r="A596" t="s">
        <v>5108</v>
      </c>
      <c r="B596" t="s">
        <v>336</v>
      </c>
      <c r="C596" t="s">
        <v>336</v>
      </c>
      <c r="D596" t="s">
        <v>337</v>
      </c>
      <c r="E596" t="s">
        <v>108</v>
      </c>
      <c r="F596" t="s">
        <v>268</v>
      </c>
      <c r="G596" t="s">
        <v>269</v>
      </c>
      <c r="H596" t="s">
        <v>2268</v>
      </c>
      <c r="I596" t="s">
        <v>271</v>
      </c>
      <c r="J596" t="s">
        <v>113</v>
      </c>
      <c r="K596" s="8" t="s">
        <v>113</v>
      </c>
      <c r="L596" t="s">
        <v>114</v>
      </c>
      <c r="M596" s="6">
        <v>0</v>
      </c>
      <c r="N596" t="s">
        <v>114</v>
      </c>
      <c r="O596" s="6">
        <v>0</v>
      </c>
      <c r="P596" t="s">
        <v>114</v>
      </c>
      <c r="Q596" s="6">
        <v>0</v>
      </c>
      <c r="R596" s="7">
        <f t="shared" si="54"/>
        <v>0</v>
      </c>
      <c r="S596" t="s">
        <v>180</v>
      </c>
      <c r="T596" t="s">
        <v>114</v>
      </c>
      <c r="U596" t="s">
        <v>180</v>
      </c>
      <c r="W596" t="s">
        <v>114</v>
      </c>
      <c r="X596" t="s">
        <v>1876</v>
      </c>
      <c r="Y596" t="s">
        <v>114</v>
      </c>
      <c r="Z596" t="s">
        <v>5109</v>
      </c>
      <c r="AE596" t="s">
        <v>5110</v>
      </c>
      <c r="AF596" t="s">
        <v>346</v>
      </c>
      <c r="AG596" t="s">
        <v>347</v>
      </c>
      <c r="AH596" t="s">
        <v>123</v>
      </c>
      <c r="AI596" t="s">
        <v>124</v>
      </c>
      <c r="AK596" t="s">
        <v>126</v>
      </c>
      <c r="AN596" t="s">
        <v>2957</v>
      </c>
      <c r="AO596" t="s">
        <v>2958</v>
      </c>
      <c r="AP596" t="s">
        <v>2959</v>
      </c>
      <c r="AQ596" t="s">
        <v>131</v>
      </c>
      <c r="AR596" t="s">
        <v>132</v>
      </c>
      <c r="AS596" t="s">
        <v>352</v>
      </c>
      <c r="AT596" t="s">
        <v>353</v>
      </c>
      <c r="AV596" t="s">
        <v>1490</v>
      </c>
      <c r="AX596" t="s">
        <v>136</v>
      </c>
      <c r="AY596" t="s">
        <v>272</v>
      </c>
      <c r="AZ596" t="s">
        <v>273</v>
      </c>
      <c r="BA596" t="s">
        <v>5111</v>
      </c>
      <c r="BC596" t="s">
        <v>140</v>
      </c>
      <c r="BT596" s="7">
        <f t="shared" si="55"/>
        <v>0</v>
      </c>
      <c r="BU596" s="6">
        <f t="shared" si="56"/>
        <v>0</v>
      </c>
      <c r="BV596" s="6">
        <f t="shared" si="57"/>
        <v>0</v>
      </c>
      <c r="BW596" s="6">
        <f t="shared" si="58"/>
        <v>0</v>
      </c>
      <c r="BX596" s="6">
        <f t="shared" si="59"/>
        <v>0</v>
      </c>
    </row>
    <row r="597" spans="1:76" x14ac:dyDescent="0.35">
      <c r="A597" t="s">
        <v>5112</v>
      </c>
      <c r="B597" t="s">
        <v>107</v>
      </c>
      <c r="C597" t="s">
        <v>107</v>
      </c>
      <c r="F597" t="s">
        <v>358</v>
      </c>
      <c r="G597" t="s">
        <v>359</v>
      </c>
      <c r="H597" t="s">
        <v>360</v>
      </c>
      <c r="I597" t="s">
        <v>341</v>
      </c>
      <c r="J597" t="s">
        <v>113</v>
      </c>
      <c r="K597" s="8" t="s">
        <v>114</v>
      </c>
      <c r="L597" t="s">
        <v>114</v>
      </c>
      <c r="M597" s="6">
        <v>0</v>
      </c>
      <c r="N597" t="s">
        <v>114</v>
      </c>
      <c r="O597" s="6">
        <v>0</v>
      </c>
      <c r="P597" t="s">
        <v>114</v>
      </c>
      <c r="Q597" s="6">
        <v>0</v>
      </c>
      <c r="R597" s="7">
        <f t="shared" si="54"/>
        <v>0</v>
      </c>
      <c r="S597" t="s">
        <v>114</v>
      </c>
      <c r="T597" t="s">
        <v>114</v>
      </c>
      <c r="U597" t="s">
        <v>114</v>
      </c>
      <c r="W597" t="s">
        <v>114</v>
      </c>
      <c r="X597" t="s">
        <v>114</v>
      </c>
      <c r="Z597" t="s">
        <v>5113</v>
      </c>
      <c r="AA597" t="s">
        <v>5113</v>
      </c>
      <c r="AB597" s="1" t="s">
        <v>5031</v>
      </c>
      <c r="AC597" t="s">
        <v>5114</v>
      </c>
      <c r="AD597" t="s">
        <v>5115</v>
      </c>
      <c r="AH597" t="s">
        <v>123</v>
      </c>
      <c r="AI597" t="s">
        <v>124</v>
      </c>
      <c r="AJ597" t="s">
        <v>5116</v>
      </c>
      <c r="AK597" t="s">
        <v>126</v>
      </c>
      <c r="AL597" t="s">
        <v>127</v>
      </c>
      <c r="AN597" t="s">
        <v>5117</v>
      </c>
      <c r="AO597" t="s">
        <v>5118</v>
      </c>
      <c r="AP597" t="s">
        <v>5119</v>
      </c>
      <c r="AQ597" t="s">
        <v>131</v>
      </c>
      <c r="AR597" t="s">
        <v>132</v>
      </c>
      <c r="AS597" t="s">
        <v>1146</v>
      </c>
      <c r="AT597" t="s">
        <v>3372</v>
      </c>
      <c r="AV597" t="s">
        <v>3795</v>
      </c>
      <c r="AW597" t="s">
        <v>638</v>
      </c>
      <c r="AY597" t="s">
        <v>177</v>
      </c>
      <c r="AZ597" t="s">
        <v>364</v>
      </c>
      <c r="BA597" t="s">
        <v>5120</v>
      </c>
      <c r="BC597" t="s">
        <v>140</v>
      </c>
      <c r="BT597" s="7">
        <f t="shared" si="55"/>
        <v>0</v>
      </c>
      <c r="BU597" s="6">
        <f t="shared" si="56"/>
        <v>0</v>
      </c>
      <c r="BV597" s="6">
        <f t="shared" si="57"/>
        <v>0</v>
      </c>
      <c r="BW597" s="6">
        <f t="shared" si="58"/>
        <v>0</v>
      </c>
      <c r="BX597" s="6">
        <f t="shared" si="59"/>
        <v>0</v>
      </c>
    </row>
    <row r="598" spans="1:76" x14ac:dyDescent="0.35">
      <c r="A598" t="s">
        <v>5121</v>
      </c>
      <c r="B598" t="s">
        <v>107</v>
      </c>
      <c r="C598" t="s">
        <v>107</v>
      </c>
      <c r="F598" t="s">
        <v>358</v>
      </c>
      <c r="G598" t="s">
        <v>359</v>
      </c>
      <c r="H598" t="s">
        <v>360</v>
      </c>
      <c r="I598" t="s">
        <v>341</v>
      </c>
      <c r="J598" t="s">
        <v>113</v>
      </c>
      <c r="K598" s="8" t="s">
        <v>114</v>
      </c>
      <c r="L598" t="s">
        <v>114</v>
      </c>
      <c r="M598" s="6">
        <v>0</v>
      </c>
      <c r="N598" t="s">
        <v>114</v>
      </c>
      <c r="O598" s="6">
        <v>0</v>
      </c>
      <c r="P598" t="s">
        <v>114</v>
      </c>
      <c r="Q598" s="6">
        <v>0</v>
      </c>
      <c r="R598" s="7">
        <f t="shared" si="54"/>
        <v>0</v>
      </c>
      <c r="S598" t="s">
        <v>114</v>
      </c>
      <c r="T598" t="s">
        <v>114</v>
      </c>
      <c r="U598" t="s">
        <v>114</v>
      </c>
      <c r="W598" t="s">
        <v>114</v>
      </c>
      <c r="X598" t="s">
        <v>114</v>
      </c>
      <c r="Z598" t="s">
        <v>5122</v>
      </c>
      <c r="AA598" t="s">
        <v>5122</v>
      </c>
      <c r="AB598" s="1" t="s">
        <v>5031</v>
      </c>
      <c r="AC598" t="s">
        <v>5123</v>
      </c>
      <c r="AD598" t="s">
        <v>5124</v>
      </c>
      <c r="AH598" t="s">
        <v>123</v>
      </c>
      <c r="AI598" t="s">
        <v>124</v>
      </c>
      <c r="AJ598" t="s">
        <v>5125</v>
      </c>
      <c r="AK598" t="s">
        <v>126</v>
      </c>
      <c r="AL598" t="s">
        <v>127</v>
      </c>
      <c r="AN598" t="s">
        <v>5126</v>
      </c>
      <c r="AO598" t="s">
        <v>2814</v>
      </c>
      <c r="AP598" t="s">
        <v>5127</v>
      </c>
      <c r="AQ598" t="s">
        <v>131</v>
      </c>
      <c r="AR598" t="s">
        <v>132</v>
      </c>
      <c r="AS598" t="s">
        <v>720</v>
      </c>
      <c r="AT598" t="s">
        <v>1402</v>
      </c>
      <c r="AV598" t="s">
        <v>610</v>
      </c>
      <c r="AY598" t="s">
        <v>177</v>
      </c>
      <c r="AZ598" t="s">
        <v>364</v>
      </c>
      <c r="BA598" t="s">
        <v>5128</v>
      </c>
      <c r="BC598" t="s">
        <v>140</v>
      </c>
      <c r="BT598" s="7">
        <f t="shared" si="55"/>
        <v>0</v>
      </c>
      <c r="BU598" s="6">
        <f t="shared" si="56"/>
        <v>0</v>
      </c>
      <c r="BV598" s="6">
        <f t="shared" si="57"/>
        <v>0</v>
      </c>
      <c r="BW598" s="6">
        <f t="shared" si="58"/>
        <v>0</v>
      </c>
      <c r="BX598" s="6">
        <f t="shared" si="59"/>
        <v>0</v>
      </c>
    </row>
    <row r="599" spans="1:76" x14ac:dyDescent="0.35">
      <c r="A599" t="s">
        <v>5129</v>
      </c>
      <c r="B599" t="s">
        <v>107</v>
      </c>
      <c r="C599" t="s">
        <v>107</v>
      </c>
      <c r="F599" t="s">
        <v>358</v>
      </c>
      <c r="G599" t="s">
        <v>359</v>
      </c>
      <c r="H599" t="s">
        <v>360</v>
      </c>
      <c r="I599" t="s">
        <v>341</v>
      </c>
      <c r="J599" t="s">
        <v>113</v>
      </c>
      <c r="K599" s="8" t="s">
        <v>114</v>
      </c>
      <c r="L599" t="s">
        <v>114</v>
      </c>
      <c r="M599" s="6">
        <v>0</v>
      </c>
      <c r="N599" t="s">
        <v>114</v>
      </c>
      <c r="O599" s="6">
        <v>0</v>
      </c>
      <c r="P599" t="s">
        <v>114</v>
      </c>
      <c r="Q599" s="6">
        <v>0</v>
      </c>
      <c r="R599" s="7">
        <f t="shared" si="54"/>
        <v>0</v>
      </c>
      <c r="S599" t="s">
        <v>114</v>
      </c>
      <c r="T599" t="s">
        <v>114</v>
      </c>
      <c r="U599" t="s">
        <v>114</v>
      </c>
      <c r="W599" t="s">
        <v>114</v>
      </c>
      <c r="X599" t="s">
        <v>114</v>
      </c>
      <c r="Z599" t="s">
        <v>5130</v>
      </c>
      <c r="AA599" t="s">
        <v>5130</v>
      </c>
      <c r="AB599" s="1" t="s">
        <v>5031</v>
      </c>
      <c r="AC599" t="s">
        <v>5131</v>
      </c>
      <c r="AD599" t="s">
        <v>5132</v>
      </c>
      <c r="AH599" t="s">
        <v>123</v>
      </c>
      <c r="AI599" t="s">
        <v>124</v>
      </c>
      <c r="AJ599" t="s">
        <v>5133</v>
      </c>
      <c r="AK599" t="s">
        <v>126</v>
      </c>
      <c r="AL599" t="s">
        <v>127</v>
      </c>
      <c r="AN599" t="s">
        <v>5134</v>
      </c>
      <c r="AO599" t="s">
        <v>2159</v>
      </c>
      <c r="AP599" t="s">
        <v>5135</v>
      </c>
      <c r="AQ599" t="s">
        <v>131</v>
      </c>
      <c r="AR599" t="s">
        <v>132</v>
      </c>
      <c r="AS599" t="s">
        <v>1464</v>
      </c>
      <c r="AT599" t="s">
        <v>5136</v>
      </c>
      <c r="AV599" t="s">
        <v>354</v>
      </c>
      <c r="AW599" t="s">
        <v>2008</v>
      </c>
      <c r="AY599" t="s">
        <v>177</v>
      </c>
      <c r="AZ599" t="s">
        <v>364</v>
      </c>
      <c r="BA599" t="s">
        <v>5137</v>
      </c>
      <c r="BC599" t="s">
        <v>140</v>
      </c>
      <c r="BT599" s="7">
        <f t="shared" si="55"/>
        <v>0</v>
      </c>
      <c r="BU599" s="6">
        <f t="shared" si="56"/>
        <v>0</v>
      </c>
      <c r="BV599" s="6">
        <f t="shared" si="57"/>
        <v>0</v>
      </c>
      <c r="BW599" s="6">
        <f t="shared" si="58"/>
        <v>0</v>
      </c>
      <c r="BX599" s="6">
        <f t="shared" si="59"/>
        <v>0</v>
      </c>
    </row>
    <row r="600" spans="1:76" x14ac:dyDescent="0.35">
      <c r="A600" t="s">
        <v>5138</v>
      </c>
      <c r="B600" t="s">
        <v>107</v>
      </c>
      <c r="C600" t="s">
        <v>107</v>
      </c>
      <c r="F600" t="s">
        <v>358</v>
      </c>
      <c r="G600" t="s">
        <v>359</v>
      </c>
      <c r="H600" t="s">
        <v>360</v>
      </c>
      <c r="I600" t="s">
        <v>341</v>
      </c>
      <c r="J600" t="s">
        <v>113</v>
      </c>
      <c r="K600" s="8" t="s">
        <v>114</v>
      </c>
      <c r="L600" t="s">
        <v>114</v>
      </c>
      <c r="M600" s="6">
        <v>0</v>
      </c>
      <c r="N600" t="s">
        <v>114</v>
      </c>
      <c r="O600" s="6">
        <v>0</v>
      </c>
      <c r="P600" t="s">
        <v>114</v>
      </c>
      <c r="Q600" s="6">
        <v>0</v>
      </c>
      <c r="R600" s="7">
        <f t="shared" si="54"/>
        <v>0</v>
      </c>
      <c r="S600" t="s">
        <v>114</v>
      </c>
      <c r="T600" t="s">
        <v>114</v>
      </c>
      <c r="U600" t="s">
        <v>114</v>
      </c>
      <c r="W600" t="s">
        <v>114</v>
      </c>
      <c r="X600" t="s">
        <v>114</v>
      </c>
      <c r="Z600" t="s">
        <v>5139</v>
      </c>
      <c r="AA600" t="s">
        <v>5140</v>
      </c>
      <c r="AB600" s="1" t="s">
        <v>5031</v>
      </c>
      <c r="AC600" t="s">
        <v>5141</v>
      </c>
      <c r="AD600" t="s">
        <v>5142</v>
      </c>
      <c r="AH600" t="s">
        <v>123</v>
      </c>
      <c r="AI600" t="s">
        <v>124</v>
      </c>
      <c r="AJ600" t="s">
        <v>5143</v>
      </c>
      <c r="AK600" t="s">
        <v>126</v>
      </c>
      <c r="AL600" t="s">
        <v>127</v>
      </c>
      <c r="AN600" t="s">
        <v>5144</v>
      </c>
      <c r="AO600" t="s">
        <v>5145</v>
      </c>
      <c r="AP600" t="s">
        <v>5146</v>
      </c>
      <c r="AQ600" t="s">
        <v>131</v>
      </c>
      <c r="AR600" t="s">
        <v>132</v>
      </c>
      <c r="AS600" t="s">
        <v>1369</v>
      </c>
      <c r="AT600" t="s">
        <v>1370</v>
      </c>
      <c r="AV600" t="s">
        <v>375</v>
      </c>
      <c r="AY600" t="s">
        <v>177</v>
      </c>
      <c r="AZ600" t="s">
        <v>364</v>
      </c>
      <c r="BA600" t="s">
        <v>5147</v>
      </c>
      <c r="BC600" t="s">
        <v>140</v>
      </c>
      <c r="BT600" s="7">
        <f t="shared" si="55"/>
        <v>0</v>
      </c>
      <c r="BU600" s="6">
        <f t="shared" si="56"/>
        <v>0</v>
      </c>
      <c r="BV600" s="6">
        <f t="shared" si="57"/>
        <v>0</v>
      </c>
      <c r="BW600" s="6">
        <f t="shared" si="58"/>
        <v>0</v>
      </c>
      <c r="BX600" s="6">
        <f t="shared" si="59"/>
        <v>0</v>
      </c>
    </row>
    <row r="601" spans="1:76" x14ac:dyDescent="0.35">
      <c r="A601" t="s">
        <v>5148</v>
      </c>
      <c r="B601" t="s">
        <v>107</v>
      </c>
      <c r="C601" t="s">
        <v>107</v>
      </c>
      <c r="F601" t="s">
        <v>158</v>
      </c>
      <c r="G601" t="s">
        <v>159</v>
      </c>
      <c r="H601" t="s">
        <v>111</v>
      </c>
      <c r="I601" t="s">
        <v>341</v>
      </c>
      <c r="J601" t="s">
        <v>113</v>
      </c>
      <c r="K601" s="8" t="s">
        <v>114</v>
      </c>
      <c r="L601" t="s">
        <v>114</v>
      </c>
      <c r="M601" s="6">
        <v>0</v>
      </c>
      <c r="N601" t="s">
        <v>114</v>
      </c>
      <c r="O601" s="6">
        <v>0</v>
      </c>
      <c r="P601" t="s">
        <v>114</v>
      </c>
      <c r="Q601" s="6">
        <v>0</v>
      </c>
      <c r="R601" s="7">
        <f t="shared" si="54"/>
        <v>0</v>
      </c>
      <c r="S601" t="s">
        <v>114</v>
      </c>
      <c r="T601" t="s">
        <v>114</v>
      </c>
      <c r="U601" t="s">
        <v>114</v>
      </c>
      <c r="W601" t="s">
        <v>114</v>
      </c>
      <c r="X601" t="s">
        <v>114</v>
      </c>
      <c r="Z601" t="s">
        <v>5149</v>
      </c>
      <c r="AA601" t="s">
        <v>5149</v>
      </c>
      <c r="AB601" s="1" t="s">
        <v>5031</v>
      </c>
      <c r="AC601" t="s">
        <v>5150</v>
      </c>
      <c r="AD601" t="s">
        <v>5151</v>
      </c>
      <c r="AH601" t="s">
        <v>123</v>
      </c>
      <c r="AI601" t="s">
        <v>124</v>
      </c>
      <c r="AJ601" t="s">
        <v>5152</v>
      </c>
      <c r="AK601" t="s">
        <v>126</v>
      </c>
      <c r="AL601" t="s">
        <v>127</v>
      </c>
      <c r="AN601" t="s">
        <v>5153</v>
      </c>
      <c r="AO601" t="s">
        <v>5154</v>
      </c>
      <c r="AP601" t="s">
        <v>5155</v>
      </c>
      <c r="AQ601" t="s">
        <v>131</v>
      </c>
      <c r="AR601" t="s">
        <v>132</v>
      </c>
      <c r="AS601" t="s">
        <v>796</v>
      </c>
      <c r="AT601" t="s">
        <v>2224</v>
      </c>
      <c r="AV601" t="s">
        <v>654</v>
      </c>
      <c r="AY601" t="s">
        <v>177</v>
      </c>
      <c r="AZ601" t="s">
        <v>138</v>
      </c>
      <c r="BA601" t="s">
        <v>5156</v>
      </c>
      <c r="BC601" t="s">
        <v>140</v>
      </c>
      <c r="BT601" s="7">
        <f t="shared" si="55"/>
        <v>0</v>
      </c>
      <c r="BU601" s="6">
        <f t="shared" si="56"/>
        <v>0</v>
      </c>
      <c r="BV601" s="6">
        <f t="shared" si="57"/>
        <v>0</v>
      </c>
      <c r="BW601" s="6">
        <f t="shared" si="58"/>
        <v>0</v>
      </c>
      <c r="BX601" s="6">
        <f t="shared" si="59"/>
        <v>0</v>
      </c>
    </row>
    <row r="602" spans="1:76" x14ac:dyDescent="0.35">
      <c r="A602" t="s">
        <v>5157</v>
      </c>
      <c r="B602" t="s">
        <v>107</v>
      </c>
      <c r="C602" t="s">
        <v>107</v>
      </c>
      <c r="F602" t="s">
        <v>358</v>
      </c>
      <c r="G602" t="s">
        <v>359</v>
      </c>
      <c r="H602" t="s">
        <v>360</v>
      </c>
      <c r="I602" t="s">
        <v>341</v>
      </c>
      <c r="J602" t="s">
        <v>113</v>
      </c>
      <c r="K602" s="8" t="s">
        <v>114</v>
      </c>
      <c r="L602" t="s">
        <v>114</v>
      </c>
      <c r="M602" s="6">
        <v>0</v>
      </c>
      <c r="N602" t="s">
        <v>114</v>
      </c>
      <c r="O602" s="6">
        <v>0</v>
      </c>
      <c r="P602" t="s">
        <v>114</v>
      </c>
      <c r="Q602" s="6">
        <v>0</v>
      </c>
      <c r="R602" s="7">
        <f t="shared" si="54"/>
        <v>0</v>
      </c>
      <c r="S602" t="s">
        <v>114</v>
      </c>
      <c r="T602" t="s">
        <v>114</v>
      </c>
      <c r="U602" t="s">
        <v>114</v>
      </c>
      <c r="W602" t="s">
        <v>114</v>
      </c>
      <c r="X602" t="s">
        <v>114</v>
      </c>
      <c r="Z602" t="s">
        <v>5158</v>
      </c>
      <c r="AA602" t="s">
        <v>5159</v>
      </c>
      <c r="AB602" s="1" t="s">
        <v>5160</v>
      </c>
      <c r="AC602" t="s">
        <v>5161</v>
      </c>
      <c r="AD602" t="s">
        <v>5162</v>
      </c>
      <c r="AH602" t="s">
        <v>123</v>
      </c>
      <c r="AI602" t="s">
        <v>124</v>
      </c>
      <c r="AJ602" t="s">
        <v>5163</v>
      </c>
      <c r="AK602" t="s">
        <v>126</v>
      </c>
      <c r="AL602" t="s">
        <v>127</v>
      </c>
      <c r="AN602" t="s">
        <v>5164</v>
      </c>
      <c r="AO602" t="s">
        <v>5165</v>
      </c>
      <c r="AP602" t="s">
        <v>5166</v>
      </c>
      <c r="AQ602" t="s">
        <v>131</v>
      </c>
      <c r="AR602" t="s">
        <v>132</v>
      </c>
      <c r="AS602" t="s">
        <v>3195</v>
      </c>
      <c r="AT602" t="s">
        <v>5167</v>
      </c>
      <c r="AV602" t="s">
        <v>572</v>
      </c>
      <c r="AY602" t="s">
        <v>177</v>
      </c>
      <c r="AZ602" t="s">
        <v>364</v>
      </c>
      <c r="BA602" t="s">
        <v>5168</v>
      </c>
      <c r="BC602" t="s">
        <v>140</v>
      </c>
      <c r="BT602" s="7">
        <f t="shared" si="55"/>
        <v>0</v>
      </c>
      <c r="BU602" s="6">
        <f t="shared" si="56"/>
        <v>0</v>
      </c>
      <c r="BV602" s="6">
        <f t="shared" si="57"/>
        <v>0</v>
      </c>
      <c r="BW602" s="6">
        <f t="shared" si="58"/>
        <v>0</v>
      </c>
      <c r="BX602" s="6">
        <f t="shared" si="59"/>
        <v>0</v>
      </c>
    </row>
    <row r="603" spans="1:76" x14ac:dyDescent="0.35">
      <c r="A603" t="s">
        <v>5169</v>
      </c>
      <c r="B603" t="s">
        <v>107</v>
      </c>
      <c r="C603" t="s">
        <v>107</v>
      </c>
      <c r="F603" t="s">
        <v>358</v>
      </c>
      <c r="G603" t="s">
        <v>359</v>
      </c>
      <c r="H603" t="s">
        <v>360</v>
      </c>
      <c r="I603" t="s">
        <v>341</v>
      </c>
      <c r="J603" t="s">
        <v>113</v>
      </c>
      <c r="K603" s="8" t="s">
        <v>114</v>
      </c>
      <c r="L603" t="s">
        <v>114</v>
      </c>
      <c r="M603" s="6">
        <v>0</v>
      </c>
      <c r="N603" t="s">
        <v>114</v>
      </c>
      <c r="O603" s="6">
        <v>0</v>
      </c>
      <c r="P603" t="s">
        <v>114</v>
      </c>
      <c r="Q603" s="6">
        <v>0</v>
      </c>
      <c r="R603" s="7">
        <f t="shared" si="54"/>
        <v>0</v>
      </c>
      <c r="S603" t="s">
        <v>114</v>
      </c>
      <c r="T603" t="s">
        <v>114</v>
      </c>
      <c r="U603" t="s">
        <v>114</v>
      </c>
      <c r="W603" t="s">
        <v>114</v>
      </c>
      <c r="X603" t="s">
        <v>114</v>
      </c>
      <c r="Z603" t="s">
        <v>5170</v>
      </c>
      <c r="AA603" t="s">
        <v>5170</v>
      </c>
      <c r="AB603" s="1" t="s">
        <v>5171</v>
      </c>
      <c r="AC603" t="s">
        <v>5172</v>
      </c>
      <c r="AD603" t="s">
        <v>5173</v>
      </c>
      <c r="AH603" t="s">
        <v>123</v>
      </c>
      <c r="AI603" t="s">
        <v>124</v>
      </c>
      <c r="AJ603" t="s">
        <v>5174</v>
      </c>
      <c r="AK603" t="s">
        <v>126</v>
      </c>
      <c r="AL603" t="s">
        <v>127</v>
      </c>
      <c r="AN603" t="s">
        <v>5175</v>
      </c>
      <c r="AO603" t="s">
        <v>5176</v>
      </c>
      <c r="AP603" t="s">
        <v>5177</v>
      </c>
      <c r="AQ603" t="s">
        <v>131</v>
      </c>
      <c r="AR603" t="s">
        <v>132</v>
      </c>
      <c r="AS603" t="s">
        <v>352</v>
      </c>
      <c r="AT603" t="s">
        <v>667</v>
      </c>
      <c r="AV603" t="s">
        <v>810</v>
      </c>
      <c r="AW603" t="s">
        <v>638</v>
      </c>
      <c r="AY603" t="s">
        <v>177</v>
      </c>
      <c r="AZ603" t="s">
        <v>364</v>
      </c>
      <c r="BA603" t="s">
        <v>5178</v>
      </c>
      <c r="BC603" t="s">
        <v>140</v>
      </c>
      <c r="BT603" s="7">
        <f t="shared" si="55"/>
        <v>0</v>
      </c>
      <c r="BU603" s="6">
        <f t="shared" si="56"/>
        <v>0</v>
      </c>
      <c r="BV603" s="6">
        <f t="shared" si="57"/>
        <v>0</v>
      </c>
      <c r="BW603" s="6">
        <f t="shared" si="58"/>
        <v>0</v>
      </c>
      <c r="BX603" s="6">
        <f t="shared" si="59"/>
        <v>0</v>
      </c>
    </row>
    <row r="604" spans="1:76" x14ac:dyDescent="0.35">
      <c r="A604" t="s">
        <v>5179</v>
      </c>
      <c r="B604" t="s">
        <v>107</v>
      </c>
      <c r="C604" t="s">
        <v>107</v>
      </c>
      <c r="F604" t="s">
        <v>158</v>
      </c>
      <c r="G604" t="s">
        <v>159</v>
      </c>
      <c r="H604" t="s">
        <v>111</v>
      </c>
      <c r="I604" t="s">
        <v>341</v>
      </c>
      <c r="J604" t="s">
        <v>113</v>
      </c>
      <c r="K604" s="8" t="s">
        <v>114</v>
      </c>
      <c r="L604" t="s">
        <v>114</v>
      </c>
      <c r="M604" s="6">
        <v>0</v>
      </c>
      <c r="N604" t="s">
        <v>114</v>
      </c>
      <c r="O604" s="6">
        <v>0</v>
      </c>
      <c r="P604" t="s">
        <v>114</v>
      </c>
      <c r="Q604" s="6">
        <v>0</v>
      </c>
      <c r="R604" s="7">
        <f t="shared" si="54"/>
        <v>0</v>
      </c>
      <c r="S604" t="s">
        <v>114</v>
      </c>
      <c r="T604" t="s">
        <v>114</v>
      </c>
      <c r="U604" t="s">
        <v>114</v>
      </c>
      <c r="W604" t="s">
        <v>114</v>
      </c>
      <c r="X604" t="s">
        <v>114</v>
      </c>
      <c r="Z604" t="s">
        <v>5180</v>
      </c>
      <c r="AA604" t="s">
        <v>5180</v>
      </c>
      <c r="AB604" s="1" t="s">
        <v>5171</v>
      </c>
      <c r="AC604" t="s">
        <v>5181</v>
      </c>
      <c r="AD604" t="s">
        <v>5182</v>
      </c>
      <c r="AH604" t="s">
        <v>123</v>
      </c>
      <c r="AI604" t="s">
        <v>124</v>
      </c>
      <c r="AJ604" t="s">
        <v>5183</v>
      </c>
      <c r="AK604" t="s">
        <v>126</v>
      </c>
      <c r="AL604" t="s">
        <v>127</v>
      </c>
      <c r="AN604" t="s">
        <v>5184</v>
      </c>
      <c r="AO604" t="s">
        <v>5185</v>
      </c>
      <c r="AP604" t="s">
        <v>5186</v>
      </c>
      <c r="AQ604" t="s">
        <v>131</v>
      </c>
      <c r="AR604" t="s">
        <v>132</v>
      </c>
      <c r="AS604" t="s">
        <v>331</v>
      </c>
      <c r="AT604" t="s">
        <v>4997</v>
      </c>
      <c r="AV604" t="s">
        <v>495</v>
      </c>
      <c r="AY604" t="s">
        <v>177</v>
      </c>
      <c r="AZ604" t="s">
        <v>138</v>
      </c>
      <c r="BA604" t="s">
        <v>5187</v>
      </c>
      <c r="BC604" t="s">
        <v>140</v>
      </c>
      <c r="BT604" s="7">
        <f t="shared" si="55"/>
        <v>0</v>
      </c>
      <c r="BU604" s="6">
        <f t="shared" si="56"/>
        <v>0</v>
      </c>
      <c r="BV604" s="6">
        <f t="shared" si="57"/>
        <v>0</v>
      </c>
      <c r="BW604" s="6">
        <f t="shared" si="58"/>
        <v>0</v>
      </c>
      <c r="BX604" s="6">
        <f t="shared" si="59"/>
        <v>0</v>
      </c>
    </row>
    <row r="605" spans="1:76" x14ac:dyDescent="0.35">
      <c r="A605" t="s">
        <v>5179</v>
      </c>
      <c r="B605" t="s">
        <v>107</v>
      </c>
      <c r="C605" t="s">
        <v>107</v>
      </c>
      <c r="F605" t="s">
        <v>358</v>
      </c>
      <c r="G605" t="s">
        <v>359</v>
      </c>
      <c r="H605" t="s">
        <v>360</v>
      </c>
      <c r="I605" t="s">
        <v>341</v>
      </c>
      <c r="J605" t="s">
        <v>113</v>
      </c>
      <c r="K605" s="8" t="s">
        <v>114</v>
      </c>
      <c r="L605" t="s">
        <v>114</v>
      </c>
      <c r="M605" s="6">
        <v>0</v>
      </c>
      <c r="N605" t="s">
        <v>114</v>
      </c>
      <c r="O605" s="6">
        <v>0</v>
      </c>
      <c r="P605" t="s">
        <v>114</v>
      </c>
      <c r="Q605" s="6">
        <v>0</v>
      </c>
      <c r="R605" s="7">
        <f t="shared" si="54"/>
        <v>0</v>
      </c>
      <c r="S605" t="s">
        <v>114</v>
      </c>
      <c r="T605" t="s">
        <v>114</v>
      </c>
      <c r="U605" t="s">
        <v>114</v>
      </c>
      <c r="W605" t="s">
        <v>114</v>
      </c>
      <c r="X605" t="s">
        <v>114</v>
      </c>
      <c r="Z605" t="s">
        <v>5180</v>
      </c>
      <c r="AA605" t="s">
        <v>5180</v>
      </c>
      <c r="AB605" s="1" t="s">
        <v>5171</v>
      </c>
      <c r="AC605" t="s">
        <v>5181</v>
      </c>
      <c r="AD605" t="s">
        <v>5182</v>
      </c>
      <c r="AH605" t="s">
        <v>123</v>
      </c>
      <c r="AI605" t="s">
        <v>124</v>
      </c>
      <c r="AJ605" t="s">
        <v>5183</v>
      </c>
      <c r="AK605" t="s">
        <v>126</v>
      </c>
      <c r="AL605" t="s">
        <v>127</v>
      </c>
      <c r="AN605" t="s">
        <v>5184</v>
      </c>
      <c r="AO605" t="s">
        <v>5185</v>
      </c>
      <c r="AP605" t="s">
        <v>5186</v>
      </c>
      <c r="AQ605" t="s">
        <v>131</v>
      </c>
      <c r="AR605" t="s">
        <v>132</v>
      </c>
      <c r="AS605" t="s">
        <v>331</v>
      </c>
      <c r="AT605" t="s">
        <v>4997</v>
      </c>
      <c r="AV605" t="s">
        <v>495</v>
      </c>
      <c r="AY605" t="s">
        <v>177</v>
      </c>
      <c r="AZ605" t="s">
        <v>364</v>
      </c>
      <c r="BA605" t="s">
        <v>5187</v>
      </c>
      <c r="BC605" t="s">
        <v>140</v>
      </c>
      <c r="BT605" s="7">
        <f t="shared" si="55"/>
        <v>0</v>
      </c>
      <c r="BU605" s="6">
        <f t="shared" si="56"/>
        <v>0</v>
      </c>
      <c r="BV605" s="6">
        <f t="shared" si="57"/>
        <v>0</v>
      </c>
      <c r="BW605" s="6">
        <f t="shared" si="58"/>
        <v>0</v>
      </c>
      <c r="BX605" s="6">
        <f t="shared" si="59"/>
        <v>0</v>
      </c>
    </row>
    <row r="606" spans="1:76" x14ac:dyDescent="0.35">
      <c r="A606" t="s">
        <v>5188</v>
      </c>
      <c r="B606" t="s">
        <v>107</v>
      </c>
      <c r="C606" t="s">
        <v>107</v>
      </c>
      <c r="F606" t="s">
        <v>158</v>
      </c>
      <c r="G606" t="s">
        <v>159</v>
      </c>
      <c r="H606" t="s">
        <v>111</v>
      </c>
      <c r="I606" t="s">
        <v>341</v>
      </c>
      <c r="J606" t="s">
        <v>113</v>
      </c>
      <c r="K606" s="8" t="s">
        <v>114</v>
      </c>
      <c r="L606" t="s">
        <v>114</v>
      </c>
      <c r="M606" s="6">
        <v>0</v>
      </c>
      <c r="N606" t="s">
        <v>114</v>
      </c>
      <c r="O606" s="6">
        <v>0</v>
      </c>
      <c r="P606" t="s">
        <v>114</v>
      </c>
      <c r="Q606" s="6">
        <v>0</v>
      </c>
      <c r="R606" s="7">
        <f t="shared" si="54"/>
        <v>0</v>
      </c>
      <c r="S606" t="s">
        <v>114</v>
      </c>
      <c r="T606" t="s">
        <v>114</v>
      </c>
      <c r="U606" t="s">
        <v>114</v>
      </c>
      <c r="W606" t="s">
        <v>114</v>
      </c>
      <c r="X606" t="s">
        <v>114</v>
      </c>
      <c r="Z606" t="s">
        <v>5189</v>
      </c>
      <c r="AA606" t="s">
        <v>5189</v>
      </c>
      <c r="AB606" s="1" t="s">
        <v>5171</v>
      </c>
      <c r="AC606" t="s">
        <v>5190</v>
      </c>
      <c r="AD606" t="s">
        <v>5191</v>
      </c>
      <c r="AH606" t="s">
        <v>123</v>
      </c>
      <c r="AI606" t="s">
        <v>124</v>
      </c>
      <c r="AJ606" t="s">
        <v>5192</v>
      </c>
      <c r="AK606" t="s">
        <v>126</v>
      </c>
      <c r="AL606" t="s">
        <v>127</v>
      </c>
      <c r="AN606" t="s">
        <v>5193</v>
      </c>
      <c r="AO606" t="s">
        <v>5194</v>
      </c>
      <c r="AP606" t="s">
        <v>5195</v>
      </c>
      <c r="AQ606" t="s">
        <v>131</v>
      </c>
      <c r="AR606" t="s">
        <v>132</v>
      </c>
      <c r="AS606" t="s">
        <v>4308</v>
      </c>
      <c r="AT606" t="s">
        <v>4309</v>
      </c>
      <c r="AV606" t="s">
        <v>906</v>
      </c>
      <c r="AY606" t="s">
        <v>177</v>
      </c>
      <c r="AZ606" t="s">
        <v>138</v>
      </c>
      <c r="BA606" t="s">
        <v>5196</v>
      </c>
      <c r="BC606" t="s">
        <v>140</v>
      </c>
      <c r="BT606" s="7">
        <f t="shared" si="55"/>
        <v>0</v>
      </c>
      <c r="BU606" s="6">
        <f t="shared" si="56"/>
        <v>0</v>
      </c>
      <c r="BV606" s="6">
        <f t="shared" si="57"/>
        <v>0</v>
      </c>
      <c r="BW606" s="6">
        <f t="shared" si="58"/>
        <v>0</v>
      </c>
      <c r="BX606" s="6">
        <f t="shared" si="59"/>
        <v>0</v>
      </c>
    </row>
    <row r="607" spans="1:76" x14ac:dyDescent="0.35">
      <c r="A607" t="s">
        <v>5197</v>
      </c>
      <c r="B607" t="s">
        <v>107</v>
      </c>
      <c r="C607" t="s">
        <v>107</v>
      </c>
      <c r="E607" t="s">
        <v>108</v>
      </c>
      <c r="F607" t="s">
        <v>268</v>
      </c>
      <c r="G607" t="s">
        <v>269</v>
      </c>
      <c r="H607" t="s">
        <v>2268</v>
      </c>
      <c r="I607" t="s">
        <v>271</v>
      </c>
      <c r="J607" t="s">
        <v>113</v>
      </c>
      <c r="K607" s="8" t="s">
        <v>114</v>
      </c>
      <c r="L607" t="s">
        <v>114</v>
      </c>
      <c r="M607" s="6">
        <v>0</v>
      </c>
      <c r="N607" t="s">
        <v>114</v>
      </c>
      <c r="O607" s="6">
        <v>0</v>
      </c>
      <c r="P607" t="s">
        <v>114</v>
      </c>
      <c r="Q607" s="6">
        <v>0</v>
      </c>
      <c r="R607" s="7">
        <f t="shared" si="54"/>
        <v>0</v>
      </c>
      <c r="S607" t="s">
        <v>180</v>
      </c>
      <c r="T607" t="s">
        <v>114</v>
      </c>
      <c r="U607" t="s">
        <v>180</v>
      </c>
      <c r="W607" t="s">
        <v>114</v>
      </c>
      <c r="X607" t="s">
        <v>1111</v>
      </c>
      <c r="Z607" t="s">
        <v>5198</v>
      </c>
      <c r="AA607" t="s">
        <v>5199</v>
      </c>
      <c r="AB607" s="1" t="s">
        <v>5171</v>
      </c>
      <c r="AC607" t="s">
        <v>5200</v>
      </c>
      <c r="AD607" t="s">
        <v>5199</v>
      </c>
      <c r="AH607" t="s">
        <v>123</v>
      </c>
      <c r="AI607" t="s">
        <v>124</v>
      </c>
      <c r="AJ607" t="s">
        <v>5201</v>
      </c>
      <c r="AK607" t="s">
        <v>126</v>
      </c>
      <c r="AL607" t="s">
        <v>127</v>
      </c>
      <c r="AN607" t="s">
        <v>5202</v>
      </c>
      <c r="AO607" t="s">
        <v>5203</v>
      </c>
      <c r="AP607" t="s">
        <v>5204</v>
      </c>
      <c r="AQ607" t="s">
        <v>131</v>
      </c>
      <c r="AR607" t="s">
        <v>403</v>
      </c>
      <c r="AS607" t="s">
        <v>2970</v>
      </c>
      <c r="AT607" t="s">
        <v>5205</v>
      </c>
      <c r="AV607" t="s">
        <v>389</v>
      </c>
      <c r="AX607" t="s">
        <v>136</v>
      </c>
      <c r="AY607" t="s">
        <v>272</v>
      </c>
      <c r="AZ607" t="s">
        <v>273</v>
      </c>
      <c r="BA607" t="s">
        <v>5206</v>
      </c>
      <c r="BC607" t="s">
        <v>140</v>
      </c>
      <c r="BT607" s="7">
        <f t="shared" si="55"/>
        <v>0</v>
      </c>
      <c r="BU607" s="6">
        <f t="shared" si="56"/>
        <v>0</v>
      </c>
      <c r="BV607" s="6">
        <f t="shared" si="57"/>
        <v>0</v>
      </c>
      <c r="BW607" s="6">
        <f t="shared" si="58"/>
        <v>0</v>
      </c>
      <c r="BX607" s="6">
        <f t="shared" si="59"/>
        <v>0</v>
      </c>
    </row>
    <row r="608" spans="1:76" x14ac:dyDescent="0.35">
      <c r="A608" t="s">
        <v>5197</v>
      </c>
      <c r="B608" t="s">
        <v>107</v>
      </c>
      <c r="C608" t="s">
        <v>107</v>
      </c>
      <c r="E608" t="s">
        <v>108</v>
      </c>
      <c r="F608" t="s">
        <v>158</v>
      </c>
      <c r="G608" t="s">
        <v>159</v>
      </c>
      <c r="H608" t="s">
        <v>111</v>
      </c>
      <c r="I608" t="s">
        <v>341</v>
      </c>
      <c r="J608" t="s">
        <v>113</v>
      </c>
      <c r="K608" s="8" t="s">
        <v>114</v>
      </c>
      <c r="L608" t="s">
        <v>161</v>
      </c>
      <c r="M608" s="6">
        <v>459</v>
      </c>
      <c r="N608" t="s">
        <v>114</v>
      </c>
      <c r="O608" s="6">
        <v>220</v>
      </c>
      <c r="P608" t="s">
        <v>1111</v>
      </c>
      <c r="Q608" s="6">
        <v>0</v>
      </c>
      <c r="R608" s="7">
        <f t="shared" si="54"/>
        <v>239</v>
      </c>
      <c r="S608" t="s">
        <v>180</v>
      </c>
      <c r="T608" t="s">
        <v>114</v>
      </c>
      <c r="U608" t="s">
        <v>180</v>
      </c>
      <c r="W608" t="s">
        <v>114</v>
      </c>
      <c r="X608" t="s">
        <v>1111</v>
      </c>
      <c r="Z608" t="s">
        <v>5198</v>
      </c>
      <c r="AA608" t="s">
        <v>5199</v>
      </c>
      <c r="AB608" s="1" t="s">
        <v>5171</v>
      </c>
      <c r="AC608" t="s">
        <v>5200</v>
      </c>
      <c r="AD608" t="s">
        <v>5199</v>
      </c>
      <c r="AH608" t="s">
        <v>123</v>
      </c>
      <c r="AI608" t="s">
        <v>124</v>
      </c>
      <c r="AJ608" t="s">
        <v>5201</v>
      </c>
      <c r="AK608" t="s">
        <v>126</v>
      </c>
      <c r="AL608" t="s">
        <v>127</v>
      </c>
      <c r="AN608" t="s">
        <v>5202</v>
      </c>
      <c r="AO608" t="s">
        <v>5203</v>
      </c>
      <c r="AP608" t="s">
        <v>5204</v>
      </c>
      <c r="AQ608" t="s">
        <v>131</v>
      </c>
      <c r="AR608" t="s">
        <v>403</v>
      </c>
      <c r="AS608" t="s">
        <v>2970</v>
      </c>
      <c r="AT608" t="s">
        <v>5205</v>
      </c>
      <c r="AV608" t="s">
        <v>389</v>
      </c>
      <c r="AX608" t="s">
        <v>136</v>
      </c>
      <c r="AY608" t="s">
        <v>177</v>
      </c>
      <c r="AZ608" t="s">
        <v>138</v>
      </c>
      <c r="BA608" t="s">
        <v>5206</v>
      </c>
      <c r="BC608" t="s">
        <v>140</v>
      </c>
      <c r="BT608" s="7">
        <f t="shared" si="55"/>
        <v>239</v>
      </c>
      <c r="BU608" s="6">
        <f t="shared" si="56"/>
        <v>223.36448598130841</v>
      </c>
      <c r="BV608" s="6">
        <f t="shared" si="57"/>
        <v>15.635514018691588</v>
      </c>
      <c r="BW608" s="6">
        <f t="shared" si="58"/>
        <v>239</v>
      </c>
      <c r="BX608" s="6">
        <f t="shared" si="59"/>
        <v>0</v>
      </c>
    </row>
    <row r="609" spans="1:76" x14ac:dyDescent="0.35">
      <c r="A609" t="s">
        <v>5207</v>
      </c>
      <c r="B609" t="s">
        <v>107</v>
      </c>
      <c r="C609" t="s">
        <v>107</v>
      </c>
      <c r="E609" t="s">
        <v>108</v>
      </c>
      <c r="F609" t="s">
        <v>358</v>
      </c>
      <c r="G609" t="s">
        <v>359</v>
      </c>
      <c r="H609" t="s">
        <v>360</v>
      </c>
      <c r="I609" t="s">
        <v>341</v>
      </c>
      <c r="J609" t="s">
        <v>113</v>
      </c>
      <c r="K609" s="8" t="s">
        <v>114</v>
      </c>
      <c r="L609" t="s">
        <v>361</v>
      </c>
      <c r="M609" s="6">
        <v>233</v>
      </c>
      <c r="N609" t="s">
        <v>114</v>
      </c>
      <c r="O609" s="6">
        <v>117</v>
      </c>
      <c r="P609" t="s">
        <v>3459</v>
      </c>
      <c r="Q609" s="6">
        <v>0</v>
      </c>
      <c r="R609" s="7">
        <f t="shared" si="54"/>
        <v>116</v>
      </c>
      <c r="S609" t="s">
        <v>180</v>
      </c>
      <c r="T609" t="s">
        <v>114</v>
      </c>
      <c r="U609" t="s">
        <v>180</v>
      </c>
      <c r="W609" t="s">
        <v>114</v>
      </c>
      <c r="X609" t="s">
        <v>3459</v>
      </c>
      <c r="Z609" t="s">
        <v>5208</v>
      </c>
      <c r="AA609" t="s">
        <v>5209</v>
      </c>
      <c r="AB609" s="1" t="s">
        <v>5210</v>
      </c>
      <c r="AC609" t="s">
        <v>5211</v>
      </c>
      <c r="AD609" t="s">
        <v>5212</v>
      </c>
      <c r="AH609" t="s">
        <v>123</v>
      </c>
      <c r="AI609" t="s">
        <v>124</v>
      </c>
      <c r="AJ609" t="s">
        <v>5213</v>
      </c>
      <c r="AK609" t="s">
        <v>126</v>
      </c>
      <c r="AL609" t="s">
        <v>127</v>
      </c>
      <c r="AN609" t="s">
        <v>5214</v>
      </c>
      <c r="AO609" t="s">
        <v>5215</v>
      </c>
      <c r="AP609" t="s">
        <v>5216</v>
      </c>
      <c r="AQ609" t="s">
        <v>131</v>
      </c>
      <c r="AR609" t="s">
        <v>132</v>
      </c>
      <c r="AS609" t="s">
        <v>387</v>
      </c>
      <c r="AT609" t="s">
        <v>3038</v>
      </c>
      <c r="AV609" t="s">
        <v>585</v>
      </c>
      <c r="AX609" t="s">
        <v>176</v>
      </c>
      <c r="AY609" t="s">
        <v>177</v>
      </c>
      <c r="AZ609" t="s">
        <v>364</v>
      </c>
      <c r="BA609" t="s">
        <v>5217</v>
      </c>
      <c r="BC609" t="s">
        <v>140</v>
      </c>
      <c r="BT609" s="7">
        <f t="shared" si="55"/>
        <v>116</v>
      </c>
      <c r="BU609" s="6">
        <f t="shared" si="56"/>
        <v>108.41121495327103</v>
      </c>
      <c r="BV609" s="6">
        <f t="shared" si="57"/>
        <v>7.5887850467289715</v>
      </c>
      <c r="BW609" s="6">
        <f t="shared" si="58"/>
        <v>116</v>
      </c>
      <c r="BX609" s="6">
        <f t="shared" si="59"/>
        <v>0</v>
      </c>
    </row>
    <row r="610" spans="1:76" x14ac:dyDescent="0.35">
      <c r="A610" t="s">
        <v>5207</v>
      </c>
      <c r="B610" t="s">
        <v>107</v>
      </c>
      <c r="C610" t="s">
        <v>107</v>
      </c>
      <c r="E610" t="s">
        <v>108</v>
      </c>
      <c r="F610" t="s">
        <v>338</v>
      </c>
      <c r="G610" t="s">
        <v>339</v>
      </c>
      <c r="H610" t="s">
        <v>340</v>
      </c>
      <c r="I610" t="s">
        <v>341</v>
      </c>
      <c r="J610" t="s">
        <v>113</v>
      </c>
      <c r="K610" s="8" t="s">
        <v>114</v>
      </c>
      <c r="L610" t="s">
        <v>114</v>
      </c>
      <c r="M610" s="6">
        <v>0</v>
      </c>
      <c r="N610" t="s">
        <v>114</v>
      </c>
      <c r="O610" s="6">
        <v>0</v>
      </c>
      <c r="P610" t="s">
        <v>114</v>
      </c>
      <c r="Q610" s="6">
        <v>0</v>
      </c>
      <c r="R610" s="7">
        <f t="shared" si="54"/>
        <v>0</v>
      </c>
      <c r="S610" t="s">
        <v>180</v>
      </c>
      <c r="T610" t="s">
        <v>114</v>
      </c>
      <c r="U610" t="s">
        <v>180</v>
      </c>
      <c r="W610" t="s">
        <v>114</v>
      </c>
      <c r="X610" t="s">
        <v>3459</v>
      </c>
      <c r="Z610" t="s">
        <v>5208</v>
      </c>
      <c r="AA610" t="s">
        <v>5209</v>
      </c>
      <c r="AB610" s="1" t="s">
        <v>5210</v>
      </c>
      <c r="AC610" t="s">
        <v>5211</v>
      </c>
      <c r="AD610" t="s">
        <v>5212</v>
      </c>
      <c r="AH610" t="s">
        <v>123</v>
      </c>
      <c r="AI610" t="s">
        <v>124</v>
      </c>
      <c r="AJ610" t="s">
        <v>5213</v>
      </c>
      <c r="AK610" t="s">
        <v>126</v>
      </c>
      <c r="AL610" t="s">
        <v>127</v>
      </c>
      <c r="AN610" t="s">
        <v>5214</v>
      </c>
      <c r="AO610" t="s">
        <v>5215</v>
      </c>
      <c r="AP610" t="s">
        <v>5216</v>
      </c>
      <c r="AQ610" t="s">
        <v>131</v>
      </c>
      <c r="AR610" t="s">
        <v>132</v>
      </c>
      <c r="AS610" t="s">
        <v>387</v>
      </c>
      <c r="AT610" t="s">
        <v>3038</v>
      </c>
      <c r="AV610" t="s">
        <v>585</v>
      </c>
      <c r="AX610" t="s">
        <v>176</v>
      </c>
      <c r="AY610" t="s">
        <v>177</v>
      </c>
      <c r="AZ610" t="s">
        <v>356</v>
      </c>
      <c r="BA610" t="s">
        <v>5217</v>
      </c>
      <c r="BC610" t="s">
        <v>140</v>
      </c>
      <c r="BT610" s="7">
        <f t="shared" si="55"/>
        <v>0</v>
      </c>
      <c r="BU610" s="6">
        <f t="shared" si="56"/>
        <v>0</v>
      </c>
      <c r="BV610" s="6">
        <f t="shared" si="57"/>
        <v>0</v>
      </c>
      <c r="BW610" s="6">
        <f t="shared" si="58"/>
        <v>0</v>
      </c>
      <c r="BX610" s="6">
        <f t="shared" si="59"/>
        <v>0</v>
      </c>
    </row>
    <row r="611" spans="1:76" x14ac:dyDescent="0.35">
      <c r="A611" t="s">
        <v>5218</v>
      </c>
      <c r="B611" t="s">
        <v>107</v>
      </c>
      <c r="C611" t="s">
        <v>107</v>
      </c>
      <c r="E611" t="s">
        <v>108</v>
      </c>
      <c r="F611" t="s">
        <v>158</v>
      </c>
      <c r="G611" t="s">
        <v>159</v>
      </c>
      <c r="H611" t="s">
        <v>111</v>
      </c>
      <c r="I611" t="s">
        <v>341</v>
      </c>
      <c r="J611" t="s">
        <v>113</v>
      </c>
      <c r="K611" s="8" t="s">
        <v>114</v>
      </c>
      <c r="L611" t="s">
        <v>161</v>
      </c>
      <c r="M611" s="6">
        <v>459</v>
      </c>
      <c r="N611" t="s">
        <v>436</v>
      </c>
      <c r="O611" s="6">
        <v>220</v>
      </c>
      <c r="P611" t="s">
        <v>1876</v>
      </c>
      <c r="Q611" s="6">
        <v>0</v>
      </c>
      <c r="R611" s="7">
        <f t="shared" si="54"/>
        <v>239</v>
      </c>
      <c r="S611" t="s">
        <v>180</v>
      </c>
      <c r="T611" t="s">
        <v>114</v>
      </c>
      <c r="U611" t="s">
        <v>180</v>
      </c>
      <c r="W611" t="s">
        <v>114</v>
      </c>
      <c r="X611" t="s">
        <v>1876</v>
      </c>
      <c r="Z611" t="s">
        <v>5219</v>
      </c>
      <c r="AA611" t="s">
        <v>5220</v>
      </c>
      <c r="AB611" s="1" t="s">
        <v>5210</v>
      </c>
      <c r="AC611" t="s">
        <v>5221</v>
      </c>
      <c r="AD611" t="s">
        <v>5222</v>
      </c>
      <c r="AH611" t="s">
        <v>123</v>
      </c>
      <c r="AI611" t="s">
        <v>124</v>
      </c>
      <c r="AJ611" t="s">
        <v>5223</v>
      </c>
      <c r="AK611" t="s">
        <v>126</v>
      </c>
      <c r="AL611" t="s">
        <v>127</v>
      </c>
      <c r="AN611" t="s">
        <v>5224</v>
      </c>
      <c r="AO611" t="s">
        <v>5225</v>
      </c>
      <c r="AP611" t="s">
        <v>5226</v>
      </c>
      <c r="AQ611" t="s">
        <v>131</v>
      </c>
      <c r="AR611" t="s">
        <v>132</v>
      </c>
      <c r="AS611" t="s">
        <v>202</v>
      </c>
      <c r="AT611" t="s">
        <v>1489</v>
      </c>
      <c r="AV611" t="s">
        <v>354</v>
      </c>
      <c r="AX611" t="s">
        <v>655</v>
      </c>
      <c r="AY611" t="s">
        <v>177</v>
      </c>
      <c r="AZ611" t="s">
        <v>138</v>
      </c>
      <c r="BA611" t="s">
        <v>5227</v>
      </c>
      <c r="BC611" t="s">
        <v>140</v>
      </c>
      <c r="BT611" s="7">
        <f t="shared" si="55"/>
        <v>239</v>
      </c>
      <c r="BU611" s="6">
        <f t="shared" si="56"/>
        <v>223.36448598130841</v>
      </c>
      <c r="BV611" s="6">
        <f t="shared" si="57"/>
        <v>15.635514018691588</v>
      </c>
      <c r="BW611" s="6">
        <f t="shared" si="58"/>
        <v>239</v>
      </c>
      <c r="BX611" s="6">
        <f t="shared" si="59"/>
        <v>0</v>
      </c>
    </row>
    <row r="612" spans="1:76" x14ac:dyDescent="0.35">
      <c r="A612" t="s">
        <v>5218</v>
      </c>
      <c r="B612" t="s">
        <v>107</v>
      </c>
      <c r="C612" t="s">
        <v>107</v>
      </c>
      <c r="E612" t="s">
        <v>108</v>
      </c>
      <c r="F612" t="s">
        <v>268</v>
      </c>
      <c r="G612" t="s">
        <v>269</v>
      </c>
      <c r="H612" t="s">
        <v>2268</v>
      </c>
      <c r="I612" t="s">
        <v>271</v>
      </c>
      <c r="J612" t="s">
        <v>113</v>
      </c>
      <c r="K612" s="8" t="s">
        <v>114</v>
      </c>
      <c r="L612" t="s">
        <v>114</v>
      </c>
      <c r="M612" s="6">
        <v>0</v>
      </c>
      <c r="N612" t="s">
        <v>114</v>
      </c>
      <c r="O612" s="6">
        <v>0</v>
      </c>
      <c r="P612" t="s">
        <v>114</v>
      </c>
      <c r="Q612" s="6">
        <v>0</v>
      </c>
      <c r="R612" s="7">
        <f t="shared" si="54"/>
        <v>0</v>
      </c>
      <c r="S612" t="s">
        <v>180</v>
      </c>
      <c r="T612" t="s">
        <v>114</v>
      </c>
      <c r="U612" t="s">
        <v>180</v>
      </c>
      <c r="W612" t="s">
        <v>114</v>
      </c>
      <c r="X612" t="s">
        <v>1876</v>
      </c>
      <c r="Z612" t="s">
        <v>5219</v>
      </c>
      <c r="AA612" t="s">
        <v>5220</v>
      </c>
      <c r="AB612" s="1" t="s">
        <v>5210</v>
      </c>
      <c r="AC612" t="s">
        <v>5221</v>
      </c>
      <c r="AD612" t="s">
        <v>5222</v>
      </c>
      <c r="AH612" t="s">
        <v>123</v>
      </c>
      <c r="AI612" t="s">
        <v>124</v>
      </c>
      <c r="AJ612" t="s">
        <v>5223</v>
      </c>
      <c r="AK612" t="s">
        <v>126</v>
      </c>
      <c r="AL612" t="s">
        <v>127</v>
      </c>
      <c r="AN612" t="s">
        <v>5224</v>
      </c>
      <c r="AO612" t="s">
        <v>5225</v>
      </c>
      <c r="AP612" t="s">
        <v>5226</v>
      </c>
      <c r="AQ612" t="s">
        <v>131</v>
      </c>
      <c r="AR612" t="s">
        <v>132</v>
      </c>
      <c r="AS612" t="s">
        <v>202</v>
      </c>
      <c r="AT612" t="s">
        <v>1489</v>
      </c>
      <c r="AV612" t="s">
        <v>354</v>
      </c>
      <c r="AX612" t="s">
        <v>655</v>
      </c>
      <c r="AY612" t="s">
        <v>272</v>
      </c>
      <c r="AZ612" t="s">
        <v>273</v>
      </c>
      <c r="BA612" t="s">
        <v>5227</v>
      </c>
      <c r="BC612" t="s">
        <v>140</v>
      </c>
      <c r="BT612" s="7">
        <f t="shared" si="55"/>
        <v>0</v>
      </c>
      <c r="BU612" s="6">
        <f t="shared" si="56"/>
        <v>0</v>
      </c>
      <c r="BV612" s="6">
        <f t="shared" si="57"/>
        <v>0</v>
      </c>
      <c r="BW612" s="6">
        <f t="shared" si="58"/>
        <v>0</v>
      </c>
      <c r="BX612" s="6">
        <f t="shared" si="59"/>
        <v>0</v>
      </c>
    </row>
    <row r="613" spans="1:76" x14ac:dyDescent="0.35">
      <c r="A613" t="s">
        <v>5228</v>
      </c>
      <c r="B613" t="s">
        <v>107</v>
      </c>
      <c r="C613" t="s">
        <v>107</v>
      </c>
      <c r="E613" t="s">
        <v>108</v>
      </c>
      <c r="F613" t="s">
        <v>358</v>
      </c>
      <c r="G613" t="s">
        <v>359</v>
      </c>
      <c r="H613" t="s">
        <v>360</v>
      </c>
      <c r="I613" t="s">
        <v>341</v>
      </c>
      <c r="J613" t="s">
        <v>113</v>
      </c>
      <c r="K613" s="8" t="s">
        <v>114</v>
      </c>
      <c r="L613" t="s">
        <v>361</v>
      </c>
      <c r="M613" s="6">
        <v>233</v>
      </c>
      <c r="N613" t="s">
        <v>5229</v>
      </c>
      <c r="O613" s="6">
        <v>117</v>
      </c>
      <c r="P613" t="s">
        <v>5230</v>
      </c>
      <c r="Q613" s="6">
        <v>10</v>
      </c>
      <c r="R613" s="7">
        <f t="shared" si="54"/>
        <v>126</v>
      </c>
      <c r="S613" t="s">
        <v>180</v>
      </c>
      <c r="T613" t="s">
        <v>114</v>
      </c>
      <c r="U613" t="s">
        <v>1644</v>
      </c>
      <c r="V613" t="s">
        <v>5232</v>
      </c>
      <c r="W613" t="s">
        <v>114</v>
      </c>
      <c r="X613" t="s">
        <v>5233</v>
      </c>
      <c r="Z613" t="s">
        <v>5234</v>
      </c>
      <c r="AA613" t="s">
        <v>5235</v>
      </c>
      <c r="AB613" s="1" t="s">
        <v>5210</v>
      </c>
      <c r="AC613" t="s">
        <v>5236</v>
      </c>
      <c r="AD613" t="s">
        <v>5237</v>
      </c>
      <c r="AH613" t="s">
        <v>123</v>
      </c>
      <c r="AI613" t="s">
        <v>124</v>
      </c>
      <c r="AJ613" t="s">
        <v>5238</v>
      </c>
      <c r="AK613" t="s">
        <v>126</v>
      </c>
      <c r="AL613" t="s">
        <v>127</v>
      </c>
      <c r="AN613" t="s">
        <v>5239</v>
      </c>
      <c r="AO613" t="s">
        <v>5240</v>
      </c>
      <c r="AP613" t="s">
        <v>5241</v>
      </c>
      <c r="AQ613" t="s">
        <v>131</v>
      </c>
      <c r="AR613" t="s">
        <v>132</v>
      </c>
      <c r="AS613" t="s">
        <v>352</v>
      </c>
      <c r="AT613" t="s">
        <v>667</v>
      </c>
      <c r="AV613" t="s">
        <v>3239</v>
      </c>
      <c r="AX613" t="s">
        <v>655</v>
      </c>
      <c r="AY613" t="s">
        <v>177</v>
      </c>
      <c r="AZ613" t="s">
        <v>364</v>
      </c>
      <c r="BA613" t="s">
        <v>5242</v>
      </c>
      <c r="BC613" t="s">
        <v>140</v>
      </c>
      <c r="BT613" s="7">
        <f t="shared" si="55"/>
        <v>126</v>
      </c>
      <c r="BU613" s="6">
        <f t="shared" si="56"/>
        <v>117.75700934579439</v>
      </c>
      <c r="BV613" s="6">
        <f t="shared" si="57"/>
        <v>8.2429906542056077</v>
      </c>
      <c r="BW613" s="6">
        <f t="shared" si="58"/>
        <v>126</v>
      </c>
      <c r="BX613" s="6">
        <f t="shared" si="59"/>
        <v>0</v>
      </c>
    </row>
    <row r="614" spans="1:76" x14ac:dyDescent="0.35">
      <c r="A614" t="s">
        <v>5228</v>
      </c>
      <c r="B614" t="s">
        <v>107</v>
      </c>
      <c r="C614" t="s">
        <v>107</v>
      </c>
      <c r="E614" t="s">
        <v>108</v>
      </c>
      <c r="F614" t="s">
        <v>338</v>
      </c>
      <c r="G614" t="s">
        <v>339</v>
      </c>
      <c r="H614" t="s">
        <v>340</v>
      </c>
      <c r="I614" t="s">
        <v>341</v>
      </c>
      <c r="J614" t="s">
        <v>113</v>
      </c>
      <c r="K614" s="8" t="s">
        <v>114</v>
      </c>
      <c r="L614" t="s">
        <v>114</v>
      </c>
      <c r="M614" s="6">
        <v>0</v>
      </c>
      <c r="N614" t="s">
        <v>114</v>
      </c>
      <c r="O614" s="6">
        <v>0</v>
      </c>
      <c r="P614" t="s">
        <v>114</v>
      </c>
      <c r="Q614" s="6">
        <v>10</v>
      </c>
      <c r="R614" s="7">
        <f t="shared" si="54"/>
        <v>10</v>
      </c>
      <c r="S614" t="s">
        <v>180</v>
      </c>
      <c r="T614" t="s">
        <v>114</v>
      </c>
      <c r="U614" t="s">
        <v>1644</v>
      </c>
      <c r="V614" t="s">
        <v>5232</v>
      </c>
      <c r="W614" t="s">
        <v>114</v>
      </c>
      <c r="X614" t="s">
        <v>5233</v>
      </c>
      <c r="Z614" t="s">
        <v>5234</v>
      </c>
      <c r="AA614" t="s">
        <v>5235</v>
      </c>
      <c r="AB614" s="1" t="s">
        <v>5210</v>
      </c>
      <c r="AC614" t="s">
        <v>5236</v>
      </c>
      <c r="AD614" t="s">
        <v>5237</v>
      </c>
      <c r="AH614" t="s">
        <v>123</v>
      </c>
      <c r="AI614" t="s">
        <v>124</v>
      </c>
      <c r="AJ614" t="s">
        <v>5238</v>
      </c>
      <c r="AK614" t="s">
        <v>126</v>
      </c>
      <c r="AL614" t="s">
        <v>127</v>
      </c>
      <c r="AN614" t="s">
        <v>5239</v>
      </c>
      <c r="AO614" t="s">
        <v>5240</v>
      </c>
      <c r="AP614" t="s">
        <v>5241</v>
      </c>
      <c r="AQ614" t="s">
        <v>131</v>
      </c>
      <c r="AR614" t="s">
        <v>132</v>
      </c>
      <c r="AS614" t="s">
        <v>352</v>
      </c>
      <c r="AT614" t="s">
        <v>667</v>
      </c>
      <c r="AV614" t="s">
        <v>3239</v>
      </c>
      <c r="AX614" t="s">
        <v>655</v>
      </c>
      <c r="AY614" t="s">
        <v>177</v>
      </c>
      <c r="AZ614" t="s">
        <v>356</v>
      </c>
      <c r="BA614" t="s">
        <v>5242</v>
      </c>
      <c r="BC614" t="s">
        <v>140</v>
      </c>
      <c r="BT614" s="7">
        <f t="shared" si="55"/>
        <v>10</v>
      </c>
      <c r="BU614" s="6">
        <f t="shared" si="56"/>
        <v>9.3457943925233646</v>
      </c>
      <c r="BV614" s="6">
        <f t="shared" si="57"/>
        <v>0.65420560747663559</v>
      </c>
      <c r="BW614" s="6">
        <f t="shared" si="58"/>
        <v>10</v>
      </c>
      <c r="BX614" s="6">
        <f t="shared" si="59"/>
        <v>0</v>
      </c>
    </row>
    <row r="615" spans="1:76" x14ac:dyDescent="0.35">
      <c r="A615" t="s">
        <v>5243</v>
      </c>
      <c r="B615" t="s">
        <v>107</v>
      </c>
      <c r="C615" t="s">
        <v>107</v>
      </c>
      <c r="E615" t="s">
        <v>108</v>
      </c>
      <c r="F615" t="s">
        <v>338</v>
      </c>
      <c r="G615" t="s">
        <v>339</v>
      </c>
      <c r="H615" t="s">
        <v>340</v>
      </c>
      <c r="I615" t="s">
        <v>341</v>
      </c>
      <c r="J615" t="s">
        <v>113</v>
      </c>
      <c r="K615" s="8" t="s">
        <v>114</v>
      </c>
      <c r="L615" t="s">
        <v>114</v>
      </c>
      <c r="M615" s="6">
        <v>0</v>
      </c>
      <c r="N615" t="s">
        <v>114</v>
      </c>
      <c r="O615" s="6">
        <v>0</v>
      </c>
      <c r="P615" t="s">
        <v>114</v>
      </c>
      <c r="Q615" s="6">
        <v>0</v>
      </c>
      <c r="R615" s="7">
        <f t="shared" si="54"/>
        <v>0</v>
      </c>
      <c r="S615" t="s">
        <v>142</v>
      </c>
      <c r="T615" t="s">
        <v>114</v>
      </c>
      <c r="U615" t="s">
        <v>142</v>
      </c>
      <c r="W615" t="s">
        <v>114</v>
      </c>
      <c r="X615" t="s">
        <v>3459</v>
      </c>
      <c r="Z615" t="s">
        <v>5244</v>
      </c>
      <c r="AA615" t="s">
        <v>5245</v>
      </c>
      <c r="AB615" s="1" t="s">
        <v>5210</v>
      </c>
      <c r="AC615" t="s">
        <v>5246</v>
      </c>
      <c r="AD615" t="s">
        <v>5247</v>
      </c>
      <c r="AH615" t="s">
        <v>123</v>
      </c>
      <c r="AI615" t="s">
        <v>124</v>
      </c>
      <c r="AJ615" t="s">
        <v>5248</v>
      </c>
      <c r="AK615" t="s">
        <v>126</v>
      </c>
      <c r="AL615" t="s">
        <v>127</v>
      </c>
      <c r="AN615" t="s">
        <v>5249</v>
      </c>
      <c r="AO615" t="s">
        <v>4195</v>
      </c>
      <c r="AP615" t="s">
        <v>5250</v>
      </c>
      <c r="AQ615" t="s">
        <v>131</v>
      </c>
      <c r="AR615" t="s">
        <v>132</v>
      </c>
      <c r="AS615" t="s">
        <v>466</v>
      </c>
      <c r="AT615" t="s">
        <v>467</v>
      </c>
      <c r="AV615" t="s">
        <v>626</v>
      </c>
      <c r="AW615" t="s">
        <v>300</v>
      </c>
      <c r="AX615" t="s">
        <v>655</v>
      </c>
      <c r="AY615" t="s">
        <v>177</v>
      </c>
      <c r="AZ615" t="s">
        <v>356</v>
      </c>
      <c r="BA615" t="s">
        <v>5251</v>
      </c>
      <c r="BC615" t="s">
        <v>140</v>
      </c>
      <c r="BT615" s="7">
        <f t="shared" si="55"/>
        <v>0</v>
      </c>
      <c r="BU615" s="6">
        <f t="shared" si="56"/>
        <v>0</v>
      </c>
      <c r="BV615" s="6">
        <f t="shared" si="57"/>
        <v>0</v>
      </c>
      <c r="BW615" s="6">
        <f t="shared" si="58"/>
        <v>0</v>
      </c>
      <c r="BX615" s="6">
        <f t="shared" si="59"/>
        <v>0</v>
      </c>
    </row>
    <row r="616" spans="1:76" x14ac:dyDescent="0.35">
      <c r="A616" t="s">
        <v>5243</v>
      </c>
      <c r="B616" t="s">
        <v>107</v>
      </c>
      <c r="C616" t="s">
        <v>107</v>
      </c>
      <c r="E616" t="s">
        <v>108</v>
      </c>
      <c r="F616" t="s">
        <v>358</v>
      </c>
      <c r="G616" t="s">
        <v>359</v>
      </c>
      <c r="H616" t="s">
        <v>360</v>
      </c>
      <c r="I616" t="s">
        <v>341</v>
      </c>
      <c r="J616" t="s">
        <v>113</v>
      </c>
      <c r="K616" s="8" t="s">
        <v>114</v>
      </c>
      <c r="L616" t="s">
        <v>361</v>
      </c>
      <c r="M616" s="6">
        <v>233</v>
      </c>
      <c r="N616" t="s">
        <v>114</v>
      </c>
      <c r="O616" s="6">
        <v>117</v>
      </c>
      <c r="P616" t="s">
        <v>3459</v>
      </c>
      <c r="Q616" s="6">
        <v>0</v>
      </c>
      <c r="R616" s="7">
        <f t="shared" si="54"/>
        <v>116</v>
      </c>
      <c r="S616" t="s">
        <v>142</v>
      </c>
      <c r="T616" t="s">
        <v>114</v>
      </c>
      <c r="U616" t="s">
        <v>142</v>
      </c>
      <c r="W616" t="s">
        <v>114</v>
      </c>
      <c r="X616" t="s">
        <v>3459</v>
      </c>
      <c r="Z616" t="s">
        <v>5244</v>
      </c>
      <c r="AA616" t="s">
        <v>5245</v>
      </c>
      <c r="AB616" s="1" t="s">
        <v>5210</v>
      </c>
      <c r="AC616" t="s">
        <v>5246</v>
      </c>
      <c r="AD616" t="s">
        <v>5247</v>
      </c>
      <c r="AH616" t="s">
        <v>123</v>
      </c>
      <c r="AI616" t="s">
        <v>124</v>
      </c>
      <c r="AJ616" t="s">
        <v>5248</v>
      </c>
      <c r="AK616" t="s">
        <v>126</v>
      </c>
      <c r="AL616" t="s">
        <v>127</v>
      </c>
      <c r="AN616" t="s">
        <v>5249</v>
      </c>
      <c r="AO616" t="s">
        <v>4195</v>
      </c>
      <c r="AP616" t="s">
        <v>5250</v>
      </c>
      <c r="AQ616" t="s">
        <v>131</v>
      </c>
      <c r="AR616" t="s">
        <v>132</v>
      </c>
      <c r="AS616" t="s">
        <v>466</v>
      </c>
      <c r="AT616" t="s">
        <v>467</v>
      </c>
      <c r="AV616" t="s">
        <v>626</v>
      </c>
      <c r="AW616" t="s">
        <v>300</v>
      </c>
      <c r="AX616" t="s">
        <v>655</v>
      </c>
      <c r="AY616" t="s">
        <v>177</v>
      </c>
      <c r="AZ616" t="s">
        <v>364</v>
      </c>
      <c r="BA616" t="s">
        <v>5251</v>
      </c>
      <c r="BC616" t="s">
        <v>140</v>
      </c>
      <c r="BT616" s="7">
        <f t="shared" si="55"/>
        <v>116</v>
      </c>
      <c r="BU616" s="6">
        <f t="shared" si="56"/>
        <v>108.41121495327103</v>
      </c>
      <c r="BV616" s="6">
        <f t="shared" si="57"/>
        <v>7.5887850467289715</v>
      </c>
      <c r="BW616" s="6">
        <f t="shared" si="58"/>
        <v>116</v>
      </c>
      <c r="BX616" s="6">
        <f t="shared" si="59"/>
        <v>0</v>
      </c>
    </row>
    <row r="617" spans="1:76" x14ac:dyDescent="0.35">
      <c r="A617" t="s">
        <v>5252</v>
      </c>
      <c r="B617" t="s">
        <v>107</v>
      </c>
      <c r="C617" t="s">
        <v>107</v>
      </c>
      <c r="E617" t="s">
        <v>108</v>
      </c>
      <c r="F617" t="s">
        <v>499</v>
      </c>
      <c r="G617" t="s">
        <v>500</v>
      </c>
      <c r="H617" t="s">
        <v>501</v>
      </c>
      <c r="I617" t="s">
        <v>341</v>
      </c>
      <c r="J617" t="s">
        <v>113</v>
      </c>
      <c r="K617" s="8" t="s">
        <v>114</v>
      </c>
      <c r="L617" t="s">
        <v>502</v>
      </c>
      <c r="M617" s="6">
        <v>348</v>
      </c>
      <c r="N617" t="s">
        <v>113</v>
      </c>
      <c r="O617" s="6">
        <v>209</v>
      </c>
      <c r="P617" t="s">
        <v>3608</v>
      </c>
      <c r="Q617" s="6">
        <v>0</v>
      </c>
      <c r="R617" s="7">
        <f t="shared" si="54"/>
        <v>139</v>
      </c>
      <c r="S617" t="s">
        <v>180</v>
      </c>
      <c r="T617" t="s">
        <v>114</v>
      </c>
      <c r="U617" t="s">
        <v>180</v>
      </c>
      <c r="W617" t="s">
        <v>114</v>
      </c>
      <c r="X617" t="s">
        <v>3608</v>
      </c>
      <c r="Z617" t="s">
        <v>5253</v>
      </c>
      <c r="AA617" t="s">
        <v>5254</v>
      </c>
      <c r="AB617" s="1" t="s">
        <v>5210</v>
      </c>
      <c r="AC617" t="s">
        <v>5255</v>
      </c>
      <c r="AD617" t="s">
        <v>5254</v>
      </c>
      <c r="AH617" t="s">
        <v>123</v>
      </c>
      <c r="AI617" t="s">
        <v>124</v>
      </c>
      <c r="AJ617" t="s">
        <v>5256</v>
      </c>
      <c r="AK617" t="s">
        <v>126</v>
      </c>
      <c r="AL617" t="s">
        <v>127</v>
      </c>
      <c r="AN617" t="s">
        <v>5257</v>
      </c>
      <c r="AO617" t="s">
        <v>5258</v>
      </c>
      <c r="AP617" t="s">
        <v>5259</v>
      </c>
      <c r="AQ617" t="s">
        <v>131</v>
      </c>
      <c r="AR617" t="s">
        <v>132</v>
      </c>
      <c r="AS617" t="s">
        <v>1777</v>
      </c>
      <c r="AT617" t="s">
        <v>5260</v>
      </c>
      <c r="AV617" t="s">
        <v>190</v>
      </c>
      <c r="AX617" t="s">
        <v>136</v>
      </c>
      <c r="AY617" t="s">
        <v>177</v>
      </c>
      <c r="AZ617" t="s">
        <v>517</v>
      </c>
      <c r="BA617" t="s">
        <v>5261</v>
      </c>
      <c r="BC617" t="s">
        <v>140</v>
      </c>
      <c r="BT617" s="7">
        <f t="shared" si="55"/>
        <v>139</v>
      </c>
      <c r="BU617" s="6">
        <f t="shared" si="56"/>
        <v>129.90654205607476</v>
      </c>
      <c r="BV617" s="6">
        <f t="shared" si="57"/>
        <v>9.0934579439252339</v>
      </c>
      <c r="BW617" s="6">
        <f t="shared" si="58"/>
        <v>139</v>
      </c>
      <c r="BX617" s="6">
        <f t="shared" si="59"/>
        <v>0</v>
      </c>
    </row>
    <row r="618" spans="1:76" x14ac:dyDescent="0.35">
      <c r="A618" t="s">
        <v>5262</v>
      </c>
      <c r="B618" t="s">
        <v>107</v>
      </c>
      <c r="C618" t="s">
        <v>107</v>
      </c>
      <c r="E618" t="s">
        <v>108</v>
      </c>
      <c r="F618" t="s">
        <v>613</v>
      </c>
      <c r="G618" t="s">
        <v>614</v>
      </c>
      <c r="H618" t="s">
        <v>615</v>
      </c>
      <c r="I618" t="s">
        <v>271</v>
      </c>
      <c r="J618" t="s">
        <v>113</v>
      </c>
      <c r="K618" s="8" t="s">
        <v>114</v>
      </c>
      <c r="L618" t="s">
        <v>2550</v>
      </c>
      <c r="M618" s="6">
        <v>196</v>
      </c>
      <c r="N618" t="s">
        <v>114</v>
      </c>
      <c r="O618" s="6">
        <v>118</v>
      </c>
      <c r="P618" t="s">
        <v>2552</v>
      </c>
      <c r="Q618" s="6">
        <v>0</v>
      </c>
      <c r="R618" s="7">
        <f t="shared" si="54"/>
        <v>78</v>
      </c>
      <c r="S618" t="s">
        <v>180</v>
      </c>
      <c r="T618" t="s">
        <v>114</v>
      </c>
      <c r="U618" t="s">
        <v>180</v>
      </c>
      <c r="W618" t="s">
        <v>114</v>
      </c>
      <c r="X618" t="s">
        <v>2552</v>
      </c>
      <c r="Z618" t="s">
        <v>5263</v>
      </c>
      <c r="AA618" t="s">
        <v>5264</v>
      </c>
      <c r="AB618" s="1" t="s">
        <v>5210</v>
      </c>
      <c r="AC618" t="s">
        <v>5265</v>
      </c>
      <c r="AD618" t="s">
        <v>5264</v>
      </c>
      <c r="AH618" t="s">
        <v>123</v>
      </c>
      <c r="AI618" t="s">
        <v>124</v>
      </c>
      <c r="AJ618" t="s">
        <v>5266</v>
      </c>
      <c r="AK618" t="s">
        <v>126</v>
      </c>
      <c r="AL618" t="s">
        <v>127</v>
      </c>
      <c r="AN618" t="s">
        <v>5267</v>
      </c>
      <c r="AO618" t="s">
        <v>5268</v>
      </c>
      <c r="AP618" t="s">
        <v>5269</v>
      </c>
      <c r="AQ618" t="s">
        <v>131</v>
      </c>
      <c r="AR618" t="s">
        <v>132</v>
      </c>
      <c r="AS618" t="s">
        <v>756</v>
      </c>
      <c r="AT618" t="s">
        <v>5270</v>
      </c>
      <c r="AV618" t="s">
        <v>1534</v>
      </c>
      <c r="AW618" t="s">
        <v>638</v>
      </c>
      <c r="AX618" t="s">
        <v>136</v>
      </c>
      <c r="AY618" t="s">
        <v>177</v>
      </c>
      <c r="AZ618" t="s">
        <v>627</v>
      </c>
      <c r="BA618" t="s">
        <v>5271</v>
      </c>
      <c r="BC618" t="s">
        <v>140</v>
      </c>
      <c r="BT618" s="7">
        <f t="shared" si="55"/>
        <v>78</v>
      </c>
      <c r="BU618" s="6">
        <f t="shared" si="56"/>
        <v>72.89719626168224</v>
      </c>
      <c r="BV618" s="6">
        <f t="shared" si="57"/>
        <v>5.1028037383177569</v>
      </c>
      <c r="BW618" s="6">
        <f t="shared" si="58"/>
        <v>78</v>
      </c>
      <c r="BX618" s="6">
        <f t="shared" si="59"/>
        <v>0</v>
      </c>
    </row>
    <row r="619" spans="1:76" x14ac:dyDescent="0.35">
      <c r="A619" t="s">
        <v>5272</v>
      </c>
      <c r="B619" t="s">
        <v>107</v>
      </c>
      <c r="C619" t="s">
        <v>107</v>
      </c>
      <c r="E619" t="s">
        <v>108</v>
      </c>
      <c r="F619" t="s">
        <v>613</v>
      </c>
      <c r="G619" t="s">
        <v>614</v>
      </c>
      <c r="H619" t="s">
        <v>615</v>
      </c>
      <c r="I619" t="s">
        <v>271</v>
      </c>
      <c r="J619" t="s">
        <v>113</v>
      </c>
      <c r="K619" s="8" t="s">
        <v>114</v>
      </c>
      <c r="L619" t="s">
        <v>2550</v>
      </c>
      <c r="M619" s="6">
        <v>196</v>
      </c>
      <c r="N619" t="s">
        <v>114</v>
      </c>
      <c r="O619" s="6">
        <v>118</v>
      </c>
      <c r="P619" t="s">
        <v>2552</v>
      </c>
      <c r="Q619" s="6">
        <v>0</v>
      </c>
      <c r="R619" s="7">
        <f t="shared" si="54"/>
        <v>78</v>
      </c>
      <c r="S619" t="s">
        <v>142</v>
      </c>
      <c r="T619" t="s">
        <v>114</v>
      </c>
      <c r="U619" t="s">
        <v>142</v>
      </c>
      <c r="W619" t="s">
        <v>114</v>
      </c>
      <c r="X619" t="s">
        <v>2552</v>
      </c>
      <c r="Z619" t="s">
        <v>5273</v>
      </c>
      <c r="AA619" t="s">
        <v>5274</v>
      </c>
      <c r="AB619" s="1" t="s">
        <v>5210</v>
      </c>
      <c r="AC619" t="s">
        <v>5275</v>
      </c>
      <c r="AD619" t="s">
        <v>5276</v>
      </c>
      <c r="AH619" t="s">
        <v>123</v>
      </c>
      <c r="AI619" t="s">
        <v>124</v>
      </c>
      <c r="AJ619" t="s">
        <v>5277</v>
      </c>
      <c r="AK619" t="s">
        <v>126</v>
      </c>
      <c r="AL619" t="s">
        <v>127</v>
      </c>
      <c r="AN619" t="s">
        <v>5278</v>
      </c>
      <c r="AO619" t="s">
        <v>5279</v>
      </c>
      <c r="AP619" t="s">
        <v>5280</v>
      </c>
      <c r="AQ619" t="s">
        <v>131</v>
      </c>
      <c r="AR619" t="s">
        <v>233</v>
      </c>
      <c r="AS619" t="s">
        <v>234</v>
      </c>
      <c r="AT619" t="s">
        <v>5281</v>
      </c>
      <c r="AV619" t="s">
        <v>495</v>
      </c>
      <c r="AX619" t="s">
        <v>176</v>
      </c>
      <c r="AY619" t="s">
        <v>177</v>
      </c>
      <c r="AZ619" t="s">
        <v>627</v>
      </c>
      <c r="BA619" t="s">
        <v>5282</v>
      </c>
      <c r="BC619" t="s">
        <v>140</v>
      </c>
      <c r="BT619" s="7">
        <f t="shared" si="55"/>
        <v>78</v>
      </c>
      <c r="BU619" s="6">
        <f t="shared" si="56"/>
        <v>72.89719626168224</v>
      </c>
      <c r="BV619" s="6">
        <f t="shared" si="57"/>
        <v>5.1028037383177569</v>
      </c>
      <c r="BW619" s="6">
        <f t="shared" si="58"/>
        <v>78</v>
      </c>
      <c r="BX619" s="6">
        <f t="shared" si="59"/>
        <v>0</v>
      </c>
    </row>
    <row r="620" spans="1:76" x14ac:dyDescent="0.35">
      <c r="A620" t="s">
        <v>5283</v>
      </c>
      <c r="B620" t="s">
        <v>107</v>
      </c>
      <c r="C620" t="s">
        <v>107</v>
      </c>
      <c r="E620" t="s">
        <v>108</v>
      </c>
      <c r="F620" t="s">
        <v>268</v>
      </c>
      <c r="G620" t="s">
        <v>269</v>
      </c>
      <c r="H620" t="s">
        <v>2268</v>
      </c>
      <c r="I620" t="s">
        <v>271</v>
      </c>
      <c r="J620" t="s">
        <v>113</v>
      </c>
      <c r="K620" s="8" t="s">
        <v>114</v>
      </c>
      <c r="L620" t="s">
        <v>114</v>
      </c>
      <c r="M620" s="6">
        <v>0</v>
      </c>
      <c r="N620" t="s">
        <v>114</v>
      </c>
      <c r="O620" s="6">
        <v>0</v>
      </c>
      <c r="P620" t="s">
        <v>114</v>
      </c>
      <c r="Q620" s="6">
        <v>0</v>
      </c>
      <c r="R620" s="7">
        <f t="shared" si="54"/>
        <v>0</v>
      </c>
      <c r="S620" t="s">
        <v>180</v>
      </c>
      <c r="T620" t="s">
        <v>114</v>
      </c>
      <c r="U620" t="s">
        <v>180</v>
      </c>
      <c r="W620" t="s">
        <v>114</v>
      </c>
      <c r="X620" t="s">
        <v>5284</v>
      </c>
      <c r="Z620" t="s">
        <v>5285</v>
      </c>
      <c r="AA620" t="s">
        <v>5286</v>
      </c>
      <c r="AB620" s="1" t="s">
        <v>5287</v>
      </c>
      <c r="AC620" t="s">
        <v>5288</v>
      </c>
      <c r="AD620" t="s">
        <v>5286</v>
      </c>
      <c r="AH620" t="s">
        <v>123</v>
      </c>
      <c r="AI620" t="s">
        <v>124</v>
      </c>
      <c r="AJ620" t="s">
        <v>5289</v>
      </c>
      <c r="AK620" t="s">
        <v>126</v>
      </c>
      <c r="AL620" t="s">
        <v>127</v>
      </c>
      <c r="AN620" t="s">
        <v>5290</v>
      </c>
      <c r="AO620" t="s">
        <v>5291</v>
      </c>
      <c r="AP620" t="s">
        <v>4721</v>
      </c>
      <c r="AQ620" t="s">
        <v>131</v>
      </c>
      <c r="AR620" t="s">
        <v>132</v>
      </c>
      <c r="AS620" t="s">
        <v>352</v>
      </c>
      <c r="AT620" t="s">
        <v>353</v>
      </c>
      <c r="AV620" t="s">
        <v>690</v>
      </c>
      <c r="AX620" t="s">
        <v>136</v>
      </c>
      <c r="AY620" t="s">
        <v>272</v>
      </c>
      <c r="AZ620" t="s">
        <v>273</v>
      </c>
      <c r="BA620" t="s">
        <v>5292</v>
      </c>
      <c r="BC620" t="s">
        <v>140</v>
      </c>
      <c r="BT620" s="7">
        <f t="shared" si="55"/>
        <v>0</v>
      </c>
      <c r="BU620" s="6">
        <f t="shared" si="56"/>
        <v>0</v>
      </c>
      <c r="BV620" s="6">
        <f t="shared" si="57"/>
        <v>0</v>
      </c>
      <c r="BW620" s="6">
        <f t="shared" si="58"/>
        <v>0</v>
      </c>
      <c r="BX620" s="6">
        <f t="shared" si="59"/>
        <v>0</v>
      </c>
    </row>
    <row r="621" spans="1:76" x14ac:dyDescent="0.35">
      <c r="A621" t="s">
        <v>5283</v>
      </c>
      <c r="B621" t="s">
        <v>107</v>
      </c>
      <c r="C621" t="s">
        <v>107</v>
      </c>
      <c r="E621" t="s">
        <v>108</v>
      </c>
      <c r="F621" t="s">
        <v>158</v>
      </c>
      <c r="G621" t="s">
        <v>159</v>
      </c>
      <c r="H621" t="s">
        <v>111</v>
      </c>
      <c r="I621" t="s">
        <v>341</v>
      </c>
      <c r="J621" t="s">
        <v>113</v>
      </c>
      <c r="K621" s="8" t="s">
        <v>114</v>
      </c>
      <c r="L621" t="s">
        <v>161</v>
      </c>
      <c r="M621" s="6">
        <v>459</v>
      </c>
      <c r="N621" t="s">
        <v>5293</v>
      </c>
      <c r="O621" s="6">
        <v>220</v>
      </c>
      <c r="P621" t="s">
        <v>5284</v>
      </c>
      <c r="Q621" s="6">
        <v>0</v>
      </c>
      <c r="R621" s="7">
        <f t="shared" si="54"/>
        <v>239</v>
      </c>
      <c r="S621" t="s">
        <v>180</v>
      </c>
      <c r="T621" t="s">
        <v>114</v>
      </c>
      <c r="U621" t="s">
        <v>180</v>
      </c>
      <c r="W621" t="s">
        <v>114</v>
      </c>
      <c r="X621" t="s">
        <v>5284</v>
      </c>
      <c r="Z621" t="s">
        <v>5285</v>
      </c>
      <c r="AA621" t="s">
        <v>5286</v>
      </c>
      <c r="AB621" s="1" t="s">
        <v>5287</v>
      </c>
      <c r="AC621" t="s">
        <v>5288</v>
      </c>
      <c r="AD621" t="s">
        <v>5286</v>
      </c>
      <c r="AH621" t="s">
        <v>123</v>
      </c>
      <c r="AI621" t="s">
        <v>124</v>
      </c>
      <c r="AJ621" t="s">
        <v>5289</v>
      </c>
      <c r="AK621" t="s">
        <v>126</v>
      </c>
      <c r="AL621" t="s">
        <v>127</v>
      </c>
      <c r="AN621" t="s">
        <v>5290</v>
      </c>
      <c r="AO621" t="s">
        <v>5291</v>
      </c>
      <c r="AP621" t="s">
        <v>4721</v>
      </c>
      <c r="AQ621" t="s">
        <v>131</v>
      </c>
      <c r="AR621" t="s">
        <v>132</v>
      </c>
      <c r="AS621" t="s">
        <v>352</v>
      </c>
      <c r="AT621" t="s">
        <v>353</v>
      </c>
      <c r="AV621" t="s">
        <v>690</v>
      </c>
      <c r="AX621" t="s">
        <v>136</v>
      </c>
      <c r="AY621" t="s">
        <v>177</v>
      </c>
      <c r="AZ621" t="s">
        <v>138</v>
      </c>
      <c r="BA621" t="s">
        <v>5292</v>
      </c>
      <c r="BC621" t="s">
        <v>140</v>
      </c>
      <c r="BT621" s="7">
        <f t="shared" si="55"/>
        <v>239</v>
      </c>
      <c r="BU621" s="6">
        <f t="shared" si="56"/>
        <v>223.36448598130841</v>
      </c>
      <c r="BV621" s="6">
        <f t="shared" si="57"/>
        <v>15.635514018691588</v>
      </c>
      <c r="BW621" s="6">
        <f t="shared" si="58"/>
        <v>239</v>
      </c>
      <c r="BX621" s="6">
        <f t="shared" si="59"/>
        <v>0</v>
      </c>
    </row>
    <row r="622" spans="1:76" x14ac:dyDescent="0.35">
      <c r="A622" t="s">
        <v>5294</v>
      </c>
      <c r="B622" t="s">
        <v>107</v>
      </c>
      <c r="C622" t="s">
        <v>107</v>
      </c>
      <c r="E622" t="s">
        <v>108</v>
      </c>
      <c r="F622" t="s">
        <v>158</v>
      </c>
      <c r="G622" t="s">
        <v>159</v>
      </c>
      <c r="H622" t="s">
        <v>111</v>
      </c>
      <c r="I622" t="s">
        <v>341</v>
      </c>
      <c r="J622" t="s">
        <v>113</v>
      </c>
      <c r="K622" s="8" t="s">
        <v>114</v>
      </c>
      <c r="L622" t="s">
        <v>161</v>
      </c>
      <c r="M622" s="6">
        <v>459</v>
      </c>
      <c r="N622" t="s">
        <v>5295</v>
      </c>
      <c r="O622" s="6">
        <v>220</v>
      </c>
      <c r="P622" t="s">
        <v>5296</v>
      </c>
      <c r="Q622" s="6">
        <v>38</v>
      </c>
      <c r="R622" s="7">
        <f t="shared" si="54"/>
        <v>277</v>
      </c>
      <c r="S622" t="s">
        <v>180</v>
      </c>
      <c r="T622" t="s">
        <v>114</v>
      </c>
      <c r="U622" t="s">
        <v>114</v>
      </c>
      <c r="W622" t="s">
        <v>114</v>
      </c>
      <c r="X622" t="s">
        <v>5297</v>
      </c>
      <c r="Z622" t="s">
        <v>5298</v>
      </c>
      <c r="AA622" t="s">
        <v>5299</v>
      </c>
      <c r="AB622" s="1" t="s">
        <v>5287</v>
      </c>
      <c r="AC622" t="s">
        <v>5300</v>
      </c>
      <c r="AD622" t="s">
        <v>5299</v>
      </c>
      <c r="AH622" t="s">
        <v>123</v>
      </c>
      <c r="AI622" t="s">
        <v>124</v>
      </c>
      <c r="AJ622" t="s">
        <v>5301</v>
      </c>
      <c r="AK622" t="s">
        <v>126</v>
      </c>
      <c r="AL622" t="s">
        <v>127</v>
      </c>
      <c r="AN622" t="s">
        <v>5302</v>
      </c>
      <c r="AO622" t="s">
        <v>1616</v>
      </c>
      <c r="AP622" t="s">
        <v>5303</v>
      </c>
      <c r="AQ622" t="s">
        <v>131</v>
      </c>
      <c r="AR622" t="s">
        <v>132</v>
      </c>
      <c r="AS622" t="s">
        <v>880</v>
      </c>
      <c r="AT622" t="s">
        <v>5304</v>
      </c>
      <c r="AV622" t="s">
        <v>1183</v>
      </c>
      <c r="AX622" t="s">
        <v>136</v>
      </c>
      <c r="AY622" t="s">
        <v>177</v>
      </c>
      <c r="AZ622" t="s">
        <v>138</v>
      </c>
      <c r="BA622" t="s">
        <v>5305</v>
      </c>
      <c r="BC622" t="s">
        <v>140</v>
      </c>
      <c r="BT622" s="7">
        <f t="shared" si="55"/>
        <v>277</v>
      </c>
      <c r="BU622" s="6">
        <f t="shared" si="56"/>
        <v>258.87850467289718</v>
      </c>
      <c r="BV622" s="6">
        <f t="shared" si="57"/>
        <v>18.121495327102803</v>
      </c>
      <c r="BW622" s="6">
        <f t="shared" si="58"/>
        <v>277</v>
      </c>
      <c r="BX622" s="6">
        <f t="shared" si="59"/>
        <v>0</v>
      </c>
    </row>
    <row r="623" spans="1:76" x14ac:dyDescent="0.35">
      <c r="A623" t="s">
        <v>5294</v>
      </c>
      <c r="B623" t="s">
        <v>107</v>
      </c>
      <c r="C623" t="s">
        <v>107</v>
      </c>
      <c r="E623" t="s">
        <v>108</v>
      </c>
      <c r="F623" t="s">
        <v>268</v>
      </c>
      <c r="G623" t="s">
        <v>269</v>
      </c>
      <c r="H623" t="s">
        <v>2268</v>
      </c>
      <c r="I623" t="s">
        <v>271</v>
      </c>
      <c r="J623" t="s">
        <v>113</v>
      </c>
      <c r="K623" s="8" t="s">
        <v>114</v>
      </c>
      <c r="L623" t="s">
        <v>114</v>
      </c>
      <c r="M623" s="6">
        <v>0</v>
      </c>
      <c r="N623" t="s">
        <v>114</v>
      </c>
      <c r="O623" s="6">
        <v>0</v>
      </c>
      <c r="P623" t="s">
        <v>114</v>
      </c>
      <c r="Q623" s="6">
        <v>38</v>
      </c>
      <c r="R623" s="7">
        <f t="shared" si="54"/>
        <v>38</v>
      </c>
      <c r="S623" t="s">
        <v>180</v>
      </c>
      <c r="T623" t="s">
        <v>114</v>
      </c>
      <c r="U623" t="s">
        <v>114</v>
      </c>
      <c r="W623" t="s">
        <v>114</v>
      </c>
      <c r="X623" t="s">
        <v>5297</v>
      </c>
      <c r="Z623" t="s">
        <v>5298</v>
      </c>
      <c r="AA623" t="s">
        <v>5299</v>
      </c>
      <c r="AB623" s="1" t="s">
        <v>5287</v>
      </c>
      <c r="AC623" t="s">
        <v>5300</v>
      </c>
      <c r="AD623" t="s">
        <v>5299</v>
      </c>
      <c r="AH623" t="s">
        <v>123</v>
      </c>
      <c r="AI623" t="s">
        <v>124</v>
      </c>
      <c r="AJ623" t="s">
        <v>5301</v>
      </c>
      <c r="AK623" t="s">
        <v>126</v>
      </c>
      <c r="AL623" t="s">
        <v>127</v>
      </c>
      <c r="AN623" t="s">
        <v>5302</v>
      </c>
      <c r="AO623" t="s">
        <v>1616</v>
      </c>
      <c r="AP623" t="s">
        <v>5303</v>
      </c>
      <c r="AQ623" t="s">
        <v>131</v>
      </c>
      <c r="AR623" t="s">
        <v>132</v>
      </c>
      <c r="AS623" t="s">
        <v>880</v>
      </c>
      <c r="AT623" t="s">
        <v>5304</v>
      </c>
      <c r="AV623" t="s">
        <v>1183</v>
      </c>
      <c r="AX623" t="s">
        <v>136</v>
      </c>
      <c r="AY623" t="s">
        <v>272</v>
      </c>
      <c r="AZ623" t="s">
        <v>273</v>
      </c>
      <c r="BA623" t="s">
        <v>5305</v>
      </c>
      <c r="BC623" t="s">
        <v>140</v>
      </c>
      <c r="BT623" s="7">
        <f t="shared" si="55"/>
        <v>38</v>
      </c>
      <c r="BU623" s="6">
        <f t="shared" si="56"/>
        <v>35.514018691588781</v>
      </c>
      <c r="BV623" s="6">
        <f t="shared" si="57"/>
        <v>2.4859813084112146</v>
      </c>
      <c r="BW623" s="6">
        <f t="shared" si="58"/>
        <v>37.999999999999993</v>
      </c>
      <c r="BX623" s="6">
        <f t="shared" si="59"/>
        <v>0</v>
      </c>
    </row>
    <row r="624" spans="1:76" x14ac:dyDescent="0.35">
      <c r="A624" t="s">
        <v>5306</v>
      </c>
      <c r="B624" t="s">
        <v>107</v>
      </c>
      <c r="C624" t="s">
        <v>107</v>
      </c>
      <c r="E624" t="s">
        <v>108</v>
      </c>
      <c r="F624" t="s">
        <v>158</v>
      </c>
      <c r="G624" t="s">
        <v>159</v>
      </c>
      <c r="H624" t="s">
        <v>111</v>
      </c>
      <c r="I624" t="s">
        <v>341</v>
      </c>
      <c r="J624" t="s">
        <v>113</v>
      </c>
      <c r="K624" s="8" t="s">
        <v>114</v>
      </c>
      <c r="L624" t="s">
        <v>161</v>
      </c>
      <c r="M624" s="6">
        <v>459</v>
      </c>
      <c r="N624" t="s">
        <v>2928</v>
      </c>
      <c r="O624" s="6">
        <v>220</v>
      </c>
      <c r="P624" t="s">
        <v>895</v>
      </c>
      <c r="Q624" s="6">
        <v>0</v>
      </c>
      <c r="R624" s="7">
        <f t="shared" si="54"/>
        <v>239</v>
      </c>
      <c r="S624" t="s">
        <v>142</v>
      </c>
      <c r="T624" t="s">
        <v>114</v>
      </c>
      <c r="U624" t="s">
        <v>142</v>
      </c>
      <c r="W624" t="s">
        <v>114</v>
      </c>
      <c r="X624" t="s">
        <v>895</v>
      </c>
      <c r="Z624" t="s">
        <v>5307</v>
      </c>
      <c r="AA624" t="s">
        <v>5308</v>
      </c>
      <c r="AB624" s="1" t="s">
        <v>5287</v>
      </c>
      <c r="AC624" t="s">
        <v>5309</v>
      </c>
      <c r="AD624" t="s">
        <v>5310</v>
      </c>
      <c r="AH624" t="s">
        <v>123</v>
      </c>
      <c r="AI624" t="s">
        <v>124</v>
      </c>
      <c r="AJ624" t="s">
        <v>5311</v>
      </c>
      <c r="AK624" t="s">
        <v>126</v>
      </c>
      <c r="AL624" t="s">
        <v>127</v>
      </c>
      <c r="AN624" t="s">
        <v>5312</v>
      </c>
      <c r="AO624" t="s">
        <v>5313</v>
      </c>
      <c r="AP624" t="s">
        <v>5314</v>
      </c>
      <c r="AQ624" t="s">
        <v>131</v>
      </c>
      <c r="AR624" t="s">
        <v>403</v>
      </c>
      <c r="AS624" t="s">
        <v>466</v>
      </c>
      <c r="AT624" t="s">
        <v>467</v>
      </c>
      <c r="AV624" t="s">
        <v>450</v>
      </c>
      <c r="AX624" t="s">
        <v>176</v>
      </c>
      <c r="AY624" t="s">
        <v>177</v>
      </c>
      <c r="AZ624" t="s">
        <v>138</v>
      </c>
      <c r="BA624" t="s">
        <v>5315</v>
      </c>
      <c r="BC624" t="s">
        <v>140</v>
      </c>
      <c r="BT624" s="7">
        <f t="shared" si="55"/>
        <v>239</v>
      </c>
      <c r="BU624" s="6">
        <f t="shared" si="56"/>
        <v>223.36448598130841</v>
      </c>
      <c r="BV624" s="6">
        <f t="shared" si="57"/>
        <v>15.635514018691588</v>
      </c>
      <c r="BW624" s="6">
        <f t="shared" si="58"/>
        <v>239</v>
      </c>
      <c r="BX624" s="6">
        <f t="shared" si="59"/>
        <v>0</v>
      </c>
    </row>
    <row r="625" spans="1:76" x14ac:dyDescent="0.35">
      <c r="A625" t="s">
        <v>5306</v>
      </c>
      <c r="B625" t="s">
        <v>107</v>
      </c>
      <c r="C625" t="s">
        <v>107</v>
      </c>
      <c r="E625" t="s">
        <v>108</v>
      </c>
      <c r="F625" t="s">
        <v>268</v>
      </c>
      <c r="G625" t="s">
        <v>269</v>
      </c>
      <c r="H625" t="s">
        <v>2268</v>
      </c>
      <c r="I625" t="s">
        <v>271</v>
      </c>
      <c r="J625" t="s">
        <v>113</v>
      </c>
      <c r="K625" s="8" t="s">
        <v>114</v>
      </c>
      <c r="L625" t="s">
        <v>114</v>
      </c>
      <c r="M625" s="6">
        <v>0</v>
      </c>
      <c r="N625" t="s">
        <v>114</v>
      </c>
      <c r="O625" s="6">
        <v>0</v>
      </c>
      <c r="P625" t="s">
        <v>114</v>
      </c>
      <c r="Q625" s="6">
        <v>0</v>
      </c>
      <c r="R625" s="7">
        <f t="shared" si="54"/>
        <v>0</v>
      </c>
      <c r="S625" t="s">
        <v>142</v>
      </c>
      <c r="T625" t="s">
        <v>114</v>
      </c>
      <c r="U625" t="s">
        <v>142</v>
      </c>
      <c r="W625" t="s">
        <v>114</v>
      </c>
      <c r="X625" t="s">
        <v>895</v>
      </c>
      <c r="Z625" t="s">
        <v>5307</v>
      </c>
      <c r="AA625" t="s">
        <v>5308</v>
      </c>
      <c r="AB625" s="1" t="s">
        <v>5287</v>
      </c>
      <c r="AC625" t="s">
        <v>5309</v>
      </c>
      <c r="AD625" t="s">
        <v>5310</v>
      </c>
      <c r="AH625" t="s">
        <v>123</v>
      </c>
      <c r="AI625" t="s">
        <v>124</v>
      </c>
      <c r="AJ625" t="s">
        <v>5311</v>
      </c>
      <c r="AK625" t="s">
        <v>126</v>
      </c>
      <c r="AL625" t="s">
        <v>127</v>
      </c>
      <c r="AN625" t="s">
        <v>5312</v>
      </c>
      <c r="AO625" t="s">
        <v>5313</v>
      </c>
      <c r="AP625" t="s">
        <v>5314</v>
      </c>
      <c r="AQ625" t="s">
        <v>131</v>
      </c>
      <c r="AR625" t="s">
        <v>403</v>
      </c>
      <c r="AS625" t="s">
        <v>466</v>
      </c>
      <c r="AT625" t="s">
        <v>467</v>
      </c>
      <c r="AV625" t="s">
        <v>450</v>
      </c>
      <c r="AX625" t="s">
        <v>176</v>
      </c>
      <c r="AY625" t="s">
        <v>272</v>
      </c>
      <c r="AZ625" t="s">
        <v>273</v>
      </c>
      <c r="BA625" t="s">
        <v>5315</v>
      </c>
      <c r="BC625" t="s">
        <v>140</v>
      </c>
      <c r="BT625" s="7">
        <f t="shared" si="55"/>
        <v>0</v>
      </c>
      <c r="BU625" s="6">
        <f t="shared" si="56"/>
        <v>0</v>
      </c>
      <c r="BV625" s="6">
        <f t="shared" si="57"/>
        <v>0</v>
      </c>
      <c r="BW625" s="6">
        <f t="shared" si="58"/>
        <v>0</v>
      </c>
      <c r="BX625" s="6">
        <f t="shared" si="59"/>
        <v>0</v>
      </c>
    </row>
    <row r="626" spans="1:76" x14ac:dyDescent="0.35">
      <c r="A626" t="s">
        <v>5316</v>
      </c>
      <c r="B626" t="s">
        <v>107</v>
      </c>
      <c r="C626" t="s">
        <v>107</v>
      </c>
      <c r="E626" t="s">
        <v>108</v>
      </c>
      <c r="F626" t="s">
        <v>613</v>
      </c>
      <c r="G626" t="s">
        <v>614</v>
      </c>
      <c r="H626" t="s">
        <v>615</v>
      </c>
      <c r="I626" t="s">
        <v>271</v>
      </c>
      <c r="J626" t="s">
        <v>113</v>
      </c>
      <c r="K626" s="8" t="s">
        <v>114</v>
      </c>
      <c r="L626" t="s">
        <v>2550</v>
      </c>
      <c r="M626" s="6">
        <v>196</v>
      </c>
      <c r="N626" t="s">
        <v>114</v>
      </c>
      <c r="O626" s="6">
        <v>118</v>
      </c>
      <c r="P626" t="s">
        <v>2552</v>
      </c>
      <c r="Q626" s="6">
        <v>29</v>
      </c>
      <c r="R626" s="7">
        <f t="shared" si="54"/>
        <v>107</v>
      </c>
      <c r="S626" t="s">
        <v>142</v>
      </c>
      <c r="T626" t="s">
        <v>114</v>
      </c>
      <c r="U626" t="s">
        <v>114</v>
      </c>
      <c r="W626" t="s">
        <v>114</v>
      </c>
      <c r="X626" t="s">
        <v>5317</v>
      </c>
      <c r="Z626" t="s">
        <v>5318</v>
      </c>
      <c r="AA626" t="s">
        <v>5319</v>
      </c>
      <c r="AB626" s="1" t="s">
        <v>5287</v>
      </c>
      <c r="AC626" t="s">
        <v>5320</v>
      </c>
      <c r="AD626" t="s">
        <v>5321</v>
      </c>
      <c r="AH626" t="s">
        <v>123</v>
      </c>
      <c r="AI626" t="s">
        <v>124</v>
      </c>
      <c r="AJ626" t="s">
        <v>5322</v>
      </c>
      <c r="AK626" t="s">
        <v>126</v>
      </c>
      <c r="AL626" t="s">
        <v>127</v>
      </c>
      <c r="AN626" t="s">
        <v>5323</v>
      </c>
      <c r="AO626" t="s">
        <v>5324</v>
      </c>
      <c r="AP626" t="s">
        <v>5325</v>
      </c>
      <c r="AQ626" t="s">
        <v>131</v>
      </c>
      <c r="AR626" t="s">
        <v>132</v>
      </c>
      <c r="AS626" t="s">
        <v>152</v>
      </c>
      <c r="AT626" t="s">
        <v>854</v>
      </c>
      <c r="AV626" t="s">
        <v>3795</v>
      </c>
      <c r="AW626" t="s">
        <v>1195</v>
      </c>
      <c r="AX626" t="s">
        <v>655</v>
      </c>
      <c r="AY626" t="s">
        <v>177</v>
      </c>
      <c r="AZ626" t="s">
        <v>627</v>
      </c>
      <c r="BA626" t="s">
        <v>5326</v>
      </c>
      <c r="BC626" t="s">
        <v>140</v>
      </c>
      <c r="BT626" s="7">
        <f t="shared" si="55"/>
        <v>107</v>
      </c>
      <c r="BU626" s="6">
        <f t="shared" si="56"/>
        <v>100</v>
      </c>
      <c r="BV626" s="6">
        <f t="shared" si="57"/>
        <v>7</v>
      </c>
      <c r="BW626" s="6">
        <f t="shared" si="58"/>
        <v>107</v>
      </c>
      <c r="BX626" s="6">
        <f t="shared" si="59"/>
        <v>0</v>
      </c>
    </row>
    <row r="627" spans="1:76" x14ac:dyDescent="0.35">
      <c r="A627" t="s">
        <v>5327</v>
      </c>
      <c r="B627" t="s">
        <v>107</v>
      </c>
      <c r="C627" t="s">
        <v>107</v>
      </c>
      <c r="E627" t="s">
        <v>108</v>
      </c>
      <c r="F627" t="s">
        <v>158</v>
      </c>
      <c r="G627" t="s">
        <v>159</v>
      </c>
      <c r="H627" t="s">
        <v>111</v>
      </c>
      <c r="I627" t="s">
        <v>341</v>
      </c>
      <c r="J627" t="s">
        <v>113</v>
      </c>
      <c r="K627" s="8" t="s">
        <v>114</v>
      </c>
      <c r="L627" t="s">
        <v>161</v>
      </c>
      <c r="M627" s="6">
        <v>459</v>
      </c>
      <c r="N627" t="s">
        <v>5295</v>
      </c>
      <c r="O627" s="6">
        <v>220</v>
      </c>
      <c r="P627" t="s">
        <v>5296</v>
      </c>
      <c r="Q627" s="6">
        <v>0</v>
      </c>
      <c r="R627" s="7">
        <f t="shared" si="54"/>
        <v>239</v>
      </c>
      <c r="S627" t="s">
        <v>180</v>
      </c>
      <c r="T627" t="s">
        <v>114</v>
      </c>
      <c r="U627" t="s">
        <v>180</v>
      </c>
      <c r="W627" t="s">
        <v>114</v>
      </c>
      <c r="X627" t="s">
        <v>5296</v>
      </c>
      <c r="Z627" t="s">
        <v>5328</v>
      </c>
      <c r="AA627" t="s">
        <v>5329</v>
      </c>
      <c r="AB627" s="1" t="s">
        <v>5287</v>
      </c>
      <c r="AC627" t="s">
        <v>5330</v>
      </c>
      <c r="AD627" t="s">
        <v>5329</v>
      </c>
      <c r="AH627" t="s">
        <v>123</v>
      </c>
      <c r="AI627" t="s">
        <v>124</v>
      </c>
      <c r="AJ627" t="s">
        <v>5331</v>
      </c>
      <c r="AK627" t="s">
        <v>126</v>
      </c>
      <c r="AL627" t="s">
        <v>127</v>
      </c>
      <c r="AN627" t="s">
        <v>5332</v>
      </c>
      <c r="AO627" t="s">
        <v>5333</v>
      </c>
      <c r="AP627" t="s">
        <v>5334</v>
      </c>
      <c r="AQ627" t="s">
        <v>131</v>
      </c>
      <c r="AR627" t="s">
        <v>403</v>
      </c>
      <c r="AS627" t="s">
        <v>743</v>
      </c>
      <c r="AT627" t="s">
        <v>3298</v>
      </c>
      <c r="AV627" t="s">
        <v>3228</v>
      </c>
      <c r="AX627" t="s">
        <v>136</v>
      </c>
      <c r="AY627" t="s">
        <v>177</v>
      </c>
      <c r="AZ627" t="s">
        <v>138</v>
      </c>
      <c r="BA627" t="s">
        <v>5335</v>
      </c>
      <c r="BC627" t="s">
        <v>140</v>
      </c>
      <c r="BT627" s="7">
        <f t="shared" si="55"/>
        <v>239</v>
      </c>
      <c r="BU627" s="6">
        <f t="shared" si="56"/>
        <v>223.36448598130841</v>
      </c>
      <c r="BV627" s="6">
        <f t="shared" si="57"/>
        <v>15.635514018691588</v>
      </c>
      <c r="BW627" s="6">
        <f t="shared" si="58"/>
        <v>239</v>
      </c>
      <c r="BX627" s="6">
        <f t="shared" si="59"/>
        <v>0</v>
      </c>
    </row>
    <row r="628" spans="1:76" x14ac:dyDescent="0.35">
      <c r="A628" t="s">
        <v>5327</v>
      </c>
      <c r="B628" t="s">
        <v>107</v>
      </c>
      <c r="C628" t="s">
        <v>107</v>
      </c>
      <c r="E628" t="s">
        <v>108</v>
      </c>
      <c r="F628" t="s">
        <v>268</v>
      </c>
      <c r="G628" t="s">
        <v>269</v>
      </c>
      <c r="H628" t="s">
        <v>2268</v>
      </c>
      <c r="I628" t="s">
        <v>271</v>
      </c>
      <c r="J628" t="s">
        <v>113</v>
      </c>
      <c r="K628" s="8" t="s">
        <v>114</v>
      </c>
      <c r="L628" t="s">
        <v>114</v>
      </c>
      <c r="M628" s="6">
        <v>0</v>
      </c>
      <c r="N628" t="s">
        <v>114</v>
      </c>
      <c r="O628" s="6">
        <v>0</v>
      </c>
      <c r="P628" t="s">
        <v>114</v>
      </c>
      <c r="Q628" s="6">
        <v>0</v>
      </c>
      <c r="R628" s="7">
        <f t="shared" si="54"/>
        <v>0</v>
      </c>
      <c r="S628" t="s">
        <v>180</v>
      </c>
      <c r="T628" t="s">
        <v>114</v>
      </c>
      <c r="U628" t="s">
        <v>180</v>
      </c>
      <c r="W628" t="s">
        <v>114</v>
      </c>
      <c r="X628" t="s">
        <v>5296</v>
      </c>
      <c r="Z628" t="s">
        <v>5328</v>
      </c>
      <c r="AA628" t="s">
        <v>5329</v>
      </c>
      <c r="AB628" s="1" t="s">
        <v>5287</v>
      </c>
      <c r="AC628" t="s">
        <v>5330</v>
      </c>
      <c r="AD628" t="s">
        <v>5329</v>
      </c>
      <c r="AH628" t="s">
        <v>123</v>
      </c>
      <c r="AI628" t="s">
        <v>124</v>
      </c>
      <c r="AJ628" t="s">
        <v>5331</v>
      </c>
      <c r="AK628" t="s">
        <v>126</v>
      </c>
      <c r="AL628" t="s">
        <v>127</v>
      </c>
      <c r="AN628" t="s">
        <v>5332</v>
      </c>
      <c r="AO628" t="s">
        <v>5333</v>
      </c>
      <c r="AP628" t="s">
        <v>5334</v>
      </c>
      <c r="AQ628" t="s">
        <v>131</v>
      </c>
      <c r="AR628" t="s">
        <v>403</v>
      </c>
      <c r="AS628" t="s">
        <v>743</v>
      </c>
      <c r="AT628" t="s">
        <v>3298</v>
      </c>
      <c r="AV628" t="s">
        <v>3228</v>
      </c>
      <c r="AX628" t="s">
        <v>136</v>
      </c>
      <c r="AY628" t="s">
        <v>272</v>
      </c>
      <c r="AZ628" t="s">
        <v>273</v>
      </c>
      <c r="BA628" t="s">
        <v>5335</v>
      </c>
      <c r="BC628" t="s">
        <v>140</v>
      </c>
      <c r="BT628" s="7">
        <f t="shared" si="55"/>
        <v>0</v>
      </c>
      <c r="BU628" s="6">
        <f t="shared" si="56"/>
        <v>0</v>
      </c>
      <c r="BV628" s="6">
        <f t="shared" si="57"/>
        <v>0</v>
      </c>
      <c r="BW628" s="6">
        <f t="shared" si="58"/>
        <v>0</v>
      </c>
      <c r="BX628" s="6">
        <f t="shared" si="59"/>
        <v>0</v>
      </c>
    </row>
    <row r="632" spans="1:76" ht="15" thickBot="1" x14ac:dyDescent="0.4">
      <c r="BU632" s="16">
        <f>SUM(BU4:BU631)</f>
        <v>51697.093457943782</v>
      </c>
      <c r="BV632" s="16">
        <f>SUM(BV4:BV631)</f>
        <v>3618.7965420560686</v>
      </c>
      <c r="BW632" s="16">
        <f>SUM(BW4:BW631)</f>
        <v>55315.889999999992</v>
      </c>
      <c r="BX632" s="16">
        <f>SUM(BX4:BX631)</f>
        <v>0</v>
      </c>
    </row>
    <row r="633" spans="1:76" ht="15" thickTop="1" x14ac:dyDescent="0.35"/>
  </sheetData>
  <autoFilter ref="K1:K628" xr:uid="{14D5B8D2-1FFA-4289-9764-7FE2DB1AFFFB}"/>
  <mergeCells count="2">
    <mergeCell ref="R1:R3"/>
    <mergeCell ref="BT1:BT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28"/>
  <sheetViews>
    <sheetView workbookViewId="0">
      <selection activeCell="M7" sqref="M7"/>
    </sheetView>
  </sheetViews>
  <sheetFormatPr defaultRowHeight="14.5" x14ac:dyDescent="0.35"/>
  <cols>
    <col min="1" max="1" width="30" customWidth="1"/>
    <col min="8" max="9" width="30" customWidth="1"/>
    <col min="10" max="10" width="10" customWidth="1"/>
    <col min="11" max="11" width="32.7265625" bestFit="1" customWidth="1"/>
    <col min="13" max="13" width="46" bestFit="1" customWidth="1"/>
    <col min="15" max="15" width="32.1796875" bestFit="1" customWidth="1"/>
    <col min="17" max="17" width="89.453125" bestFit="1" customWidth="1"/>
    <col min="27" max="27" width="47" bestFit="1" customWidth="1"/>
    <col min="35" max="35" width="20" customWidth="1"/>
    <col min="39" max="39" width="25.81640625" bestFit="1" customWidth="1"/>
  </cols>
  <sheetData>
    <row r="1" spans="1:63" x14ac:dyDescent="0.35">
      <c r="K1" s="8"/>
      <c r="M1" s="2" t="s">
        <v>5337</v>
      </c>
      <c r="O1" s="4" t="s">
        <v>5338</v>
      </c>
      <c r="Q1" s="5" t="s">
        <v>5339</v>
      </c>
      <c r="AA1" s="14"/>
      <c r="AM1" s="10"/>
    </row>
    <row r="2" spans="1:6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8" t="s">
        <v>10</v>
      </c>
      <c r="L2" t="s">
        <v>11</v>
      </c>
      <c r="M2" s="3" t="s">
        <v>12</v>
      </c>
      <c r="N2" t="s">
        <v>13</v>
      </c>
      <c r="O2" s="4" t="s">
        <v>14</v>
      </c>
      <c r="P2" t="s">
        <v>15</v>
      </c>
      <c r="Q2" s="5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s="14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s="10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</row>
    <row r="3" spans="1:63" x14ac:dyDescent="0.35">
      <c r="A3" t="s">
        <v>63</v>
      </c>
      <c r="B3" t="s">
        <v>64</v>
      </c>
      <c r="D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8" t="s">
        <v>71</v>
      </c>
      <c r="L3" t="s">
        <v>72</v>
      </c>
      <c r="M3" s="3" t="s">
        <v>73</v>
      </c>
      <c r="N3" t="s">
        <v>74</v>
      </c>
      <c r="O3" s="4" t="s">
        <v>75</v>
      </c>
      <c r="P3" t="s">
        <v>76</v>
      </c>
      <c r="Q3" s="5" t="s">
        <v>77</v>
      </c>
      <c r="R3" t="s">
        <v>78</v>
      </c>
      <c r="S3" t="s">
        <v>79</v>
      </c>
      <c r="T3" t="s">
        <v>80</v>
      </c>
      <c r="U3" t="s">
        <v>81</v>
      </c>
      <c r="W3" t="s">
        <v>82</v>
      </c>
      <c r="X3" t="s">
        <v>83</v>
      </c>
      <c r="Y3" t="s">
        <v>84</v>
      </c>
      <c r="Z3" t="s">
        <v>85</v>
      </c>
      <c r="AA3" s="14" t="s">
        <v>86</v>
      </c>
      <c r="AB3" t="s">
        <v>87</v>
      </c>
      <c r="AC3" t="s">
        <v>88</v>
      </c>
      <c r="AD3" t="s">
        <v>89</v>
      </c>
      <c r="AE3" t="s">
        <v>90</v>
      </c>
      <c r="AF3" t="s">
        <v>91</v>
      </c>
      <c r="AI3" t="s">
        <v>92</v>
      </c>
      <c r="AJ3" t="s">
        <v>93</v>
      </c>
      <c r="AK3" t="s">
        <v>94</v>
      </c>
      <c r="AM3" s="10"/>
      <c r="AW3" t="s">
        <v>95</v>
      </c>
      <c r="AY3" t="s">
        <v>96</v>
      </c>
      <c r="AZ3" t="s">
        <v>97</v>
      </c>
      <c r="BD3" t="s">
        <v>98</v>
      </c>
      <c r="BE3" t="s">
        <v>99</v>
      </c>
      <c r="BF3" t="s">
        <v>100</v>
      </c>
      <c r="BG3" t="s">
        <v>101</v>
      </c>
      <c r="BH3" t="s">
        <v>102</v>
      </c>
      <c r="BI3" t="s">
        <v>103</v>
      </c>
      <c r="BJ3" t="s">
        <v>104</v>
      </c>
      <c r="BK3" t="s">
        <v>105</v>
      </c>
    </row>
    <row r="4" spans="1:63" x14ac:dyDescent="0.35">
      <c r="A4" t="s">
        <v>106</v>
      </c>
      <c r="B4" t="s">
        <v>107</v>
      </c>
      <c r="C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115</v>
      </c>
      <c r="N4" t="s">
        <v>114</v>
      </c>
      <c r="O4" t="s">
        <v>116</v>
      </c>
      <c r="P4" t="s">
        <v>117</v>
      </c>
      <c r="Q4" t="s">
        <v>114</v>
      </c>
      <c r="R4" t="s">
        <v>118</v>
      </c>
      <c r="S4" t="s">
        <v>114</v>
      </c>
      <c r="T4" t="s">
        <v>118</v>
      </c>
      <c r="V4" t="s">
        <v>114</v>
      </c>
      <c r="W4" t="s">
        <v>117</v>
      </c>
      <c r="Y4" t="s">
        <v>119</v>
      </c>
      <c r="Z4" t="s">
        <v>120</v>
      </c>
      <c r="AA4" t="s">
        <v>121</v>
      </c>
      <c r="AB4" t="s">
        <v>122</v>
      </c>
      <c r="AC4" t="s">
        <v>120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  <c r="AM4" t="s">
        <v>128</v>
      </c>
      <c r="AN4" t="s">
        <v>129</v>
      </c>
      <c r="AO4" t="s">
        <v>130</v>
      </c>
      <c r="AP4" t="s">
        <v>131</v>
      </c>
      <c r="AQ4" t="s">
        <v>132</v>
      </c>
      <c r="AR4" t="s">
        <v>133</v>
      </c>
      <c r="AS4" t="s">
        <v>134</v>
      </c>
      <c r="AU4" t="s">
        <v>135</v>
      </c>
      <c r="AW4" t="s">
        <v>136</v>
      </c>
      <c r="AX4" t="s">
        <v>137</v>
      </c>
      <c r="AY4" t="s">
        <v>138</v>
      </c>
      <c r="AZ4" t="s">
        <v>139</v>
      </c>
      <c r="BB4" t="s">
        <v>140</v>
      </c>
    </row>
    <row r="5" spans="1:63" x14ac:dyDescent="0.35">
      <c r="A5" t="s">
        <v>141</v>
      </c>
      <c r="B5" t="s">
        <v>107</v>
      </c>
      <c r="C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115</v>
      </c>
      <c r="N5" t="s">
        <v>114</v>
      </c>
      <c r="O5" t="s">
        <v>116</v>
      </c>
      <c r="P5" t="s">
        <v>117</v>
      </c>
      <c r="Q5" t="s">
        <v>114</v>
      </c>
      <c r="R5" t="s">
        <v>142</v>
      </c>
      <c r="S5" t="s">
        <v>114</v>
      </c>
      <c r="T5" t="s">
        <v>142</v>
      </c>
      <c r="V5" t="s">
        <v>114</v>
      </c>
      <c r="W5" t="s">
        <v>117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G5" t="s">
        <v>123</v>
      </c>
      <c r="AH5" t="s">
        <v>124</v>
      </c>
      <c r="AI5" t="s">
        <v>148</v>
      </c>
      <c r="AJ5" t="s">
        <v>126</v>
      </c>
      <c r="AK5" t="s">
        <v>127</v>
      </c>
      <c r="AM5" t="s">
        <v>149</v>
      </c>
      <c r="AN5" t="s">
        <v>150</v>
      </c>
      <c r="AO5" t="s">
        <v>151</v>
      </c>
      <c r="AP5" t="s">
        <v>131</v>
      </c>
      <c r="AQ5" t="s">
        <v>132</v>
      </c>
      <c r="AR5" t="s">
        <v>152</v>
      </c>
      <c r="AS5" t="s">
        <v>153</v>
      </c>
      <c r="AU5" t="s">
        <v>154</v>
      </c>
      <c r="AW5" t="s">
        <v>155</v>
      </c>
      <c r="AX5" t="s">
        <v>137</v>
      </c>
      <c r="AY5" t="s">
        <v>138</v>
      </c>
      <c r="AZ5" t="s">
        <v>156</v>
      </c>
      <c r="BB5" t="s">
        <v>140</v>
      </c>
    </row>
    <row r="6" spans="1:63" x14ac:dyDescent="0.35">
      <c r="A6" t="s">
        <v>157</v>
      </c>
      <c r="B6" t="s">
        <v>107</v>
      </c>
      <c r="C6" t="s">
        <v>107</v>
      </c>
      <c r="E6" t="s">
        <v>108</v>
      </c>
      <c r="F6" t="s">
        <v>158</v>
      </c>
      <c r="G6" t="s">
        <v>159</v>
      </c>
      <c r="H6" t="s">
        <v>111</v>
      </c>
      <c r="I6" t="s">
        <v>160</v>
      </c>
      <c r="J6" t="s">
        <v>113</v>
      </c>
      <c r="K6" t="s">
        <v>114</v>
      </c>
      <c r="L6" t="s">
        <v>161</v>
      </c>
      <c r="M6" t="s">
        <v>161</v>
      </c>
      <c r="N6" t="s">
        <v>162</v>
      </c>
      <c r="O6" t="s">
        <v>163</v>
      </c>
      <c r="P6" t="s">
        <v>164</v>
      </c>
      <c r="Q6" t="s">
        <v>114</v>
      </c>
      <c r="R6" t="s">
        <v>142</v>
      </c>
      <c r="S6" t="s">
        <v>114</v>
      </c>
      <c r="T6" t="s">
        <v>142</v>
      </c>
      <c r="V6" t="s">
        <v>114</v>
      </c>
      <c r="W6" t="s">
        <v>164</v>
      </c>
      <c r="Y6" t="s">
        <v>165</v>
      </c>
      <c r="Z6" t="s">
        <v>166</v>
      </c>
      <c r="AA6" t="s">
        <v>167</v>
      </c>
      <c r="AB6" t="s">
        <v>168</v>
      </c>
      <c r="AC6" t="s">
        <v>169</v>
      </c>
      <c r="AG6" t="s">
        <v>123</v>
      </c>
      <c r="AH6" t="s">
        <v>124</v>
      </c>
      <c r="AI6" t="s">
        <v>170</v>
      </c>
      <c r="AJ6" t="s">
        <v>126</v>
      </c>
      <c r="AK6" t="s">
        <v>127</v>
      </c>
      <c r="AM6" t="s">
        <v>171</v>
      </c>
      <c r="AN6" t="s">
        <v>172</v>
      </c>
      <c r="AO6" t="s">
        <v>173</v>
      </c>
      <c r="AP6" t="s">
        <v>131</v>
      </c>
      <c r="AQ6" t="s">
        <v>132</v>
      </c>
      <c r="AR6" t="s">
        <v>152</v>
      </c>
      <c r="AS6" t="s">
        <v>174</v>
      </c>
      <c r="AU6" t="s">
        <v>175</v>
      </c>
      <c r="AW6" t="s">
        <v>176</v>
      </c>
      <c r="AX6" t="s">
        <v>177</v>
      </c>
      <c r="AY6" t="s">
        <v>138</v>
      </c>
      <c r="AZ6" t="s">
        <v>178</v>
      </c>
      <c r="BB6" t="s">
        <v>140</v>
      </c>
    </row>
    <row r="7" spans="1:63" x14ac:dyDescent="0.35">
      <c r="A7" t="s">
        <v>179</v>
      </c>
      <c r="B7" t="s">
        <v>107</v>
      </c>
      <c r="C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115</v>
      </c>
      <c r="N7" t="s">
        <v>114</v>
      </c>
      <c r="O7" t="s">
        <v>116</v>
      </c>
      <c r="P7" t="s">
        <v>117</v>
      </c>
      <c r="Q7" t="s">
        <v>114</v>
      </c>
      <c r="R7" t="s">
        <v>180</v>
      </c>
      <c r="S7" t="s">
        <v>114</v>
      </c>
      <c r="T7" t="s">
        <v>180</v>
      </c>
      <c r="V7" t="s">
        <v>114</v>
      </c>
      <c r="W7" t="s">
        <v>117</v>
      </c>
      <c r="Y7" t="s">
        <v>181</v>
      </c>
      <c r="Z7" t="s">
        <v>182</v>
      </c>
      <c r="AA7" t="s">
        <v>183</v>
      </c>
      <c r="AB7" t="s">
        <v>184</v>
      </c>
      <c r="AC7" t="s">
        <v>182</v>
      </c>
      <c r="AG7" t="s">
        <v>123</v>
      </c>
      <c r="AH7" t="s">
        <v>124</v>
      </c>
      <c r="AI7" t="s">
        <v>185</v>
      </c>
      <c r="AJ7" t="s">
        <v>126</v>
      </c>
      <c r="AK7" t="s">
        <v>127</v>
      </c>
      <c r="AM7" t="s">
        <v>186</v>
      </c>
      <c r="AN7" t="s">
        <v>187</v>
      </c>
      <c r="AO7" t="s">
        <v>188</v>
      </c>
      <c r="AP7" t="s">
        <v>131</v>
      </c>
      <c r="AQ7" t="s">
        <v>132</v>
      </c>
      <c r="AR7" t="s">
        <v>133</v>
      </c>
      <c r="AS7" t="s">
        <v>189</v>
      </c>
      <c r="AU7" t="s">
        <v>190</v>
      </c>
      <c r="AV7" t="s">
        <v>191</v>
      </c>
      <c r="AW7" t="s">
        <v>136</v>
      </c>
      <c r="AX7" t="s">
        <v>137</v>
      </c>
      <c r="AY7" t="s">
        <v>138</v>
      </c>
      <c r="AZ7" t="s">
        <v>192</v>
      </c>
      <c r="BB7" t="s">
        <v>140</v>
      </c>
    </row>
    <row r="8" spans="1:63" x14ac:dyDescent="0.35">
      <c r="A8" t="s">
        <v>193</v>
      </c>
      <c r="B8" t="s">
        <v>107</v>
      </c>
      <c r="C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115</v>
      </c>
      <c r="N8" t="s">
        <v>114</v>
      </c>
      <c r="O8" t="s">
        <v>116</v>
      </c>
      <c r="P8" t="s">
        <v>117</v>
      </c>
      <c r="Q8" t="s">
        <v>114</v>
      </c>
      <c r="R8" t="s">
        <v>194</v>
      </c>
      <c r="S8" t="s">
        <v>114</v>
      </c>
      <c r="T8" t="s">
        <v>194</v>
      </c>
      <c r="V8" t="s">
        <v>114</v>
      </c>
      <c r="W8" t="s">
        <v>117</v>
      </c>
      <c r="Y8" t="s">
        <v>195</v>
      </c>
      <c r="Z8" t="s">
        <v>196</v>
      </c>
      <c r="AA8" t="s">
        <v>183</v>
      </c>
      <c r="AB8" t="s">
        <v>197</v>
      </c>
      <c r="AC8" t="s">
        <v>196</v>
      </c>
      <c r="AG8" t="s">
        <v>123</v>
      </c>
      <c r="AH8" t="s">
        <v>124</v>
      </c>
      <c r="AI8" t="s">
        <v>198</v>
      </c>
      <c r="AJ8" t="s">
        <v>126</v>
      </c>
      <c r="AK8" t="s">
        <v>127</v>
      </c>
      <c r="AM8" t="s">
        <v>199</v>
      </c>
      <c r="AN8" t="s">
        <v>200</v>
      </c>
      <c r="AO8" t="s">
        <v>201</v>
      </c>
      <c r="AP8" t="s">
        <v>131</v>
      </c>
      <c r="AQ8" t="s">
        <v>132</v>
      </c>
      <c r="AR8" t="s">
        <v>202</v>
      </c>
      <c r="AS8" t="s">
        <v>203</v>
      </c>
      <c r="AU8" t="s">
        <v>204</v>
      </c>
      <c r="AW8" t="s">
        <v>136</v>
      </c>
      <c r="AX8" t="s">
        <v>137</v>
      </c>
      <c r="AY8" t="s">
        <v>138</v>
      </c>
      <c r="AZ8" t="s">
        <v>205</v>
      </c>
      <c r="BB8" t="s">
        <v>140</v>
      </c>
    </row>
    <row r="9" spans="1:63" x14ac:dyDescent="0.35">
      <c r="A9" t="s">
        <v>206</v>
      </c>
      <c r="B9" t="s">
        <v>107</v>
      </c>
      <c r="C9" t="s">
        <v>107</v>
      </c>
      <c r="E9" t="s">
        <v>108</v>
      </c>
      <c r="F9" t="s">
        <v>158</v>
      </c>
      <c r="G9" t="s">
        <v>159</v>
      </c>
      <c r="H9" t="s">
        <v>111</v>
      </c>
      <c r="I9" t="s">
        <v>160</v>
      </c>
      <c r="J9" t="s">
        <v>113</v>
      </c>
      <c r="K9" t="s">
        <v>114</v>
      </c>
      <c r="L9" t="s">
        <v>161</v>
      </c>
      <c r="M9" t="s">
        <v>161</v>
      </c>
      <c r="N9" t="s">
        <v>207</v>
      </c>
      <c r="O9" t="s">
        <v>163</v>
      </c>
      <c r="P9" t="s">
        <v>208</v>
      </c>
      <c r="Q9" t="s">
        <v>114</v>
      </c>
      <c r="R9" t="s">
        <v>180</v>
      </c>
      <c r="S9" t="s">
        <v>114</v>
      </c>
      <c r="T9" t="s">
        <v>180</v>
      </c>
      <c r="V9" t="s">
        <v>114</v>
      </c>
      <c r="W9" t="s">
        <v>208</v>
      </c>
      <c r="Y9" t="s">
        <v>209</v>
      </c>
      <c r="Z9" t="s">
        <v>210</v>
      </c>
      <c r="AA9" t="s">
        <v>211</v>
      </c>
      <c r="AB9" t="s">
        <v>212</v>
      </c>
      <c r="AC9" t="s">
        <v>210</v>
      </c>
      <c r="AG9" t="s">
        <v>123</v>
      </c>
      <c r="AH9" t="s">
        <v>124</v>
      </c>
      <c r="AI9" t="s">
        <v>213</v>
      </c>
      <c r="AJ9" t="s">
        <v>126</v>
      </c>
      <c r="AK9" t="s">
        <v>127</v>
      </c>
      <c r="AM9" t="s">
        <v>214</v>
      </c>
      <c r="AN9" t="s">
        <v>215</v>
      </c>
      <c r="AO9" t="s">
        <v>216</v>
      </c>
      <c r="AP9" t="s">
        <v>131</v>
      </c>
      <c r="AQ9" t="s">
        <v>132</v>
      </c>
      <c r="AR9" t="s">
        <v>217</v>
      </c>
      <c r="AS9" t="s">
        <v>218</v>
      </c>
      <c r="AU9" t="s">
        <v>219</v>
      </c>
      <c r="AW9" t="s">
        <v>136</v>
      </c>
      <c r="AX9" t="s">
        <v>177</v>
      </c>
      <c r="AY9" t="s">
        <v>138</v>
      </c>
      <c r="AZ9" t="s">
        <v>220</v>
      </c>
      <c r="BB9" t="s">
        <v>140</v>
      </c>
    </row>
    <row r="10" spans="1:63" x14ac:dyDescent="0.35">
      <c r="A10" t="s">
        <v>221</v>
      </c>
      <c r="B10" t="s">
        <v>107</v>
      </c>
      <c r="C10" t="s">
        <v>107</v>
      </c>
      <c r="E10" t="s">
        <v>108</v>
      </c>
      <c r="F10" t="s">
        <v>158</v>
      </c>
      <c r="G10" t="s">
        <v>159</v>
      </c>
      <c r="H10" t="s">
        <v>111</v>
      </c>
      <c r="I10" t="s">
        <v>160</v>
      </c>
      <c r="J10" t="s">
        <v>113</v>
      </c>
      <c r="K10" t="s">
        <v>114</v>
      </c>
      <c r="L10" t="s">
        <v>161</v>
      </c>
      <c r="M10" t="s">
        <v>161</v>
      </c>
      <c r="N10" t="s">
        <v>222</v>
      </c>
      <c r="O10" t="s">
        <v>163</v>
      </c>
      <c r="P10" t="s">
        <v>223</v>
      </c>
      <c r="Q10" t="s">
        <v>114</v>
      </c>
      <c r="R10" t="s">
        <v>142</v>
      </c>
      <c r="S10" t="s">
        <v>114</v>
      </c>
      <c r="T10" t="s">
        <v>142</v>
      </c>
      <c r="V10" t="s">
        <v>114</v>
      </c>
      <c r="W10" t="s">
        <v>223</v>
      </c>
      <c r="Y10" t="s">
        <v>224</v>
      </c>
      <c r="Z10" t="s">
        <v>225</v>
      </c>
      <c r="AA10" t="s">
        <v>226</v>
      </c>
      <c r="AB10" t="s">
        <v>227</v>
      </c>
      <c r="AC10" t="s">
        <v>228</v>
      </c>
      <c r="AG10" t="s">
        <v>123</v>
      </c>
      <c r="AH10" t="s">
        <v>124</v>
      </c>
      <c r="AI10" t="s">
        <v>229</v>
      </c>
      <c r="AJ10" t="s">
        <v>126</v>
      </c>
      <c r="AK10" t="s">
        <v>127</v>
      </c>
      <c r="AM10" t="s">
        <v>230</v>
      </c>
      <c r="AN10" t="s">
        <v>231</v>
      </c>
      <c r="AO10" t="s">
        <v>232</v>
      </c>
      <c r="AP10" t="s">
        <v>131</v>
      </c>
      <c r="AQ10" t="s">
        <v>233</v>
      </c>
      <c r="AR10" t="s">
        <v>234</v>
      </c>
      <c r="AS10" t="s">
        <v>235</v>
      </c>
      <c r="AU10" t="s">
        <v>236</v>
      </c>
      <c r="AV10" t="s">
        <v>237</v>
      </c>
      <c r="AW10" t="s">
        <v>176</v>
      </c>
      <c r="AX10" t="s">
        <v>177</v>
      </c>
      <c r="AY10" t="s">
        <v>138</v>
      </c>
      <c r="AZ10" t="s">
        <v>238</v>
      </c>
      <c r="BB10" t="s">
        <v>140</v>
      </c>
    </row>
    <row r="11" spans="1:63" x14ac:dyDescent="0.35">
      <c r="A11" t="s">
        <v>239</v>
      </c>
      <c r="B11" t="s">
        <v>107</v>
      </c>
      <c r="C11" t="s">
        <v>107</v>
      </c>
      <c r="E11" t="s">
        <v>108</v>
      </c>
      <c r="F11" t="s">
        <v>158</v>
      </c>
      <c r="G11" t="s">
        <v>159</v>
      </c>
      <c r="H11" t="s">
        <v>111</v>
      </c>
      <c r="I11" t="s">
        <v>160</v>
      </c>
      <c r="J11" t="s">
        <v>113</v>
      </c>
      <c r="K11" t="s">
        <v>114</v>
      </c>
      <c r="L11" t="s">
        <v>161</v>
      </c>
      <c r="M11" t="s">
        <v>161</v>
      </c>
      <c r="N11" t="s">
        <v>114</v>
      </c>
      <c r="O11" t="s">
        <v>163</v>
      </c>
      <c r="P11" t="s">
        <v>240</v>
      </c>
      <c r="Q11" t="s">
        <v>114</v>
      </c>
      <c r="R11" t="s">
        <v>180</v>
      </c>
      <c r="S11" t="s">
        <v>114</v>
      </c>
      <c r="T11" t="s">
        <v>180</v>
      </c>
      <c r="V11" t="s">
        <v>114</v>
      </c>
      <c r="W11" t="s">
        <v>240</v>
      </c>
      <c r="Y11" t="s">
        <v>241</v>
      </c>
      <c r="Z11" t="s">
        <v>242</v>
      </c>
      <c r="AA11" t="s">
        <v>243</v>
      </c>
      <c r="AB11" t="s">
        <v>244</v>
      </c>
      <c r="AC11" t="s">
        <v>242</v>
      </c>
      <c r="AG11" t="s">
        <v>123</v>
      </c>
      <c r="AH11" t="s">
        <v>124</v>
      </c>
      <c r="AI11" t="s">
        <v>245</v>
      </c>
      <c r="AJ11" t="s">
        <v>126</v>
      </c>
      <c r="AK11" t="s">
        <v>127</v>
      </c>
      <c r="AM11" t="s">
        <v>246</v>
      </c>
      <c r="AN11" t="s">
        <v>247</v>
      </c>
      <c r="AO11" t="s">
        <v>248</v>
      </c>
      <c r="AP11" t="s">
        <v>131</v>
      </c>
      <c r="AQ11" t="s">
        <v>132</v>
      </c>
      <c r="AR11" t="s">
        <v>249</v>
      </c>
      <c r="AS11" t="s">
        <v>250</v>
      </c>
      <c r="AU11" t="s">
        <v>154</v>
      </c>
      <c r="AW11" t="s">
        <v>136</v>
      </c>
      <c r="AX11" t="s">
        <v>177</v>
      </c>
      <c r="AY11" t="s">
        <v>138</v>
      </c>
      <c r="AZ11" t="s">
        <v>251</v>
      </c>
      <c r="BB11" t="s">
        <v>140</v>
      </c>
    </row>
    <row r="12" spans="1:63" x14ac:dyDescent="0.35">
      <c r="A12" t="s">
        <v>252</v>
      </c>
      <c r="B12" t="s">
        <v>107</v>
      </c>
      <c r="C12" t="s">
        <v>107</v>
      </c>
      <c r="E12" t="s">
        <v>108</v>
      </c>
      <c r="F12" t="s">
        <v>158</v>
      </c>
      <c r="G12" t="s">
        <v>159</v>
      </c>
      <c r="H12" t="s">
        <v>111</v>
      </c>
      <c r="I12" t="s">
        <v>160</v>
      </c>
      <c r="J12" t="s">
        <v>113</v>
      </c>
      <c r="K12" t="s">
        <v>114</v>
      </c>
      <c r="L12" t="s">
        <v>161</v>
      </c>
      <c r="M12" t="s">
        <v>161</v>
      </c>
      <c r="N12" t="s">
        <v>114</v>
      </c>
      <c r="O12" t="s">
        <v>163</v>
      </c>
      <c r="P12" t="s">
        <v>240</v>
      </c>
      <c r="Q12" t="s">
        <v>114</v>
      </c>
      <c r="R12" t="s">
        <v>118</v>
      </c>
      <c r="S12" t="s">
        <v>114</v>
      </c>
      <c r="T12" t="s">
        <v>118</v>
      </c>
      <c r="V12" t="s">
        <v>114</v>
      </c>
      <c r="W12" t="s">
        <v>240</v>
      </c>
      <c r="Y12" t="s">
        <v>253</v>
      </c>
      <c r="Z12" t="s">
        <v>254</v>
      </c>
      <c r="AA12" t="s">
        <v>255</v>
      </c>
      <c r="AB12" t="s">
        <v>256</v>
      </c>
      <c r="AC12" t="s">
        <v>257</v>
      </c>
      <c r="AG12" t="s">
        <v>123</v>
      </c>
      <c r="AH12" t="s">
        <v>124</v>
      </c>
      <c r="AI12" t="s">
        <v>258</v>
      </c>
      <c r="AJ12" t="s">
        <v>126</v>
      </c>
      <c r="AK12" t="s">
        <v>127</v>
      </c>
      <c r="AM12" t="s">
        <v>259</v>
      </c>
      <c r="AN12" t="s">
        <v>260</v>
      </c>
      <c r="AO12" t="s">
        <v>261</v>
      </c>
      <c r="AP12" t="s">
        <v>131</v>
      </c>
      <c r="AQ12" t="s">
        <v>132</v>
      </c>
      <c r="AR12" t="s">
        <v>262</v>
      </c>
      <c r="AS12" t="s">
        <v>263</v>
      </c>
      <c r="AU12" t="s">
        <v>264</v>
      </c>
      <c r="AV12" t="s">
        <v>265</v>
      </c>
      <c r="AW12" t="s">
        <v>266</v>
      </c>
      <c r="AX12" t="s">
        <v>177</v>
      </c>
      <c r="AY12" t="s">
        <v>138</v>
      </c>
      <c r="AZ12" t="s">
        <v>267</v>
      </c>
      <c r="BB12" t="s">
        <v>140</v>
      </c>
    </row>
    <row r="13" spans="1:63" x14ac:dyDescent="0.35">
      <c r="A13" t="s">
        <v>252</v>
      </c>
      <c r="B13" t="s">
        <v>107</v>
      </c>
      <c r="C13" t="s">
        <v>107</v>
      </c>
      <c r="E13" t="s">
        <v>108</v>
      </c>
      <c r="F13" t="s">
        <v>268</v>
      </c>
      <c r="G13" t="s">
        <v>269</v>
      </c>
      <c r="H13" t="s">
        <v>270</v>
      </c>
      <c r="I13" t="s">
        <v>271</v>
      </c>
      <c r="J13" t="s">
        <v>113</v>
      </c>
      <c r="K13" t="s">
        <v>114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118</v>
      </c>
      <c r="S13" t="s">
        <v>114</v>
      </c>
      <c r="T13" t="s">
        <v>118</v>
      </c>
      <c r="V13" t="s">
        <v>114</v>
      </c>
      <c r="W13" t="s">
        <v>240</v>
      </c>
      <c r="Y13" t="s">
        <v>253</v>
      </c>
      <c r="Z13" t="s">
        <v>254</v>
      </c>
      <c r="AA13" t="s">
        <v>255</v>
      </c>
      <c r="AB13" t="s">
        <v>256</v>
      </c>
      <c r="AC13" t="s">
        <v>257</v>
      </c>
      <c r="AG13" t="s">
        <v>123</v>
      </c>
      <c r="AH13" t="s">
        <v>124</v>
      </c>
      <c r="AI13" t="s">
        <v>258</v>
      </c>
      <c r="AJ13" t="s">
        <v>126</v>
      </c>
      <c r="AK13" t="s">
        <v>127</v>
      </c>
      <c r="AM13" t="s">
        <v>259</v>
      </c>
      <c r="AN13" t="s">
        <v>260</v>
      </c>
      <c r="AO13" t="s">
        <v>261</v>
      </c>
      <c r="AP13" t="s">
        <v>131</v>
      </c>
      <c r="AQ13" t="s">
        <v>132</v>
      </c>
      <c r="AR13" t="s">
        <v>262</v>
      </c>
      <c r="AS13" t="s">
        <v>263</v>
      </c>
      <c r="AU13" t="s">
        <v>264</v>
      </c>
      <c r="AV13" t="s">
        <v>265</v>
      </c>
      <c r="AW13" t="s">
        <v>266</v>
      </c>
      <c r="AX13" t="s">
        <v>272</v>
      </c>
      <c r="AY13" t="s">
        <v>273</v>
      </c>
      <c r="AZ13" t="s">
        <v>267</v>
      </c>
      <c r="BB13" t="s">
        <v>140</v>
      </c>
    </row>
    <row r="14" spans="1:63" x14ac:dyDescent="0.35">
      <c r="A14" t="s">
        <v>274</v>
      </c>
      <c r="B14" t="s">
        <v>107</v>
      </c>
      <c r="C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115</v>
      </c>
      <c r="N14" t="s">
        <v>114</v>
      </c>
      <c r="O14" t="s">
        <v>116</v>
      </c>
      <c r="P14" t="s">
        <v>117</v>
      </c>
      <c r="Q14" t="s">
        <v>180</v>
      </c>
      <c r="R14" t="s">
        <v>180</v>
      </c>
      <c r="S14" t="s">
        <v>114</v>
      </c>
      <c r="T14" t="s">
        <v>114</v>
      </c>
      <c r="V14" t="s">
        <v>114</v>
      </c>
      <c r="W14" t="s">
        <v>275</v>
      </c>
      <c r="Y14" t="s">
        <v>276</v>
      </c>
      <c r="Z14" t="s">
        <v>277</v>
      </c>
      <c r="AA14" t="s">
        <v>278</v>
      </c>
      <c r="AB14" t="s">
        <v>279</v>
      </c>
      <c r="AC14" t="s">
        <v>277</v>
      </c>
      <c r="AG14" t="s">
        <v>123</v>
      </c>
      <c r="AH14" t="s">
        <v>124</v>
      </c>
      <c r="AI14" t="s">
        <v>280</v>
      </c>
      <c r="AJ14" t="s">
        <v>126</v>
      </c>
      <c r="AK14" t="s">
        <v>127</v>
      </c>
      <c r="AM14" t="s">
        <v>281</v>
      </c>
      <c r="AN14" t="s">
        <v>282</v>
      </c>
      <c r="AO14" t="s">
        <v>283</v>
      </c>
      <c r="AP14" t="s">
        <v>131</v>
      </c>
      <c r="AQ14" t="s">
        <v>132</v>
      </c>
      <c r="AR14" t="s">
        <v>284</v>
      </c>
      <c r="AS14" t="s">
        <v>285</v>
      </c>
      <c r="AU14" t="s">
        <v>286</v>
      </c>
      <c r="AW14" t="s">
        <v>136</v>
      </c>
      <c r="AX14" t="s">
        <v>137</v>
      </c>
      <c r="AY14" t="s">
        <v>138</v>
      </c>
      <c r="AZ14" t="s">
        <v>287</v>
      </c>
      <c r="BB14" t="s">
        <v>140</v>
      </c>
    </row>
    <row r="15" spans="1:63" x14ac:dyDescent="0.35">
      <c r="A15" t="s">
        <v>274</v>
      </c>
      <c r="B15" t="s">
        <v>107</v>
      </c>
      <c r="C15" t="s">
        <v>107</v>
      </c>
      <c r="E15" t="s">
        <v>108</v>
      </c>
      <c r="F15" t="s">
        <v>268</v>
      </c>
      <c r="G15" t="s">
        <v>269</v>
      </c>
      <c r="H15" t="s">
        <v>270</v>
      </c>
      <c r="I15" t="s">
        <v>271</v>
      </c>
      <c r="J15" t="s">
        <v>113</v>
      </c>
      <c r="K15" t="s">
        <v>114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180</v>
      </c>
      <c r="R15" t="s">
        <v>180</v>
      </c>
      <c r="S15" t="s">
        <v>114</v>
      </c>
      <c r="T15" t="s">
        <v>114</v>
      </c>
      <c r="V15" t="s">
        <v>114</v>
      </c>
      <c r="W15" t="s">
        <v>275</v>
      </c>
      <c r="Y15" t="s">
        <v>276</v>
      </c>
      <c r="Z15" t="s">
        <v>277</v>
      </c>
      <c r="AA15" t="s">
        <v>278</v>
      </c>
      <c r="AB15" t="s">
        <v>279</v>
      </c>
      <c r="AC15" t="s">
        <v>277</v>
      </c>
      <c r="AG15" t="s">
        <v>123</v>
      </c>
      <c r="AH15" t="s">
        <v>124</v>
      </c>
      <c r="AI15" t="s">
        <v>280</v>
      </c>
      <c r="AJ15" t="s">
        <v>126</v>
      </c>
      <c r="AK15" t="s">
        <v>127</v>
      </c>
      <c r="AM15" t="s">
        <v>281</v>
      </c>
      <c r="AN15" t="s">
        <v>282</v>
      </c>
      <c r="AO15" t="s">
        <v>283</v>
      </c>
      <c r="AP15" t="s">
        <v>131</v>
      </c>
      <c r="AQ15" t="s">
        <v>132</v>
      </c>
      <c r="AR15" t="s">
        <v>284</v>
      </c>
      <c r="AS15" t="s">
        <v>285</v>
      </c>
      <c r="AU15" t="s">
        <v>286</v>
      </c>
      <c r="AW15" t="s">
        <v>136</v>
      </c>
      <c r="AX15" t="s">
        <v>272</v>
      </c>
      <c r="AY15" t="s">
        <v>273</v>
      </c>
      <c r="AZ15" t="s">
        <v>287</v>
      </c>
      <c r="BB15" t="s">
        <v>140</v>
      </c>
    </row>
    <row r="16" spans="1:63" x14ac:dyDescent="0.35">
      <c r="A16" t="s">
        <v>288</v>
      </c>
      <c r="B16" t="s">
        <v>107</v>
      </c>
      <c r="C16" t="s">
        <v>107</v>
      </c>
      <c r="E16" t="s">
        <v>108</v>
      </c>
      <c r="F16" t="s">
        <v>268</v>
      </c>
      <c r="G16" t="s">
        <v>269</v>
      </c>
      <c r="H16" t="s">
        <v>270</v>
      </c>
      <c r="I16" t="s">
        <v>271</v>
      </c>
      <c r="J16" t="s">
        <v>113</v>
      </c>
      <c r="K16" t="s">
        <v>114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180</v>
      </c>
      <c r="S16" t="s">
        <v>114</v>
      </c>
      <c r="T16" t="s">
        <v>180</v>
      </c>
      <c r="V16" t="s">
        <v>114</v>
      </c>
      <c r="W16" t="s">
        <v>117</v>
      </c>
      <c r="Y16" t="s">
        <v>289</v>
      </c>
      <c r="Z16" t="s">
        <v>290</v>
      </c>
      <c r="AA16" t="s">
        <v>291</v>
      </c>
      <c r="AB16" t="s">
        <v>292</v>
      </c>
      <c r="AC16" t="s">
        <v>290</v>
      </c>
      <c r="AG16" t="s">
        <v>123</v>
      </c>
      <c r="AH16" t="s">
        <v>124</v>
      </c>
      <c r="AI16" t="s">
        <v>293</v>
      </c>
      <c r="AJ16" t="s">
        <v>126</v>
      </c>
      <c r="AK16" t="s">
        <v>127</v>
      </c>
      <c r="AM16" t="s">
        <v>294</v>
      </c>
      <c r="AN16" t="s">
        <v>295</v>
      </c>
      <c r="AO16" t="s">
        <v>296</v>
      </c>
      <c r="AP16" t="s">
        <v>131</v>
      </c>
      <c r="AQ16" t="s">
        <v>132</v>
      </c>
      <c r="AR16" t="s">
        <v>297</v>
      </c>
      <c r="AS16" t="s">
        <v>298</v>
      </c>
      <c r="AU16" t="s">
        <v>299</v>
      </c>
      <c r="AV16" t="s">
        <v>300</v>
      </c>
      <c r="AW16" t="s">
        <v>136</v>
      </c>
      <c r="AX16" t="s">
        <v>272</v>
      </c>
      <c r="AY16" t="s">
        <v>273</v>
      </c>
      <c r="AZ16" t="s">
        <v>301</v>
      </c>
      <c r="BB16" t="s">
        <v>140</v>
      </c>
    </row>
    <row r="17" spans="1:54" x14ac:dyDescent="0.35">
      <c r="A17" t="s">
        <v>288</v>
      </c>
      <c r="B17" t="s">
        <v>107</v>
      </c>
      <c r="C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113</v>
      </c>
      <c r="K17" t="s">
        <v>114</v>
      </c>
      <c r="L17" t="s">
        <v>115</v>
      </c>
      <c r="M17" t="s">
        <v>115</v>
      </c>
      <c r="N17" t="s">
        <v>114</v>
      </c>
      <c r="O17" t="s">
        <v>116</v>
      </c>
      <c r="P17" t="s">
        <v>117</v>
      </c>
      <c r="Q17" t="s">
        <v>114</v>
      </c>
      <c r="R17" t="s">
        <v>180</v>
      </c>
      <c r="S17" t="s">
        <v>114</v>
      </c>
      <c r="T17" t="s">
        <v>180</v>
      </c>
      <c r="V17" t="s">
        <v>114</v>
      </c>
      <c r="W17" t="s">
        <v>117</v>
      </c>
      <c r="Y17" t="s">
        <v>289</v>
      </c>
      <c r="Z17" t="s">
        <v>290</v>
      </c>
      <c r="AA17" t="s">
        <v>291</v>
      </c>
      <c r="AB17" t="s">
        <v>292</v>
      </c>
      <c r="AC17" t="s">
        <v>290</v>
      </c>
      <c r="AG17" t="s">
        <v>123</v>
      </c>
      <c r="AH17" t="s">
        <v>124</v>
      </c>
      <c r="AI17" t="s">
        <v>293</v>
      </c>
      <c r="AJ17" t="s">
        <v>126</v>
      </c>
      <c r="AK17" t="s">
        <v>127</v>
      </c>
      <c r="AM17" t="s">
        <v>294</v>
      </c>
      <c r="AN17" t="s">
        <v>295</v>
      </c>
      <c r="AO17" t="s">
        <v>296</v>
      </c>
      <c r="AP17" t="s">
        <v>131</v>
      </c>
      <c r="AQ17" t="s">
        <v>132</v>
      </c>
      <c r="AR17" t="s">
        <v>297</v>
      </c>
      <c r="AS17" t="s">
        <v>298</v>
      </c>
      <c r="AU17" t="s">
        <v>299</v>
      </c>
      <c r="AV17" t="s">
        <v>300</v>
      </c>
      <c r="AW17" t="s">
        <v>136</v>
      </c>
      <c r="AX17" t="s">
        <v>137</v>
      </c>
      <c r="AY17" t="s">
        <v>138</v>
      </c>
      <c r="AZ17" t="s">
        <v>301</v>
      </c>
      <c r="BB17" t="s">
        <v>140</v>
      </c>
    </row>
    <row r="18" spans="1:54" x14ac:dyDescent="0.35">
      <c r="A18" t="s">
        <v>302</v>
      </c>
      <c r="B18" t="s">
        <v>107</v>
      </c>
      <c r="C18" t="s">
        <v>107</v>
      </c>
      <c r="E18" t="s">
        <v>108</v>
      </c>
      <c r="F18" t="s">
        <v>268</v>
      </c>
      <c r="G18" t="s">
        <v>269</v>
      </c>
      <c r="H18" t="s">
        <v>270</v>
      </c>
      <c r="I18" t="s">
        <v>271</v>
      </c>
      <c r="J18" t="s">
        <v>113</v>
      </c>
      <c r="K18" t="s">
        <v>114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303</v>
      </c>
      <c r="R18" t="s">
        <v>142</v>
      </c>
      <c r="S18" t="s">
        <v>114</v>
      </c>
      <c r="T18" t="s">
        <v>304</v>
      </c>
      <c r="V18" t="s">
        <v>114</v>
      </c>
      <c r="W18" t="s">
        <v>305</v>
      </c>
      <c r="Y18" t="s">
        <v>306</v>
      </c>
      <c r="Z18" t="s">
        <v>307</v>
      </c>
      <c r="AA18" t="s">
        <v>308</v>
      </c>
      <c r="AB18" t="s">
        <v>309</v>
      </c>
      <c r="AC18" t="s">
        <v>310</v>
      </c>
      <c r="AG18" t="s">
        <v>123</v>
      </c>
      <c r="AH18" t="s">
        <v>124</v>
      </c>
      <c r="AI18" t="s">
        <v>311</v>
      </c>
      <c r="AJ18" t="s">
        <v>126</v>
      </c>
      <c r="AK18" t="s">
        <v>127</v>
      </c>
      <c r="AM18" t="s">
        <v>312</v>
      </c>
      <c r="AN18" t="s">
        <v>313</v>
      </c>
      <c r="AO18" t="s">
        <v>314</v>
      </c>
      <c r="AP18" t="s">
        <v>131</v>
      </c>
      <c r="AQ18" t="s">
        <v>132</v>
      </c>
      <c r="AR18" t="s">
        <v>152</v>
      </c>
      <c r="AS18" t="s">
        <v>315</v>
      </c>
      <c r="AU18" t="s">
        <v>316</v>
      </c>
      <c r="AW18" t="s">
        <v>317</v>
      </c>
      <c r="AX18" t="s">
        <v>272</v>
      </c>
      <c r="AY18" t="s">
        <v>273</v>
      </c>
      <c r="AZ18" t="s">
        <v>318</v>
      </c>
      <c r="BB18" t="s">
        <v>140</v>
      </c>
    </row>
    <row r="19" spans="1:54" x14ac:dyDescent="0.35">
      <c r="A19" t="s">
        <v>302</v>
      </c>
      <c r="B19" t="s">
        <v>107</v>
      </c>
      <c r="C19" t="s">
        <v>107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  <c r="L19" t="s">
        <v>115</v>
      </c>
      <c r="M19" t="s">
        <v>115</v>
      </c>
      <c r="N19" t="s">
        <v>319</v>
      </c>
      <c r="O19" t="s">
        <v>116</v>
      </c>
      <c r="P19" t="s">
        <v>320</v>
      </c>
      <c r="Q19" t="s">
        <v>303</v>
      </c>
      <c r="R19" t="s">
        <v>142</v>
      </c>
      <c r="S19" t="s">
        <v>114</v>
      </c>
      <c r="T19" t="s">
        <v>304</v>
      </c>
      <c r="V19" t="s">
        <v>114</v>
      </c>
      <c r="W19" t="s">
        <v>305</v>
      </c>
      <c r="Y19" t="s">
        <v>306</v>
      </c>
      <c r="Z19" t="s">
        <v>307</v>
      </c>
      <c r="AA19" t="s">
        <v>308</v>
      </c>
      <c r="AB19" t="s">
        <v>309</v>
      </c>
      <c r="AC19" t="s">
        <v>310</v>
      </c>
      <c r="AG19" t="s">
        <v>123</v>
      </c>
      <c r="AH19" t="s">
        <v>124</v>
      </c>
      <c r="AI19" t="s">
        <v>311</v>
      </c>
      <c r="AJ19" t="s">
        <v>126</v>
      </c>
      <c r="AK19" t="s">
        <v>127</v>
      </c>
      <c r="AM19" t="s">
        <v>312</v>
      </c>
      <c r="AN19" t="s">
        <v>313</v>
      </c>
      <c r="AO19" t="s">
        <v>314</v>
      </c>
      <c r="AP19" t="s">
        <v>131</v>
      </c>
      <c r="AQ19" t="s">
        <v>132</v>
      </c>
      <c r="AR19" t="s">
        <v>152</v>
      </c>
      <c r="AS19" t="s">
        <v>315</v>
      </c>
      <c r="AU19" t="s">
        <v>316</v>
      </c>
      <c r="AW19" t="s">
        <v>317</v>
      </c>
      <c r="AX19" t="s">
        <v>137</v>
      </c>
      <c r="AY19" t="s">
        <v>138</v>
      </c>
      <c r="AZ19" t="s">
        <v>318</v>
      </c>
      <c r="BB19" t="s">
        <v>140</v>
      </c>
    </row>
    <row r="20" spans="1:54" x14ac:dyDescent="0.35">
      <c r="A20" t="s">
        <v>321</v>
      </c>
      <c r="B20" t="s">
        <v>107</v>
      </c>
      <c r="C20" t="s">
        <v>107</v>
      </c>
      <c r="E20" t="s">
        <v>108</v>
      </c>
      <c r="F20" t="s">
        <v>268</v>
      </c>
      <c r="G20" t="s">
        <v>269</v>
      </c>
      <c r="H20" t="s">
        <v>270</v>
      </c>
      <c r="I20" t="s">
        <v>271</v>
      </c>
      <c r="J20" t="s">
        <v>113</v>
      </c>
      <c r="K20" t="s">
        <v>114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180</v>
      </c>
      <c r="S20" t="s">
        <v>114</v>
      </c>
      <c r="T20" t="s">
        <v>180</v>
      </c>
      <c r="V20" t="s">
        <v>114</v>
      </c>
      <c r="W20" t="s">
        <v>322</v>
      </c>
      <c r="Y20" t="s">
        <v>323</v>
      </c>
      <c r="Z20" t="s">
        <v>324</v>
      </c>
      <c r="AA20" t="s">
        <v>325</v>
      </c>
      <c r="AB20" t="s">
        <v>326</v>
      </c>
      <c r="AC20" t="s">
        <v>324</v>
      </c>
      <c r="AG20" t="s">
        <v>123</v>
      </c>
      <c r="AH20" t="s">
        <v>124</v>
      </c>
      <c r="AI20" t="s">
        <v>327</v>
      </c>
      <c r="AJ20" t="s">
        <v>126</v>
      </c>
      <c r="AK20" t="s">
        <v>127</v>
      </c>
      <c r="AM20" t="s">
        <v>328</v>
      </c>
      <c r="AN20" t="s">
        <v>329</v>
      </c>
      <c r="AO20" t="s">
        <v>330</v>
      </c>
      <c r="AP20" t="s">
        <v>131</v>
      </c>
      <c r="AQ20" t="s">
        <v>132</v>
      </c>
      <c r="AR20" t="s">
        <v>331</v>
      </c>
      <c r="AS20" t="s">
        <v>332</v>
      </c>
      <c r="AU20" t="s">
        <v>219</v>
      </c>
      <c r="AW20" t="s">
        <v>136</v>
      </c>
      <c r="AX20" t="s">
        <v>272</v>
      </c>
      <c r="AY20" t="s">
        <v>273</v>
      </c>
      <c r="AZ20" t="s">
        <v>333</v>
      </c>
      <c r="BB20" t="s">
        <v>140</v>
      </c>
    </row>
    <row r="21" spans="1:54" x14ac:dyDescent="0.35">
      <c r="A21" t="s">
        <v>321</v>
      </c>
      <c r="B21" t="s">
        <v>107</v>
      </c>
      <c r="C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114</v>
      </c>
      <c r="L21" t="s">
        <v>115</v>
      </c>
      <c r="M21" t="s">
        <v>115</v>
      </c>
      <c r="N21" t="s">
        <v>334</v>
      </c>
      <c r="O21" t="s">
        <v>116</v>
      </c>
      <c r="P21" t="s">
        <v>322</v>
      </c>
      <c r="Q21" t="s">
        <v>114</v>
      </c>
      <c r="R21" t="s">
        <v>180</v>
      </c>
      <c r="S21" t="s">
        <v>114</v>
      </c>
      <c r="T21" t="s">
        <v>180</v>
      </c>
      <c r="V21" t="s">
        <v>114</v>
      </c>
      <c r="W21" t="s">
        <v>322</v>
      </c>
      <c r="Y21" t="s">
        <v>323</v>
      </c>
      <c r="Z21" t="s">
        <v>324</v>
      </c>
      <c r="AA21" t="s">
        <v>325</v>
      </c>
      <c r="AB21" t="s">
        <v>326</v>
      </c>
      <c r="AC21" t="s">
        <v>324</v>
      </c>
      <c r="AG21" t="s">
        <v>123</v>
      </c>
      <c r="AH21" t="s">
        <v>124</v>
      </c>
      <c r="AI21" t="s">
        <v>327</v>
      </c>
      <c r="AJ21" t="s">
        <v>126</v>
      </c>
      <c r="AK21" t="s">
        <v>127</v>
      </c>
      <c r="AM21" t="s">
        <v>328</v>
      </c>
      <c r="AN21" t="s">
        <v>329</v>
      </c>
      <c r="AO21" t="s">
        <v>330</v>
      </c>
      <c r="AP21" t="s">
        <v>131</v>
      </c>
      <c r="AQ21" t="s">
        <v>132</v>
      </c>
      <c r="AR21" t="s">
        <v>331</v>
      </c>
      <c r="AS21" t="s">
        <v>332</v>
      </c>
      <c r="AU21" t="s">
        <v>219</v>
      </c>
      <c r="AW21" t="s">
        <v>136</v>
      </c>
      <c r="AX21" t="s">
        <v>137</v>
      </c>
      <c r="AY21" t="s">
        <v>138</v>
      </c>
      <c r="AZ21" t="s">
        <v>333</v>
      </c>
      <c r="BB21" t="s">
        <v>140</v>
      </c>
    </row>
    <row r="22" spans="1:54" x14ac:dyDescent="0.35">
      <c r="A22" t="s">
        <v>335</v>
      </c>
      <c r="B22" t="s">
        <v>336</v>
      </c>
      <c r="C22" t="s">
        <v>336</v>
      </c>
      <c r="D22" t="s">
        <v>337</v>
      </c>
      <c r="E22" t="s">
        <v>108</v>
      </c>
      <c r="F22" t="s">
        <v>338</v>
      </c>
      <c r="G22" t="s">
        <v>339</v>
      </c>
      <c r="H22" t="s">
        <v>340</v>
      </c>
      <c r="I22" t="s">
        <v>341</v>
      </c>
      <c r="J22" t="s">
        <v>113</v>
      </c>
      <c r="K22" t="s">
        <v>113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180</v>
      </c>
      <c r="S22" t="s">
        <v>114</v>
      </c>
      <c r="T22" t="s">
        <v>180</v>
      </c>
      <c r="V22" t="s">
        <v>114</v>
      </c>
      <c r="W22" t="s">
        <v>322</v>
      </c>
      <c r="X22" t="s">
        <v>114</v>
      </c>
      <c r="Y22" t="s">
        <v>342</v>
      </c>
      <c r="Z22" t="s">
        <v>343</v>
      </c>
      <c r="AA22" t="s">
        <v>344</v>
      </c>
      <c r="AD22" t="s">
        <v>345</v>
      </c>
      <c r="AE22" t="s">
        <v>346</v>
      </c>
      <c r="AF22" t="s">
        <v>347</v>
      </c>
      <c r="AG22" t="s">
        <v>123</v>
      </c>
      <c r="AH22" t="s">
        <v>124</v>
      </c>
      <c r="AI22" t="s">
        <v>348</v>
      </c>
      <c r="AJ22" t="s">
        <v>126</v>
      </c>
      <c r="AK22" t="s">
        <v>127</v>
      </c>
      <c r="AM22" t="s">
        <v>349</v>
      </c>
      <c r="AN22" t="s">
        <v>350</v>
      </c>
      <c r="AO22" t="s">
        <v>351</v>
      </c>
      <c r="AP22" t="s">
        <v>131</v>
      </c>
      <c r="AQ22" t="s">
        <v>132</v>
      </c>
      <c r="AR22" t="s">
        <v>352</v>
      </c>
      <c r="AS22" t="s">
        <v>353</v>
      </c>
      <c r="AU22" t="s">
        <v>354</v>
      </c>
      <c r="AV22" t="s">
        <v>355</v>
      </c>
      <c r="AW22" t="s">
        <v>155</v>
      </c>
      <c r="AX22" t="s">
        <v>177</v>
      </c>
      <c r="AY22" t="s">
        <v>356</v>
      </c>
      <c r="AZ22" t="s">
        <v>357</v>
      </c>
      <c r="BB22" t="s">
        <v>140</v>
      </c>
    </row>
    <row r="23" spans="1:54" x14ac:dyDescent="0.35">
      <c r="A23" t="s">
        <v>335</v>
      </c>
      <c r="B23" t="s">
        <v>336</v>
      </c>
      <c r="C23" t="s">
        <v>336</v>
      </c>
      <c r="D23" t="s">
        <v>337</v>
      </c>
      <c r="E23" t="s">
        <v>108</v>
      </c>
      <c r="F23" t="s">
        <v>358</v>
      </c>
      <c r="G23" t="s">
        <v>359</v>
      </c>
      <c r="H23" t="s">
        <v>360</v>
      </c>
      <c r="I23" t="s">
        <v>341</v>
      </c>
      <c r="J23" t="s">
        <v>113</v>
      </c>
      <c r="K23" t="s">
        <v>113</v>
      </c>
      <c r="L23" t="s">
        <v>361</v>
      </c>
      <c r="M23" t="s">
        <v>361</v>
      </c>
      <c r="N23" t="s">
        <v>362</v>
      </c>
      <c r="O23" t="s">
        <v>363</v>
      </c>
      <c r="P23" t="s">
        <v>322</v>
      </c>
      <c r="Q23" t="s">
        <v>114</v>
      </c>
      <c r="R23" t="s">
        <v>180</v>
      </c>
      <c r="S23" t="s">
        <v>114</v>
      </c>
      <c r="T23" t="s">
        <v>180</v>
      </c>
      <c r="V23" t="s">
        <v>114</v>
      </c>
      <c r="W23" t="s">
        <v>322</v>
      </c>
      <c r="X23" t="s">
        <v>322</v>
      </c>
      <c r="Y23" t="s">
        <v>342</v>
      </c>
      <c r="Z23" t="s">
        <v>343</v>
      </c>
      <c r="AA23" t="s">
        <v>344</v>
      </c>
      <c r="AD23" t="s">
        <v>345</v>
      </c>
      <c r="AE23" t="s">
        <v>346</v>
      </c>
      <c r="AF23" t="s">
        <v>347</v>
      </c>
      <c r="AG23" t="s">
        <v>123</v>
      </c>
      <c r="AH23" t="s">
        <v>124</v>
      </c>
      <c r="AI23" t="s">
        <v>348</v>
      </c>
      <c r="AJ23" t="s">
        <v>126</v>
      </c>
      <c r="AK23" t="s">
        <v>127</v>
      </c>
      <c r="AM23" t="s">
        <v>349</v>
      </c>
      <c r="AN23" t="s">
        <v>350</v>
      </c>
      <c r="AO23" t="s">
        <v>351</v>
      </c>
      <c r="AP23" t="s">
        <v>131</v>
      </c>
      <c r="AQ23" t="s">
        <v>132</v>
      </c>
      <c r="AR23" t="s">
        <v>352</v>
      </c>
      <c r="AS23" t="s">
        <v>353</v>
      </c>
      <c r="AU23" t="s">
        <v>354</v>
      </c>
      <c r="AV23" t="s">
        <v>355</v>
      </c>
      <c r="AW23" t="s">
        <v>155</v>
      </c>
      <c r="AX23" t="s">
        <v>177</v>
      </c>
      <c r="AY23" t="s">
        <v>364</v>
      </c>
      <c r="AZ23" t="s">
        <v>357</v>
      </c>
      <c r="BB23" t="s">
        <v>140</v>
      </c>
    </row>
    <row r="24" spans="1:54" x14ac:dyDescent="0.35">
      <c r="A24" t="s">
        <v>365</v>
      </c>
      <c r="B24" t="s">
        <v>107</v>
      </c>
      <c r="C24" t="s">
        <v>107</v>
      </c>
      <c r="E24" t="s">
        <v>108</v>
      </c>
      <c r="F24" t="s">
        <v>158</v>
      </c>
      <c r="G24" t="s">
        <v>159</v>
      </c>
      <c r="H24" t="s">
        <v>111</v>
      </c>
      <c r="I24" t="s">
        <v>160</v>
      </c>
      <c r="J24" t="s">
        <v>113</v>
      </c>
      <c r="K24" t="s">
        <v>114</v>
      </c>
      <c r="L24" t="s">
        <v>161</v>
      </c>
      <c r="M24" t="s">
        <v>161</v>
      </c>
      <c r="N24" t="s">
        <v>114</v>
      </c>
      <c r="O24" t="s">
        <v>163</v>
      </c>
      <c r="P24" t="s">
        <v>240</v>
      </c>
      <c r="Q24" t="s">
        <v>114</v>
      </c>
      <c r="R24" t="s">
        <v>180</v>
      </c>
      <c r="S24" t="s">
        <v>114</v>
      </c>
      <c r="T24" t="s">
        <v>180</v>
      </c>
      <c r="V24" t="s">
        <v>114</v>
      </c>
      <c r="W24" t="s">
        <v>240</v>
      </c>
      <c r="Y24" t="s">
        <v>366</v>
      </c>
      <c r="Z24" t="s">
        <v>367</v>
      </c>
      <c r="AA24" t="s">
        <v>368</v>
      </c>
      <c r="AB24" t="s">
        <v>369</v>
      </c>
      <c r="AC24" t="s">
        <v>367</v>
      </c>
      <c r="AG24" t="s">
        <v>123</v>
      </c>
      <c r="AH24" t="s">
        <v>124</v>
      </c>
      <c r="AI24" t="s">
        <v>370</v>
      </c>
      <c r="AJ24" t="s">
        <v>126</v>
      </c>
      <c r="AK24" t="s">
        <v>127</v>
      </c>
      <c r="AM24" t="s">
        <v>371</v>
      </c>
      <c r="AN24" t="s">
        <v>372</v>
      </c>
      <c r="AO24" t="s">
        <v>373</v>
      </c>
      <c r="AP24" t="s">
        <v>131</v>
      </c>
      <c r="AQ24" t="s">
        <v>132</v>
      </c>
      <c r="AR24" t="s">
        <v>352</v>
      </c>
      <c r="AS24" t="s">
        <v>374</v>
      </c>
      <c r="AU24" t="s">
        <v>375</v>
      </c>
      <c r="AW24" t="s">
        <v>136</v>
      </c>
      <c r="AX24" t="s">
        <v>177</v>
      </c>
      <c r="AY24" t="s">
        <v>138</v>
      </c>
      <c r="AZ24" t="s">
        <v>376</v>
      </c>
      <c r="BB24" t="s">
        <v>140</v>
      </c>
    </row>
    <row r="25" spans="1:54" x14ac:dyDescent="0.35">
      <c r="A25" t="s">
        <v>365</v>
      </c>
      <c r="B25" t="s">
        <v>107</v>
      </c>
      <c r="C25" t="s">
        <v>107</v>
      </c>
      <c r="E25" t="s">
        <v>108</v>
      </c>
      <c r="F25" t="s">
        <v>268</v>
      </c>
      <c r="G25" t="s">
        <v>269</v>
      </c>
      <c r="H25" t="s">
        <v>270</v>
      </c>
      <c r="I25" t="s">
        <v>271</v>
      </c>
      <c r="J25" t="s">
        <v>113</v>
      </c>
      <c r="K25" t="s">
        <v>114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180</v>
      </c>
      <c r="S25" t="s">
        <v>114</v>
      </c>
      <c r="T25" t="s">
        <v>180</v>
      </c>
      <c r="V25" t="s">
        <v>114</v>
      </c>
      <c r="W25" t="s">
        <v>240</v>
      </c>
      <c r="Y25" t="s">
        <v>366</v>
      </c>
      <c r="Z25" t="s">
        <v>367</v>
      </c>
      <c r="AA25" t="s">
        <v>368</v>
      </c>
      <c r="AB25" t="s">
        <v>369</v>
      </c>
      <c r="AC25" t="s">
        <v>367</v>
      </c>
      <c r="AG25" t="s">
        <v>123</v>
      </c>
      <c r="AH25" t="s">
        <v>124</v>
      </c>
      <c r="AI25" t="s">
        <v>370</v>
      </c>
      <c r="AJ25" t="s">
        <v>126</v>
      </c>
      <c r="AK25" t="s">
        <v>127</v>
      </c>
      <c r="AM25" t="s">
        <v>371</v>
      </c>
      <c r="AN25" t="s">
        <v>372</v>
      </c>
      <c r="AO25" t="s">
        <v>373</v>
      </c>
      <c r="AP25" t="s">
        <v>131</v>
      </c>
      <c r="AQ25" t="s">
        <v>132</v>
      </c>
      <c r="AR25" t="s">
        <v>352</v>
      </c>
      <c r="AS25" t="s">
        <v>374</v>
      </c>
      <c r="AU25" t="s">
        <v>375</v>
      </c>
      <c r="AW25" t="s">
        <v>136</v>
      </c>
      <c r="AX25" t="s">
        <v>272</v>
      </c>
      <c r="AY25" t="s">
        <v>273</v>
      </c>
      <c r="AZ25" t="s">
        <v>376</v>
      </c>
      <c r="BB25" t="s">
        <v>140</v>
      </c>
    </row>
    <row r="26" spans="1:54" x14ac:dyDescent="0.35">
      <c r="A26" t="s">
        <v>377</v>
      </c>
      <c r="B26" t="s">
        <v>107</v>
      </c>
      <c r="C26" t="s">
        <v>107</v>
      </c>
      <c r="E26" t="s">
        <v>108</v>
      </c>
      <c r="F26" t="s">
        <v>158</v>
      </c>
      <c r="G26" t="s">
        <v>159</v>
      </c>
      <c r="H26" t="s">
        <v>111</v>
      </c>
      <c r="I26" t="s">
        <v>160</v>
      </c>
      <c r="J26" t="s">
        <v>113</v>
      </c>
      <c r="K26" t="s">
        <v>114</v>
      </c>
      <c r="L26" t="s">
        <v>161</v>
      </c>
      <c r="M26" t="s">
        <v>161</v>
      </c>
      <c r="N26" t="s">
        <v>114</v>
      </c>
      <c r="O26" t="s">
        <v>163</v>
      </c>
      <c r="P26" t="s">
        <v>240</v>
      </c>
      <c r="Q26" t="s">
        <v>114</v>
      </c>
      <c r="R26" t="s">
        <v>142</v>
      </c>
      <c r="S26" t="s">
        <v>114</v>
      </c>
      <c r="T26" t="s">
        <v>142</v>
      </c>
      <c r="V26" t="s">
        <v>114</v>
      </c>
      <c r="W26" t="s">
        <v>240</v>
      </c>
      <c r="Y26" t="s">
        <v>378</v>
      </c>
      <c r="Z26" t="s">
        <v>379</v>
      </c>
      <c r="AA26" t="s">
        <v>380</v>
      </c>
      <c r="AB26" t="s">
        <v>381</v>
      </c>
      <c r="AC26" t="s">
        <v>382</v>
      </c>
      <c r="AG26" t="s">
        <v>123</v>
      </c>
      <c r="AH26" t="s">
        <v>124</v>
      </c>
      <c r="AI26" t="s">
        <v>383</v>
      </c>
      <c r="AJ26" t="s">
        <v>126</v>
      </c>
      <c r="AK26" t="s">
        <v>127</v>
      </c>
      <c r="AM26" t="s">
        <v>384</v>
      </c>
      <c r="AN26" t="s">
        <v>385</v>
      </c>
      <c r="AO26" t="s">
        <v>386</v>
      </c>
      <c r="AP26" t="s">
        <v>131</v>
      </c>
      <c r="AQ26" t="s">
        <v>132</v>
      </c>
      <c r="AR26" t="s">
        <v>387</v>
      </c>
      <c r="AS26" t="s">
        <v>388</v>
      </c>
      <c r="AU26" t="s">
        <v>389</v>
      </c>
      <c r="AW26" t="s">
        <v>155</v>
      </c>
      <c r="AX26" t="s">
        <v>177</v>
      </c>
      <c r="AY26" t="s">
        <v>138</v>
      </c>
      <c r="AZ26" t="s">
        <v>390</v>
      </c>
      <c r="BB26" t="s">
        <v>140</v>
      </c>
    </row>
    <row r="27" spans="1:54" x14ac:dyDescent="0.35">
      <c r="A27" t="s">
        <v>377</v>
      </c>
      <c r="B27" t="s">
        <v>107</v>
      </c>
      <c r="C27" t="s">
        <v>107</v>
      </c>
      <c r="E27" t="s">
        <v>108</v>
      </c>
      <c r="F27" t="s">
        <v>268</v>
      </c>
      <c r="G27" t="s">
        <v>269</v>
      </c>
      <c r="H27" t="s">
        <v>270</v>
      </c>
      <c r="I27" t="s">
        <v>271</v>
      </c>
      <c r="J27" t="s">
        <v>113</v>
      </c>
      <c r="K27" t="s">
        <v>114</v>
      </c>
      <c r="L27" t="s">
        <v>114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142</v>
      </c>
      <c r="S27" t="s">
        <v>114</v>
      </c>
      <c r="T27" t="s">
        <v>142</v>
      </c>
      <c r="V27" t="s">
        <v>114</v>
      </c>
      <c r="W27" t="s">
        <v>240</v>
      </c>
      <c r="Y27" t="s">
        <v>378</v>
      </c>
      <c r="Z27" t="s">
        <v>379</v>
      </c>
      <c r="AA27" t="s">
        <v>380</v>
      </c>
      <c r="AB27" t="s">
        <v>381</v>
      </c>
      <c r="AC27" t="s">
        <v>382</v>
      </c>
      <c r="AG27" t="s">
        <v>123</v>
      </c>
      <c r="AH27" t="s">
        <v>124</v>
      </c>
      <c r="AI27" t="s">
        <v>383</v>
      </c>
      <c r="AJ27" t="s">
        <v>126</v>
      </c>
      <c r="AK27" t="s">
        <v>127</v>
      </c>
      <c r="AM27" t="s">
        <v>384</v>
      </c>
      <c r="AN27" t="s">
        <v>385</v>
      </c>
      <c r="AO27" t="s">
        <v>386</v>
      </c>
      <c r="AP27" t="s">
        <v>131</v>
      </c>
      <c r="AQ27" t="s">
        <v>132</v>
      </c>
      <c r="AR27" t="s">
        <v>387</v>
      </c>
      <c r="AS27" t="s">
        <v>388</v>
      </c>
      <c r="AU27" t="s">
        <v>389</v>
      </c>
      <c r="AW27" t="s">
        <v>155</v>
      </c>
      <c r="AX27" t="s">
        <v>272</v>
      </c>
      <c r="AY27" t="s">
        <v>273</v>
      </c>
      <c r="AZ27" t="s">
        <v>390</v>
      </c>
      <c r="BB27" t="s">
        <v>140</v>
      </c>
    </row>
    <row r="28" spans="1:54" x14ac:dyDescent="0.35">
      <c r="A28" t="s">
        <v>391</v>
      </c>
      <c r="B28" t="s">
        <v>107</v>
      </c>
      <c r="C28" t="s">
        <v>107</v>
      </c>
      <c r="E28" t="s">
        <v>108</v>
      </c>
      <c r="F28" t="s">
        <v>158</v>
      </c>
      <c r="G28" t="s">
        <v>159</v>
      </c>
      <c r="H28" t="s">
        <v>111</v>
      </c>
      <c r="I28" t="s">
        <v>160</v>
      </c>
      <c r="J28" t="s">
        <v>113</v>
      </c>
      <c r="K28" t="s">
        <v>114</v>
      </c>
      <c r="L28" t="s">
        <v>161</v>
      </c>
      <c r="M28" t="s">
        <v>161</v>
      </c>
      <c r="N28" t="s">
        <v>392</v>
      </c>
      <c r="O28" t="s">
        <v>393</v>
      </c>
      <c r="P28" t="s">
        <v>394</v>
      </c>
      <c r="Q28" t="s">
        <v>114</v>
      </c>
      <c r="R28" t="s">
        <v>180</v>
      </c>
      <c r="S28" t="s">
        <v>114</v>
      </c>
      <c r="T28" t="s">
        <v>180</v>
      </c>
      <c r="V28" t="s">
        <v>114</v>
      </c>
      <c r="W28" t="s">
        <v>394</v>
      </c>
      <c r="Y28" t="s">
        <v>395</v>
      </c>
      <c r="Z28" t="s">
        <v>396</v>
      </c>
      <c r="AA28" t="s">
        <v>397</v>
      </c>
      <c r="AB28" t="s">
        <v>398</v>
      </c>
      <c r="AC28" t="s">
        <v>396</v>
      </c>
      <c r="AG28" t="s">
        <v>123</v>
      </c>
      <c r="AH28" t="s">
        <v>124</v>
      </c>
      <c r="AI28" t="s">
        <v>399</v>
      </c>
      <c r="AJ28" t="s">
        <v>126</v>
      </c>
      <c r="AK28" t="s">
        <v>127</v>
      </c>
      <c r="AM28" t="s">
        <v>400</v>
      </c>
      <c r="AN28" t="s">
        <v>401</v>
      </c>
      <c r="AO28" t="s">
        <v>402</v>
      </c>
      <c r="AP28" t="s">
        <v>131</v>
      </c>
      <c r="AQ28" t="s">
        <v>403</v>
      </c>
      <c r="AR28" t="s">
        <v>404</v>
      </c>
      <c r="AS28" t="s">
        <v>405</v>
      </c>
      <c r="AU28" t="s">
        <v>406</v>
      </c>
      <c r="AW28" t="s">
        <v>136</v>
      </c>
      <c r="AX28" t="s">
        <v>177</v>
      </c>
      <c r="AY28" t="s">
        <v>138</v>
      </c>
      <c r="AZ28" t="s">
        <v>407</v>
      </c>
      <c r="BB28" t="s">
        <v>140</v>
      </c>
    </row>
    <row r="29" spans="1:54" x14ac:dyDescent="0.35">
      <c r="A29" t="s">
        <v>391</v>
      </c>
      <c r="B29" t="s">
        <v>107</v>
      </c>
      <c r="C29" t="s">
        <v>107</v>
      </c>
      <c r="E29" t="s">
        <v>108</v>
      </c>
      <c r="F29" t="s">
        <v>268</v>
      </c>
      <c r="G29" t="s">
        <v>269</v>
      </c>
      <c r="H29" t="s">
        <v>270</v>
      </c>
      <c r="I29" t="s">
        <v>271</v>
      </c>
      <c r="J29" t="s">
        <v>113</v>
      </c>
      <c r="K29" t="s">
        <v>114</v>
      </c>
      <c r="L29" t="s">
        <v>114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180</v>
      </c>
      <c r="S29" t="s">
        <v>114</v>
      </c>
      <c r="T29" t="s">
        <v>180</v>
      </c>
      <c r="V29" t="s">
        <v>114</v>
      </c>
      <c r="W29" t="s">
        <v>394</v>
      </c>
      <c r="Y29" t="s">
        <v>395</v>
      </c>
      <c r="Z29" t="s">
        <v>396</v>
      </c>
      <c r="AA29" t="s">
        <v>397</v>
      </c>
      <c r="AB29" t="s">
        <v>398</v>
      </c>
      <c r="AC29" t="s">
        <v>396</v>
      </c>
      <c r="AG29" t="s">
        <v>123</v>
      </c>
      <c r="AH29" t="s">
        <v>124</v>
      </c>
      <c r="AI29" t="s">
        <v>399</v>
      </c>
      <c r="AJ29" t="s">
        <v>126</v>
      </c>
      <c r="AK29" t="s">
        <v>127</v>
      </c>
      <c r="AM29" t="s">
        <v>400</v>
      </c>
      <c r="AN29" t="s">
        <v>401</v>
      </c>
      <c r="AO29" t="s">
        <v>402</v>
      </c>
      <c r="AP29" t="s">
        <v>131</v>
      </c>
      <c r="AQ29" t="s">
        <v>403</v>
      </c>
      <c r="AR29" t="s">
        <v>404</v>
      </c>
      <c r="AS29" t="s">
        <v>405</v>
      </c>
      <c r="AU29" t="s">
        <v>406</v>
      </c>
      <c r="AW29" t="s">
        <v>136</v>
      </c>
      <c r="AX29" t="s">
        <v>272</v>
      </c>
      <c r="AY29" t="s">
        <v>273</v>
      </c>
      <c r="AZ29" t="s">
        <v>407</v>
      </c>
      <c r="BB29" t="s">
        <v>140</v>
      </c>
    </row>
    <row r="30" spans="1:54" x14ac:dyDescent="0.35">
      <c r="A30" t="s">
        <v>408</v>
      </c>
      <c r="B30" t="s">
        <v>107</v>
      </c>
      <c r="C30" t="s">
        <v>107</v>
      </c>
      <c r="E30" t="s">
        <v>108</v>
      </c>
      <c r="F30" t="s">
        <v>158</v>
      </c>
      <c r="G30" t="s">
        <v>159</v>
      </c>
      <c r="H30" t="s">
        <v>111</v>
      </c>
      <c r="I30" t="s">
        <v>341</v>
      </c>
      <c r="J30" t="s">
        <v>113</v>
      </c>
      <c r="K30" t="s">
        <v>114</v>
      </c>
      <c r="L30" t="s">
        <v>161</v>
      </c>
      <c r="M30" t="s">
        <v>161</v>
      </c>
      <c r="N30" t="s">
        <v>409</v>
      </c>
      <c r="O30" t="s">
        <v>393</v>
      </c>
      <c r="P30" t="s">
        <v>410</v>
      </c>
      <c r="Q30" t="s">
        <v>114</v>
      </c>
      <c r="R30" t="s">
        <v>180</v>
      </c>
      <c r="S30" t="s">
        <v>114</v>
      </c>
      <c r="T30" t="s">
        <v>180</v>
      </c>
      <c r="V30" t="s">
        <v>114</v>
      </c>
      <c r="W30" t="s">
        <v>410</v>
      </c>
      <c r="Y30" t="s">
        <v>411</v>
      </c>
      <c r="Z30" t="s">
        <v>412</v>
      </c>
      <c r="AA30" t="s">
        <v>413</v>
      </c>
      <c r="AB30" t="s">
        <v>414</v>
      </c>
      <c r="AC30" t="s">
        <v>412</v>
      </c>
      <c r="AG30" t="s">
        <v>123</v>
      </c>
      <c r="AH30" t="s">
        <v>124</v>
      </c>
      <c r="AI30" t="s">
        <v>415</v>
      </c>
      <c r="AJ30" t="s">
        <v>126</v>
      </c>
      <c r="AK30" t="s">
        <v>127</v>
      </c>
      <c r="AM30" t="s">
        <v>416</v>
      </c>
      <c r="AN30" t="s">
        <v>417</v>
      </c>
      <c r="AO30" t="s">
        <v>418</v>
      </c>
      <c r="AP30" t="s">
        <v>131</v>
      </c>
      <c r="AQ30" t="s">
        <v>132</v>
      </c>
      <c r="AR30" t="s">
        <v>331</v>
      </c>
      <c r="AS30" t="s">
        <v>419</v>
      </c>
      <c r="AU30" t="s">
        <v>135</v>
      </c>
      <c r="AV30" t="s">
        <v>191</v>
      </c>
      <c r="AW30" t="s">
        <v>136</v>
      </c>
      <c r="AX30" t="s">
        <v>177</v>
      </c>
      <c r="AY30" t="s">
        <v>138</v>
      </c>
      <c r="AZ30" t="s">
        <v>420</v>
      </c>
      <c r="BB30" t="s">
        <v>140</v>
      </c>
    </row>
    <row r="31" spans="1:54" x14ac:dyDescent="0.35">
      <c r="A31" t="s">
        <v>408</v>
      </c>
      <c r="B31" t="s">
        <v>107</v>
      </c>
      <c r="C31" t="s">
        <v>107</v>
      </c>
      <c r="E31" t="s">
        <v>108</v>
      </c>
      <c r="F31" t="s">
        <v>268</v>
      </c>
      <c r="G31" t="s">
        <v>269</v>
      </c>
      <c r="H31" t="s">
        <v>270</v>
      </c>
      <c r="I31" t="s">
        <v>271</v>
      </c>
      <c r="J31" t="s">
        <v>113</v>
      </c>
      <c r="K31" t="s">
        <v>114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180</v>
      </c>
      <c r="S31" t="s">
        <v>114</v>
      </c>
      <c r="T31" t="s">
        <v>180</v>
      </c>
      <c r="V31" t="s">
        <v>114</v>
      </c>
      <c r="W31" t="s">
        <v>410</v>
      </c>
      <c r="Y31" t="s">
        <v>411</v>
      </c>
      <c r="Z31" t="s">
        <v>412</v>
      </c>
      <c r="AA31" t="s">
        <v>413</v>
      </c>
      <c r="AB31" t="s">
        <v>414</v>
      </c>
      <c r="AC31" t="s">
        <v>412</v>
      </c>
      <c r="AG31" t="s">
        <v>123</v>
      </c>
      <c r="AH31" t="s">
        <v>124</v>
      </c>
      <c r="AI31" t="s">
        <v>415</v>
      </c>
      <c r="AJ31" t="s">
        <v>126</v>
      </c>
      <c r="AK31" t="s">
        <v>127</v>
      </c>
      <c r="AM31" t="s">
        <v>416</v>
      </c>
      <c r="AN31" t="s">
        <v>417</v>
      </c>
      <c r="AO31" t="s">
        <v>418</v>
      </c>
      <c r="AP31" t="s">
        <v>131</v>
      </c>
      <c r="AQ31" t="s">
        <v>132</v>
      </c>
      <c r="AR31" t="s">
        <v>331</v>
      </c>
      <c r="AS31" t="s">
        <v>419</v>
      </c>
      <c r="AU31" t="s">
        <v>135</v>
      </c>
      <c r="AV31" t="s">
        <v>191</v>
      </c>
      <c r="AW31" t="s">
        <v>136</v>
      </c>
      <c r="AX31" t="s">
        <v>272</v>
      </c>
      <c r="AY31" t="s">
        <v>273</v>
      </c>
      <c r="AZ31" t="s">
        <v>420</v>
      </c>
      <c r="BB31" t="s">
        <v>140</v>
      </c>
    </row>
    <row r="32" spans="1:54" x14ac:dyDescent="0.35">
      <c r="A32" t="s">
        <v>421</v>
      </c>
      <c r="B32" t="s">
        <v>107</v>
      </c>
      <c r="C32" t="s">
        <v>107</v>
      </c>
      <c r="E32" t="s">
        <v>108</v>
      </c>
      <c r="F32" t="s">
        <v>268</v>
      </c>
      <c r="G32" t="s">
        <v>269</v>
      </c>
      <c r="H32" t="s">
        <v>270</v>
      </c>
      <c r="I32" t="s">
        <v>271</v>
      </c>
      <c r="J32" t="s">
        <v>113</v>
      </c>
      <c r="K32" t="s">
        <v>114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180</v>
      </c>
      <c r="S32" t="s">
        <v>114</v>
      </c>
      <c r="T32" t="s">
        <v>180</v>
      </c>
      <c r="V32" t="s">
        <v>114</v>
      </c>
      <c r="W32" t="s">
        <v>422</v>
      </c>
      <c r="Y32" t="s">
        <v>423</v>
      </c>
      <c r="Z32" t="s">
        <v>424</v>
      </c>
      <c r="AA32" t="s">
        <v>425</v>
      </c>
      <c r="AB32" t="s">
        <v>426</v>
      </c>
      <c r="AC32" t="s">
        <v>427</v>
      </c>
      <c r="AG32" t="s">
        <v>123</v>
      </c>
      <c r="AH32" t="s">
        <v>124</v>
      </c>
      <c r="AI32" t="s">
        <v>428</v>
      </c>
      <c r="AJ32" t="s">
        <v>126</v>
      </c>
      <c r="AK32" t="s">
        <v>127</v>
      </c>
      <c r="AM32" t="s">
        <v>429</v>
      </c>
      <c r="AN32" t="s">
        <v>430</v>
      </c>
      <c r="AO32" t="s">
        <v>431</v>
      </c>
      <c r="AP32" t="s">
        <v>131</v>
      </c>
      <c r="AQ32" t="s">
        <v>132</v>
      </c>
      <c r="AR32" t="s">
        <v>432</v>
      </c>
      <c r="AS32" t="s">
        <v>433</v>
      </c>
      <c r="AU32" t="s">
        <v>434</v>
      </c>
      <c r="AW32" t="s">
        <v>155</v>
      </c>
      <c r="AX32" t="s">
        <v>272</v>
      </c>
      <c r="AY32" t="s">
        <v>273</v>
      </c>
      <c r="AZ32" t="s">
        <v>435</v>
      </c>
      <c r="BB32" t="s">
        <v>140</v>
      </c>
    </row>
    <row r="33" spans="1:54" x14ac:dyDescent="0.35">
      <c r="A33" t="s">
        <v>421</v>
      </c>
      <c r="B33" t="s">
        <v>107</v>
      </c>
      <c r="C33" t="s">
        <v>107</v>
      </c>
      <c r="E33" t="s">
        <v>108</v>
      </c>
      <c r="F33" t="s">
        <v>158</v>
      </c>
      <c r="G33" t="s">
        <v>159</v>
      </c>
      <c r="H33" t="s">
        <v>111</v>
      </c>
      <c r="I33" t="s">
        <v>341</v>
      </c>
      <c r="J33" t="s">
        <v>113</v>
      </c>
      <c r="K33" t="s">
        <v>114</v>
      </c>
      <c r="L33" t="s">
        <v>161</v>
      </c>
      <c r="M33" t="s">
        <v>161</v>
      </c>
      <c r="N33" t="s">
        <v>436</v>
      </c>
      <c r="O33" t="s">
        <v>393</v>
      </c>
      <c r="P33" t="s">
        <v>422</v>
      </c>
      <c r="Q33" t="s">
        <v>114</v>
      </c>
      <c r="R33" t="s">
        <v>180</v>
      </c>
      <c r="S33" t="s">
        <v>114</v>
      </c>
      <c r="T33" t="s">
        <v>180</v>
      </c>
      <c r="V33" t="s">
        <v>114</v>
      </c>
      <c r="W33" t="s">
        <v>422</v>
      </c>
      <c r="Y33" t="s">
        <v>423</v>
      </c>
      <c r="Z33" t="s">
        <v>424</v>
      </c>
      <c r="AA33" t="s">
        <v>425</v>
      </c>
      <c r="AB33" t="s">
        <v>426</v>
      </c>
      <c r="AC33" t="s">
        <v>427</v>
      </c>
      <c r="AG33" t="s">
        <v>123</v>
      </c>
      <c r="AH33" t="s">
        <v>124</v>
      </c>
      <c r="AI33" t="s">
        <v>428</v>
      </c>
      <c r="AJ33" t="s">
        <v>126</v>
      </c>
      <c r="AK33" t="s">
        <v>127</v>
      </c>
      <c r="AM33" t="s">
        <v>429</v>
      </c>
      <c r="AN33" t="s">
        <v>430</v>
      </c>
      <c r="AO33" t="s">
        <v>431</v>
      </c>
      <c r="AP33" t="s">
        <v>131</v>
      </c>
      <c r="AQ33" t="s">
        <v>132</v>
      </c>
      <c r="AR33" t="s">
        <v>432</v>
      </c>
      <c r="AS33" t="s">
        <v>433</v>
      </c>
      <c r="AU33" t="s">
        <v>434</v>
      </c>
      <c r="AW33" t="s">
        <v>155</v>
      </c>
      <c r="AX33" t="s">
        <v>177</v>
      </c>
      <c r="AY33" t="s">
        <v>138</v>
      </c>
      <c r="AZ33" t="s">
        <v>435</v>
      </c>
      <c r="BB33" t="s">
        <v>140</v>
      </c>
    </row>
    <row r="34" spans="1:54" x14ac:dyDescent="0.35">
      <c r="A34" t="s">
        <v>437</v>
      </c>
      <c r="B34" t="s">
        <v>107</v>
      </c>
      <c r="C34" t="s">
        <v>107</v>
      </c>
      <c r="E34" t="s">
        <v>108</v>
      </c>
      <c r="F34" t="s">
        <v>158</v>
      </c>
      <c r="G34" t="s">
        <v>159</v>
      </c>
      <c r="H34" t="s">
        <v>111</v>
      </c>
      <c r="I34" t="s">
        <v>341</v>
      </c>
      <c r="J34" t="s">
        <v>113</v>
      </c>
      <c r="K34" t="s">
        <v>114</v>
      </c>
      <c r="L34" t="s">
        <v>161</v>
      </c>
      <c r="M34" t="s">
        <v>161</v>
      </c>
      <c r="N34" t="s">
        <v>438</v>
      </c>
      <c r="O34" t="s">
        <v>393</v>
      </c>
      <c r="P34" t="s">
        <v>439</v>
      </c>
      <c r="Q34" t="s">
        <v>114</v>
      </c>
      <c r="R34" t="s">
        <v>180</v>
      </c>
      <c r="S34" t="s">
        <v>114</v>
      </c>
      <c r="T34" t="s">
        <v>180</v>
      </c>
      <c r="V34" t="s">
        <v>114</v>
      </c>
      <c r="W34" t="s">
        <v>439</v>
      </c>
      <c r="Y34" t="s">
        <v>440</v>
      </c>
      <c r="Z34" t="s">
        <v>441</v>
      </c>
      <c r="AA34" t="s">
        <v>442</v>
      </c>
      <c r="AB34" t="s">
        <v>443</v>
      </c>
      <c r="AC34" t="s">
        <v>441</v>
      </c>
      <c r="AG34" t="s">
        <v>123</v>
      </c>
      <c r="AH34" t="s">
        <v>124</v>
      </c>
      <c r="AI34" t="s">
        <v>444</v>
      </c>
      <c r="AJ34" t="s">
        <v>126</v>
      </c>
      <c r="AK34" t="s">
        <v>127</v>
      </c>
      <c r="AM34" t="s">
        <v>445</v>
      </c>
      <c r="AN34" t="s">
        <v>446</v>
      </c>
      <c r="AO34" t="s">
        <v>447</v>
      </c>
      <c r="AP34" t="s">
        <v>131</v>
      </c>
      <c r="AQ34" t="s">
        <v>132</v>
      </c>
      <c r="AR34" t="s">
        <v>448</v>
      </c>
      <c r="AS34" t="s">
        <v>449</v>
      </c>
      <c r="AU34" t="s">
        <v>450</v>
      </c>
      <c r="AW34" t="s">
        <v>136</v>
      </c>
      <c r="AX34" t="s">
        <v>177</v>
      </c>
      <c r="AY34" t="s">
        <v>138</v>
      </c>
      <c r="AZ34" t="s">
        <v>451</v>
      </c>
      <c r="BB34" t="s">
        <v>140</v>
      </c>
    </row>
    <row r="35" spans="1:54" x14ac:dyDescent="0.35">
      <c r="A35" t="s">
        <v>437</v>
      </c>
      <c r="B35" t="s">
        <v>107</v>
      </c>
      <c r="C35" t="s">
        <v>107</v>
      </c>
      <c r="E35" t="s">
        <v>108</v>
      </c>
      <c r="F35" t="s">
        <v>268</v>
      </c>
      <c r="G35" t="s">
        <v>269</v>
      </c>
      <c r="H35" t="s">
        <v>270</v>
      </c>
      <c r="I35" t="s">
        <v>271</v>
      </c>
      <c r="J35" t="s">
        <v>113</v>
      </c>
      <c r="K35" t="s">
        <v>114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180</v>
      </c>
      <c r="S35" t="s">
        <v>114</v>
      </c>
      <c r="T35" t="s">
        <v>180</v>
      </c>
      <c r="V35" t="s">
        <v>114</v>
      </c>
      <c r="W35" t="s">
        <v>439</v>
      </c>
      <c r="Y35" t="s">
        <v>440</v>
      </c>
      <c r="Z35" t="s">
        <v>441</v>
      </c>
      <c r="AA35" t="s">
        <v>442</v>
      </c>
      <c r="AB35" t="s">
        <v>443</v>
      </c>
      <c r="AC35" t="s">
        <v>441</v>
      </c>
      <c r="AG35" t="s">
        <v>123</v>
      </c>
      <c r="AH35" t="s">
        <v>124</v>
      </c>
      <c r="AI35" t="s">
        <v>444</v>
      </c>
      <c r="AJ35" t="s">
        <v>126</v>
      </c>
      <c r="AK35" t="s">
        <v>127</v>
      </c>
      <c r="AM35" t="s">
        <v>445</v>
      </c>
      <c r="AN35" t="s">
        <v>446</v>
      </c>
      <c r="AO35" t="s">
        <v>447</v>
      </c>
      <c r="AP35" t="s">
        <v>131</v>
      </c>
      <c r="AQ35" t="s">
        <v>132</v>
      </c>
      <c r="AR35" t="s">
        <v>448</v>
      </c>
      <c r="AS35" t="s">
        <v>449</v>
      </c>
      <c r="AU35" t="s">
        <v>450</v>
      </c>
      <c r="AW35" t="s">
        <v>136</v>
      </c>
      <c r="AX35" t="s">
        <v>272</v>
      </c>
      <c r="AY35" t="s">
        <v>273</v>
      </c>
      <c r="AZ35" t="s">
        <v>451</v>
      </c>
      <c r="BB35" t="s">
        <v>140</v>
      </c>
    </row>
    <row r="36" spans="1:54" x14ac:dyDescent="0.35">
      <c r="A36" t="s">
        <v>452</v>
      </c>
      <c r="B36" t="s">
        <v>107</v>
      </c>
      <c r="C36" t="s">
        <v>107</v>
      </c>
      <c r="E36" t="s">
        <v>108</v>
      </c>
      <c r="F36" t="s">
        <v>453</v>
      </c>
      <c r="G36" t="s">
        <v>110</v>
      </c>
      <c r="H36" t="s">
        <v>454</v>
      </c>
      <c r="I36" t="s">
        <v>341</v>
      </c>
      <c r="J36" t="s">
        <v>113</v>
      </c>
      <c r="K36" t="s">
        <v>114</v>
      </c>
      <c r="L36" t="s">
        <v>455</v>
      </c>
      <c r="M36" t="s">
        <v>455</v>
      </c>
      <c r="N36" t="s">
        <v>114</v>
      </c>
      <c r="O36" t="s">
        <v>456</v>
      </c>
      <c r="P36" t="s">
        <v>457</v>
      </c>
      <c r="Q36" t="s">
        <v>114</v>
      </c>
      <c r="R36" t="s">
        <v>142</v>
      </c>
      <c r="S36" t="s">
        <v>114</v>
      </c>
      <c r="T36" t="s">
        <v>142</v>
      </c>
      <c r="V36" t="s">
        <v>114</v>
      </c>
      <c r="W36" t="s">
        <v>457</v>
      </c>
      <c r="Y36" t="s">
        <v>458</v>
      </c>
      <c r="Z36" t="s">
        <v>459</v>
      </c>
      <c r="AA36" t="s">
        <v>460</v>
      </c>
      <c r="AB36" t="s">
        <v>461</v>
      </c>
      <c r="AC36" t="s">
        <v>459</v>
      </c>
      <c r="AG36" t="s">
        <v>123</v>
      </c>
      <c r="AH36" t="s">
        <v>124</v>
      </c>
      <c r="AI36" t="s">
        <v>462</v>
      </c>
      <c r="AJ36" t="s">
        <v>126</v>
      </c>
      <c r="AK36" t="s">
        <v>127</v>
      </c>
      <c r="AM36" t="s">
        <v>463</v>
      </c>
      <c r="AN36" t="s">
        <v>464</v>
      </c>
      <c r="AO36" t="s">
        <v>465</v>
      </c>
      <c r="AP36" t="s">
        <v>131</v>
      </c>
      <c r="AQ36" t="s">
        <v>132</v>
      </c>
      <c r="AR36" t="s">
        <v>466</v>
      </c>
      <c r="AS36" t="s">
        <v>467</v>
      </c>
      <c r="AU36" t="s">
        <v>264</v>
      </c>
      <c r="AW36" t="s">
        <v>136</v>
      </c>
      <c r="AX36" t="s">
        <v>137</v>
      </c>
      <c r="AY36" t="s">
        <v>356</v>
      </c>
      <c r="AZ36" t="s">
        <v>468</v>
      </c>
      <c r="BB36" t="s">
        <v>140</v>
      </c>
    </row>
    <row r="37" spans="1:54" x14ac:dyDescent="0.35">
      <c r="A37" t="s">
        <v>469</v>
      </c>
      <c r="B37" t="s">
        <v>336</v>
      </c>
      <c r="C37" t="s">
        <v>336</v>
      </c>
      <c r="D37" t="s">
        <v>337</v>
      </c>
      <c r="E37" t="s">
        <v>108</v>
      </c>
      <c r="F37" t="s">
        <v>158</v>
      </c>
      <c r="G37" t="s">
        <v>159</v>
      </c>
      <c r="H37" t="s">
        <v>111</v>
      </c>
      <c r="I37" t="s">
        <v>341</v>
      </c>
      <c r="J37" t="s">
        <v>113</v>
      </c>
      <c r="K37" t="s">
        <v>113</v>
      </c>
      <c r="L37" t="s">
        <v>161</v>
      </c>
      <c r="M37" t="s">
        <v>161</v>
      </c>
      <c r="N37" t="s">
        <v>436</v>
      </c>
      <c r="O37" t="s">
        <v>393</v>
      </c>
      <c r="P37" t="s">
        <v>422</v>
      </c>
      <c r="Q37" t="s">
        <v>114</v>
      </c>
      <c r="R37" t="s">
        <v>142</v>
      </c>
      <c r="S37" t="s">
        <v>114</v>
      </c>
      <c r="T37" t="s">
        <v>142</v>
      </c>
      <c r="V37" t="s">
        <v>114</v>
      </c>
      <c r="W37" t="s">
        <v>422</v>
      </c>
      <c r="X37" t="s">
        <v>422</v>
      </c>
      <c r="Y37" t="s">
        <v>470</v>
      </c>
      <c r="AA37" t="s">
        <v>471</v>
      </c>
      <c r="AB37" t="s">
        <v>472</v>
      </c>
      <c r="AD37" t="s">
        <v>473</v>
      </c>
      <c r="AE37" t="s">
        <v>474</v>
      </c>
      <c r="AF37" t="s">
        <v>475</v>
      </c>
      <c r="AG37" t="s">
        <v>123</v>
      </c>
      <c r="AH37" t="s">
        <v>124</v>
      </c>
      <c r="AI37" t="s">
        <v>476</v>
      </c>
      <c r="AJ37" t="s">
        <v>126</v>
      </c>
      <c r="AK37" t="s">
        <v>127</v>
      </c>
      <c r="AM37" t="s">
        <v>477</v>
      </c>
      <c r="AN37" t="s">
        <v>478</v>
      </c>
      <c r="AO37" t="s">
        <v>479</v>
      </c>
      <c r="AP37" t="s">
        <v>131</v>
      </c>
      <c r="AQ37" t="s">
        <v>132</v>
      </c>
      <c r="AR37" t="s">
        <v>152</v>
      </c>
      <c r="AS37" t="s">
        <v>480</v>
      </c>
      <c r="AU37" t="s">
        <v>481</v>
      </c>
      <c r="AW37" t="s">
        <v>136</v>
      </c>
      <c r="AX37" t="s">
        <v>177</v>
      </c>
      <c r="AY37" t="s">
        <v>138</v>
      </c>
      <c r="AZ37" t="s">
        <v>482</v>
      </c>
      <c r="BB37" t="s">
        <v>140</v>
      </c>
    </row>
    <row r="38" spans="1:54" x14ac:dyDescent="0.35">
      <c r="A38" t="s">
        <v>469</v>
      </c>
      <c r="B38" t="s">
        <v>336</v>
      </c>
      <c r="C38" t="s">
        <v>336</v>
      </c>
      <c r="D38" t="s">
        <v>337</v>
      </c>
      <c r="E38" t="s">
        <v>108</v>
      </c>
      <c r="F38" t="s">
        <v>268</v>
      </c>
      <c r="G38" t="s">
        <v>269</v>
      </c>
      <c r="H38" t="s">
        <v>270</v>
      </c>
      <c r="I38" t="s">
        <v>271</v>
      </c>
      <c r="J38" t="s">
        <v>113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142</v>
      </c>
      <c r="S38" t="s">
        <v>114</v>
      </c>
      <c r="T38" t="s">
        <v>142</v>
      </c>
      <c r="V38" t="s">
        <v>114</v>
      </c>
      <c r="W38" t="s">
        <v>422</v>
      </c>
      <c r="X38" t="s">
        <v>114</v>
      </c>
      <c r="Y38" t="s">
        <v>470</v>
      </c>
      <c r="AA38" t="s">
        <v>471</v>
      </c>
      <c r="AB38" t="s">
        <v>472</v>
      </c>
      <c r="AD38" t="s">
        <v>473</v>
      </c>
      <c r="AE38" t="s">
        <v>474</v>
      </c>
      <c r="AF38" t="s">
        <v>475</v>
      </c>
      <c r="AG38" t="s">
        <v>123</v>
      </c>
      <c r="AH38" t="s">
        <v>124</v>
      </c>
      <c r="AI38" t="s">
        <v>476</v>
      </c>
      <c r="AJ38" t="s">
        <v>126</v>
      </c>
      <c r="AK38" t="s">
        <v>127</v>
      </c>
      <c r="AM38" t="s">
        <v>477</v>
      </c>
      <c r="AN38" t="s">
        <v>478</v>
      </c>
      <c r="AO38" t="s">
        <v>479</v>
      </c>
      <c r="AP38" t="s">
        <v>131</v>
      </c>
      <c r="AQ38" t="s">
        <v>132</v>
      </c>
      <c r="AR38" t="s">
        <v>152</v>
      </c>
      <c r="AS38" t="s">
        <v>480</v>
      </c>
      <c r="AU38" t="s">
        <v>481</v>
      </c>
      <c r="AW38" t="s">
        <v>136</v>
      </c>
      <c r="AX38" t="s">
        <v>272</v>
      </c>
      <c r="AY38" t="s">
        <v>273</v>
      </c>
      <c r="AZ38" t="s">
        <v>482</v>
      </c>
      <c r="BB38" t="s">
        <v>140</v>
      </c>
    </row>
    <row r="39" spans="1:54" x14ac:dyDescent="0.35">
      <c r="A39" t="s">
        <v>483</v>
      </c>
      <c r="B39" t="s">
        <v>107</v>
      </c>
      <c r="C39" t="s">
        <v>107</v>
      </c>
      <c r="F39" t="s">
        <v>484</v>
      </c>
      <c r="G39" t="s">
        <v>159</v>
      </c>
      <c r="H39" t="s">
        <v>485</v>
      </c>
      <c r="I39" t="s">
        <v>160</v>
      </c>
      <c r="J39" t="s">
        <v>113</v>
      </c>
      <c r="K39" t="s">
        <v>114</v>
      </c>
      <c r="L39" t="s">
        <v>114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V39" t="s">
        <v>114</v>
      </c>
      <c r="W39" t="s">
        <v>114</v>
      </c>
      <c r="Y39" t="s">
        <v>486</v>
      </c>
      <c r="Z39" t="s">
        <v>486</v>
      </c>
      <c r="AA39" t="s">
        <v>487</v>
      </c>
      <c r="AB39" t="s">
        <v>488</v>
      </c>
      <c r="AC39" t="s">
        <v>489</v>
      </c>
      <c r="AG39" t="s">
        <v>123</v>
      </c>
      <c r="AH39" t="s">
        <v>124</v>
      </c>
      <c r="AI39" t="s">
        <v>490</v>
      </c>
      <c r="AJ39" t="s">
        <v>126</v>
      </c>
      <c r="AK39" t="s">
        <v>127</v>
      </c>
      <c r="AM39" t="s">
        <v>491</v>
      </c>
      <c r="AN39" t="s">
        <v>492</v>
      </c>
      <c r="AO39" t="s">
        <v>493</v>
      </c>
      <c r="AP39" t="s">
        <v>131</v>
      </c>
      <c r="AQ39" t="s">
        <v>132</v>
      </c>
      <c r="AR39" t="s">
        <v>152</v>
      </c>
      <c r="AS39" t="s">
        <v>494</v>
      </c>
      <c r="AU39" t="s">
        <v>495</v>
      </c>
      <c r="AV39" t="s">
        <v>496</v>
      </c>
      <c r="AX39" t="s">
        <v>177</v>
      </c>
      <c r="AY39" t="s">
        <v>356</v>
      </c>
      <c r="AZ39" t="s">
        <v>497</v>
      </c>
      <c r="BB39" t="s">
        <v>140</v>
      </c>
    </row>
    <row r="40" spans="1:54" x14ac:dyDescent="0.35">
      <c r="A40" t="s">
        <v>498</v>
      </c>
      <c r="B40" t="s">
        <v>107</v>
      </c>
      <c r="C40" t="s">
        <v>107</v>
      </c>
      <c r="E40" t="s">
        <v>108</v>
      </c>
      <c r="F40" t="s">
        <v>499</v>
      </c>
      <c r="G40" t="s">
        <v>500</v>
      </c>
      <c r="H40" t="s">
        <v>501</v>
      </c>
      <c r="I40" t="s">
        <v>341</v>
      </c>
      <c r="J40" t="s">
        <v>113</v>
      </c>
      <c r="K40" t="s">
        <v>114</v>
      </c>
      <c r="L40" t="s">
        <v>502</v>
      </c>
      <c r="M40" t="s">
        <v>502</v>
      </c>
      <c r="N40" t="s">
        <v>503</v>
      </c>
      <c r="O40" t="s">
        <v>504</v>
      </c>
      <c r="P40" t="s">
        <v>505</v>
      </c>
      <c r="Q40" t="s">
        <v>114</v>
      </c>
      <c r="R40" t="s">
        <v>180</v>
      </c>
      <c r="S40" t="s">
        <v>114</v>
      </c>
      <c r="T40" t="s">
        <v>180</v>
      </c>
      <c r="V40" t="s">
        <v>114</v>
      </c>
      <c r="W40" t="s">
        <v>505</v>
      </c>
      <c r="Y40" t="s">
        <v>506</v>
      </c>
      <c r="Z40" t="s">
        <v>507</v>
      </c>
      <c r="AA40" t="s">
        <v>508</v>
      </c>
      <c r="AB40" t="s">
        <v>509</v>
      </c>
      <c r="AC40" t="s">
        <v>507</v>
      </c>
      <c r="AG40" t="s">
        <v>123</v>
      </c>
      <c r="AH40" t="s">
        <v>124</v>
      </c>
      <c r="AI40" t="s">
        <v>510</v>
      </c>
      <c r="AJ40" t="s">
        <v>126</v>
      </c>
      <c r="AK40" t="s">
        <v>127</v>
      </c>
      <c r="AM40" t="s">
        <v>511</v>
      </c>
      <c r="AN40" t="s">
        <v>512</v>
      </c>
      <c r="AO40" t="s">
        <v>513</v>
      </c>
      <c r="AP40" t="s">
        <v>131</v>
      </c>
      <c r="AQ40" t="s">
        <v>132</v>
      </c>
      <c r="AR40" t="s">
        <v>514</v>
      </c>
      <c r="AS40" t="s">
        <v>515</v>
      </c>
      <c r="AU40" t="s">
        <v>516</v>
      </c>
      <c r="AW40" t="s">
        <v>136</v>
      </c>
      <c r="AX40" t="s">
        <v>177</v>
      </c>
      <c r="AY40" t="s">
        <v>517</v>
      </c>
      <c r="AZ40" t="s">
        <v>518</v>
      </c>
      <c r="BB40" t="s">
        <v>140</v>
      </c>
    </row>
    <row r="41" spans="1:54" x14ac:dyDescent="0.35">
      <c r="A41" t="s">
        <v>519</v>
      </c>
      <c r="B41" t="s">
        <v>107</v>
      </c>
      <c r="C41" t="s">
        <v>107</v>
      </c>
      <c r="F41" t="s">
        <v>158</v>
      </c>
      <c r="G41" t="s">
        <v>159</v>
      </c>
      <c r="H41" t="s">
        <v>111</v>
      </c>
      <c r="I41" t="s">
        <v>341</v>
      </c>
      <c r="J41" t="s">
        <v>113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V41" t="s">
        <v>114</v>
      </c>
      <c r="W41" t="s">
        <v>114</v>
      </c>
      <c r="Y41" t="s">
        <v>520</v>
      </c>
      <c r="Z41" t="s">
        <v>520</v>
      </c>
      <c r="AA41" t="s">
        <v>521</v>
      </c>
      <c r="AB41" t="s">
        <v>522</v>
      </c>
      <c r="AC41" t="s">
        <v>523</v>
      </c>
      <c r="AG41" t="s">
        <v>123</v>
      </c>
      <c r="AH41" t="s">
        <v>124</v>
      </c>
      <c r="AI41" t="s">
        <v>524</v>
      </c>
      <c r="AJ41" t="s">
        <v>126</v>
      </c>
      <c r="AK41" t="s">
        <v>127</v>
      </c>
      <c r="AM41" t="s">
        <v>525</v>
      </c>
      <c r="AN41" t="s">
        <v>526</v>
      </c>
      <c r="AO41" t="s">
        <v>527</v>
      </c>
      <c r="AP41" t="s">
        <v>131</v>
      </c>
      <c r="AQ41" t="s">
        <v>132</v>
      </c>
      <c r="AR41" t="s">
        <v>528</v>
      </c>
      <c r="AS41" t="s">
        <v>529</v>
      </c>
      <c r="AU41" t="s">
        <v>530</v>
      </c>
      <c r="AX41" t="s">
        <v>177</v>
      </c>
      <c r="AY41" t="s">
        <v>138</v>
      </c>
      <c r="AZ41" t="s">
        <v>531</v>
      </c>
      <c r="BB41" t="s">
        <v>140</v>
      </c>
    </row>
    <row r="42" spans="1:54" x14ac:dyDescent="0.35">
      <c r="A42" t="s">
        <v>532</v>
      </c>
      <c r="B42" t="s">
        <v>107</v>
      </c>
      <c r="C42" t="s">
        <v>107</v>
      </c>
      <c r="F42" t="s">
        <v>533</v>
      </c>
      <c r="G42" t="s">
        <v>534</v>
      </c>
      <c r="H42" t="s">
        <v>535</v>
      </c>
      <c r="I42" t="s">
        <v>536</v>
      </c>
      <c r="J42" t="s">
        <v>113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V42" t="s">
        <v>114</v>
      </c>
      <c r="W42" t="s">
        <v>114</v>
      </c>
      <c r="Y42" t="s">
        <v>537</v>
      </c>
      <c r="Z42" t="s">
        <v>537</v>
      </c>
      <c r="AA42" t="s">
        <v>538</v>
      </c>
      <c r="AB42" t="s">
        <v>539</v>
      </c>
      <c r="AC42" t="s">
        <v>540</v>
      </c>
      <c r="AG42" t="s">
        <v>123</v>
      </c>
      <c r="AH42" t="s">
        <v>124</v>
      </c>
      <c r="AI42" t="s">
        <v>541</v>
      </c>
      <c r="AJ42" t="s">
        <v>126</v>
      </c>
      <c r="AK42" t="s">
        <v>127</v>
      </c>
      <c r="AM42" t="s">
        <v>542</v>
      </c>
      <c r="AN42" t="s">
        <v>543</v>
      </c>
      <c r="AO42" t="s">
        <v>544</v>
      </c>
      <c r="AP42" t="s">
        <v>131</v>
      </c>
      <c r="AQ42" t="s">
        <v>132</v>
      </c>
      <c r="AR42" t="s">
        <v>202</v>
      </c>
      <c r="AS42" t="s">
        <v>545</v>
      </c>
      <c r="AU42" t="s">
        <v>546</v>
      </c>
      <c r="AX42" t="s">
        <v>547</v>
      </c>
      <c r="AY42" t="s">
        <v>364</v>
      </c>
      <c r="AZ42" t="s">
        <v>548</v>
      </c>
      <c r="BB42" t="s">
        <v>140</v>
      </c>
    </row>
    <row r="43" spans="1:54" x14ac:dyDescent="0.35">
      <c r="A43" t="s">
        <v>549</v>
      </c>
      <c r="B43" t="s">
        <v>107</v>
      </c>
      <c r="C43" t="s">
        <v>107</v>
      </c>
      <c r="E43" t="s">
        <v>108</v>
      </c>
      <c r="F43" t="s">
        <v>158</v>
      </c>
      <c r="G43" t="s">
        <v>159</v>
      </c>
      <c r="H43" t="s">
        <v>111</v>
      </c>
      <c r="I43" t="s">
        <v>341</v>
      </c>
      <c r="J43" t="s">
        <v>113</v>
      </c>
      <c r="K43" t="s">
        <v>114</v>
      </c>
      <c r="L43" t="s">
        <v>161</v>
      </c>
      <c r="M43" t="s">
        <v>161</v>
      </c>
      <c r="N43" t="s">
        <v>409</v>
      </c>
      <c r="O43" t="s">
        <v>393</v>
      </c>
      <c r="P43" t="s">
        <v>410</v>
      </c>
      <c r="Q43" t="s">
        <v>114</v>
      </c>
      <c r="R43" t="s">
        <v>180</v>
      </c>
      <c r="S43" t="s">
        <v>114</v>
      </c>
      <c r="T43" t="s">
        <v>180</v>
      </c>
      <c r="V43" t="s">
        <v>114</v>
      </c>
      <c r="W43" t="s">
        <v>410</v>
      </c>
      <c r="Y43" t="s">
        <v>550</v>
      </c>
      <c r="Z43" t="s">
        <v>551</v>
      </c>
      <c r="AA43" t="s">
        <v>552</v>
      </c>
      <c r="AB43" t="s">
        <v>553</v>
      </c>
      <c r="AC43" t="s">
        <v>551</v>
      </c>
      <c r="AG43" t="s">
        <v>123</v>
      </c>
      <c r="AH43" t="s">
        <v>124</v>
      </c>
      <c r="AI43" t="s">
        <v>554</v>
      </c>
      <c r="AJ43" t="s">
        <v>126</v>
      </c>
      <c r="AK43" t="s">
        <v>127</v>
      </c>
      <c r="AM43" t="s">
        <v>555</v>
      </c>
      <c r="AN43" t="s">
        <v>556</v>
      </c>
      <c r="AO43" t="s">
        <v>557</v>
      </c>
      <c r="AP43" t="s">
        <v>131</v>
      </c>
      <c r="AQ43" t="s">
        <v>132</v>
      </c>
      <c r="AR43" t="s">
        <v>558</v>
      </c>
      <c r="AS43" t="s">
        <v>559</v>
      </c>
      <c r="AU43" t="s">
        <v>389</v>
      </c>
      <c r="AV43" t="s">
        <v>434</v>
      </c>
      <c r="AW43" t="s">
        <v>136</v>
      </c>
      <c r="AX43" t="s">
        <v>177</v>
      </c>
      <c r="AY43" t="s">
        <v>138</v>
      </c>
      <c r="AZ43" t="s">
        <v>560</v>
      </c>
      <c r="BB43" t="s">
        <v>140</v>
      </c>
    </row>
    <row r="44" spans="1:54" x14ac:dyDescent="0.35">
      <c r="A44" t="s">
        <v>549</v>
      </c>
      <c r="B44" t="s">
        <v>107</v>
      </c>
      <c r="C44" t="s">
        <v>107</v>
      </c>
      <c r="E44" t="s">
        <v>108</v>
      </c>
      <c r="F44" t="s">
        <v>268</v>
      </c>
      <c r="G44" t="s">
        <v>269</v>
      </c>
      <c r="H44" t="s">
        <v>270</v>
      </c>
      <c r="I44" t="s">
        <v>271</v>
      </c>
      <c r="J44" t="s">
        <v>113</v>
      </c>
      <c r="K44" t="s">
        <v>114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180</v>
      </c>
      <c r="S44" t="s">
        <v>114</v>
      </c>
      <c r="T44" t="s">
        <v>180</v>
      </c>
      <c r="V44" t="s">
        <v>114</v>
      </c>
      <c r="W44" t="s">
        <v>410</v>
      </c>
      <c r="Y44" t="s">
        <v>550</v>
      </c>
      <c r="Z44" t="s">
        <v>551</v>
      </c>
      <c r="AA44" t="s">
        <v>552</v>
      </c>
      <c r="AB44" t="s">
        <v>553</v>
      </c>
      <c r="AC44" t="s">
        <v>551</v>
      </c>
      <c r="AG44" t="s">
        <v>123</v>
      </c>
      <c r="AH44" t="s">
        <v>124</v>
      </c>
      <c r="AI44" t="s">
        <v>554</v>
      </c>
      <c r="AJ44" t="s">
        <v>126</v>
      </c>
      <c r="AK44" t="s">
        <v>127</v>
      </c>
      <c r="AM44" t="s">
        <v>555</v>
      </c>
      <c r="AN44" t="s">
        <v>556</v>
      </c>
      <c r="AO44" t="s">
        <v>557</v>
      </c>
      <c r="AP44" t="s">
        <v>131</v>
      </c>
      <c r="AQ44" t="s">
        <v>132</v>
      </c>
      <c r="AR44" t="s">
        <v>558</v>
      </c>
      <c r="AS44" t="s">
        <v>559</v>
      </c>
      <c r="AU44" t="s">
        <v>389</v>
      </c>
      <c r="AV44" t="s">
        <v>434</v>
      </c>
      <c r="AW44" t="s">
        <v>136</v>
      </c>
      <c r="AX44" t="s">
        <v>272</v>
      </c>
      <c r="AY44" t="s">
        <v>273</v>
      </c>
      <c r="AZ44" t="s">
        <v>560</v>
      </c>
      <c r="BB44" t="s">
        <v>140</v>
      </c>
    </row>
    <row r="45" spans="1:54" x14ac:dyDescent="0.35">
      <c r="A45" t="s">
        <v>561</v>
      </c>
      <c r="B45" t="s">
        <v>107</v>
      </c>
      <c r="C45" t="s">
        <v>107</v>
      </c>
      <c r="E45" t="s">
        <v>108</v>
      </c>
      <c r="F45" t="s">
        <v>338</v>
      </c>
      <c r="G45" t="s">
        <v>339</v>
      </c>
      <c r="H45" t="s">
        <v>340</v>
      </c>
      <c r="I45" t="s">
        <v>341</v>
      </c>
      <c r="J45" t="s">
        <v>113</v>
      </c>
      <c r="K45" t="s">
        <v>114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118</v>
      </c>
      <c r="S45" t="s">
        <v>114</v>
      </c>
      <c r="T45" t="s">
        <v>118</v>
      </c>
      <c r="V45" t="s">
        <v>114</v>
      </c>
      <c r="W45" t="s">
        <v>562</v>
      </c>
      <c r="Y45" t="s">
        <v>563</v>
      </c>
      <c r="Z45" t="s">
        <v>564</v>
      </c>
      <c r="AA45" t="s">
        <v>565</v>
      </c>
      <c r="AB45" t="s">
        <v>566</v>
      </c>
      <c r="AC45" t="s">
        <v>564</v>
      </c>
      <c r="AG45" t="s">
        <v>123</v>
      </c>
      <c r="AH45" t="s">
        <v>124</v>
      </c>
      <c r="AI45" t="s">
        <v>567</v>
      </c>
      <c r="AJ45" t="s">
        <v>126</v>
      </c>
      <c r="AK45" t="s">
        <v>127</v>
      </c>
      <c r="AM45" t="s">
        <v>568</v>
      </c>
      <c r="AN45" t="s">
        <v>569</v>
      </c>
      <c r="AO45" t="s">
        <v>570</v>
      </c>
      <c r="AP45" t="s">
        <v>131</v>
      </c>
      <c r="AQ45" t="s">
        <v>132</v>
      </c>
      <c r="AR45" t="s">
        <v>262</v>
      </c>
      <c r="AS45" t="s">
        <v>571</v>
      </c>
      <c r="AU45" t="s">
        <v>572</v>
      </c>
      <c r="AV45" t="s">
        <v>573</v>
      </c>
      <c r="AW45" t="s">
        <v>136</v>
      </c>
      <c r="AX45" t="s">
        <v>177</v>
      </c>
      <c r="AY45" t="s">
        <v>356</v>
      </c>
      <c r="AZ45" t="s">
        <v>574</v>
      </c>
      <c r="BB45" t="s">
        <v>140</v>
      </c>
    </row>
    <row r="46" spans="1:54" x14ac:dyDescent="0.35">
      <c r="A46" t="s">
        <v>561</v>
      </c>
      <c r="B46" t="s">
        <v>107</v>
      </c>
      <c r="C46" t="s">
        <v>107</v>
      </c>
      <c r="E46" t="s">
        <v>108</v>
      </c>
      <c r="F46" t="s">
        <v>358</v>
      </c>
      <c r="G46" t="s">
        <v>359</v>
      </c>
      <c r="H46" t="s">
        <v>360</v>
      </c>
      <c r="I46" t="s">
        <v>341</v>
      </c>
      <c r="J46" t="s">
        <v>113</v>
      </c>
      <c r="K46" t="s">
        <v>114</v>
      </c>
      <c r="L46" t="s">
        <v>361</v>
      </c>
      <c r="M46" t="s">
        <v>361</v>
      </c>
      <c r="N46" t="s">
        <v>113</v>
      </c>
      <c r="O46" t="s">
        <v>363</v>
      </c>
      <c r="P46" t="s">
        <v>562</v>
      </c>
      <c r="Q46" t="s">
        <v>114</v>
      </c>
      <c r="R46" t="s">
        <v>118</v>
      </c>
      <c r="S46" t="s">
        <v>114</v>
      </c>
      <c r="T46" t="s">
        <v>118</v>
      </c>
      <c r="V46" t="s">
        <v>114</v>
      </c>
      <c r="W46" t="s">
        <v>562</v>
      </c>
      <c r="Y46" t="s">
        <v>563</v>
      </c>
      <c r="Z46" t="s">
        <v>564</v>
      </c>
      <c r="AA46" t="s">
        <v>565</v>
      </c>
      <c r="AB46" t="s">
        <v>566</v>
      </c>
      <c r="AC46" t="s">
        <v>564</v>
      </c>
      <c r="AG46" t="s">
        <v>123</v>
      </c>
      <c r="AH46" t="s">
        <v>124</v>
      </c>
      <c r="AI46" t="s">
        <v>567</v>
      </c>
      <c r="AJ46" t="s">
        <v>126</v>
      </c>
      <c r="AK46" t="s">
        <v>127</v>
      </c>
      <c r="AM46" t="s">
        <v>568</v>
      </c>
      <c r="AN46" t="s">
        <v>569</v>
      </c>
      <c r="AO46" t="s">
        <v>570</v>
      </c>
      <c r="AP46" t="s">
        <v>131</v>
      </c>
      <c r="AQ46" t="s">
        <v>132</v>
      </c>
      <c r="AR46" t="s">
        <v>262</v>
      </c>
      <c r="AS46" t="s">
        <v>571</v>
      </c>
      <c r="AU46" t="s">
        <v>572</v>
      </c>
      <c r="AV46" t="s">
        <v>573</v>
      </c>
      <c r="AW46" t="s">
        <v>136</v>
      </c>
      <c r="AX46" t="s">
        <v>177</v>
      </c>
      <c r="AY46" t="s">
        <v>364</v>
      </c>
      <c r="AZ46" t="s">
        <v>574</v>
      </c>
      <c r="BB46" t="s">
        <v>140</v>
      </c>
    </row>
    <row r="47" spans="1:54" x14ac:dyDescent="0.35">
      <c r="A47" t="s">
        <v>575</v>
      </c>
      <c r="B47" t="s">
        <v>107</v>
      </c>
      <c r="C47" t="s">
        <v>107</v>
      </c>
      <c r="F47" t="s">
        <v>158</v>
      </c>
      <c r="G47" t="s">
        <v>159</v>
      </c>
      <c r="H47" t="s">
        <v>111</v>
      </c>
      <c r="I47" t="s">
        <v>341</v>
      </c>
      <c r="J47" t="s">
        <v>113</v>
      </c>
      <c r="K47" t="s">
        <v>114</v>
      </c>
      <c r="L47" t="s">
        <v>114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V47" t="s">
        <v>114</v>
      </c>
      <c r="W47" t="s">
        <v>114</v>
      </c>
      <c r="Y47" t="s">
        <v>576</v>
      </c>
      <c r="Z47" t="s">
        <v>576</v>
      </c>
      <c r="AA47" t="s">
        <v>577</v>
      </c>
      <c r="AB47" t="s">
        <v>578</v>
      </c>
      <c r="AC47" t="s">
        <v>579</v>
      </c>
      <c r="AG47" t="s">
        <v>123</v>
      </c>
      <c r="AH47" t="s">
        <v>124</v>
      </c>
      <c r="AI47" t="s">
        <v>580</v>
      </c>
      <c r="AJ47" t="s">
        <v>126</v>
      </c>
      <c r="AK47" t="s">
        <v>127</v>
      </c>
      <c r="AM47" t="s">
        <v>581</v>
      </c>
      <c r="AN47" t="s">
        <v>582</v>
      </c>
      <c r="AO47" t="s">
        <v>583</v>
      </c>
      <c r="AP47" t="s">
        <v>131</v>
      </c>
      <c r="AQ47" t="s">
        <v>132</v>
      </c>
      <c r="AR47" t="s">
        <v>466</v>
      </c>
      <c r="AS47" t="s">
        <v>584</v>
      </c>
      <c r="AU47" t="s">
        <v>585</v>
      </c>
      <c r="AV47" t="s">
        <v>135</v>
      </c>
      <c r="AX47" t="s">
        <v>177</v>
      </c>
      <c r="AY47" t="s">
        <v>138</v>
      </c>
      <c r="AZ47" t="s">
        <v>586</v>
      </c>
      <c r="BB47" t="s">
        <v>140</v>
      </c>
    </row>
    <row r="48" spans="1:54" x14ac:dyDescent="0.35">
      <c r="A48" t="s">
        <v>587</v>
      </c>
      <c r="B48" t="s">
        <v>107</v>
      </c>
      <c r="C48" t="s">
        <v>107</v>
      </c>
      <c r="F48" t="s">
        <v>158</v>
      </c>
      <c r="G48" t="s">
        <v>159</v>
      </c>
      <c r="H48" t="s">
        <v>111</v>
      </c>
      <c r="I48" t="s">
        <v>341</v>
      </c>
      <c r="J48" t="s">
        <v>113</v>
      </c>
      <c r="K48" t="s">
        <v>114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V48" t="s">
        <v>114</v>
      </c>
      <c r="W48" t="s">
        <v>114</v>
      </c>
      <c r="Y48" t="s">
        <v>588</v>
      </c>
      <c r="Z48" t="s">
        <v>588</v>
      </c>
      <c r="AA48" t="s">
        <v>589</v>
      </c>
      <c r="AB48" t="s">
        <v>590</v>
      </c>
      <c r="AC48" t="s">
        <v>591</v>
      </c>
      <c r="AG48" t="s">
        <v>123</v>
      </c>
      <c r="AH48" t="s">
        <v>124</v>
      </c>
      <c r="AI48" t="s">
        <v>592</v>
      </c>
      <c r="AJ48" t="s">
        <v>126</v>
      </c>
      <c r="AK48" t="s">
        <v>127</v>
      </c>
      <c r="AM48" t="s">
        <v>593</v>
      </c>
      <c r="AN48" t="s">
        <v>594</v>
      </c>
      <c r="AO48" t="s">
        <v>595</v>
      </c>
      <c r="AP48" t="s">
        <v>131</v>
      </c>
      <c r="AQ48" t="s">
        <v>132</v>
      </c>
      <c r="AR48" t="s">
        <v>596</v>
      </c>
      <c r="AS48" t="s">
        <v>597</v>
      </c>
      <c r="AU48" t="s">
        <v>530</v>
      </c>
      <c r="AX48" t="s">
        <v>177</v>
      </c>
      <c r="AY48" t="s">
        <v>138</v>
      </c>
      <c r="AZ48" t="s">
        <v>598</v>
      </c>
      <c r="BB48" t="s">
        <v>140</v>
      </c>
    </row>
    <row r="49" spans="1:54" x14ac:dyDescent="0.35">
      <c r="A49" t="s">
        <v>599</v>
      </c>
      <c r="B49" t="s">
        <v>107</v>
      </c>
      <c r="C49" t="s">
        <v>107</v>
      </c>
      <c r="F49" t="s">
        <v>158</v>
      </c>
      <c r="G49" t="s">
        <v>159</v>
      </c>
      <c r="H49" t="s">
        <v>111</v>
      </c>
      <c r="I49" t="s">
        <v>341</v>
      </c>
      <c r="J49" t="s">
        <v>113</v>
      </c>
      <c r="K49" t="s">
        <v>114</v>
      </c>
      <c r="L49" t="s">
        <v>114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V49" t="s">
        <v>114</v>
      </c>
      <c r="W49" t="s">
        <v>114</v>
      </c>
      <c r="Y49" t="s">
        <v>600</v>
      </c>
      <c r="Z49" t="s">
        <v>601</v>
      </c>
      <c r="AA49" t="s">
        <v>602</v>
      </c>
      <c r="AB49" t="s">
        <v>603</v>
      </c>
      <c r="AC49" t="s">
        <v>604</v>
      </c>
      <c r="AG49" t="s">
        <v>123</v>
      </c>
      <c r="AH49" t="s">
        <v>124</v>
      </c>
      <c r="AI49" t="s">
        <v>605</v>
      </c>
      <c r="AJ49" t="s">
        <v>126</v>
      </c>
      <c r="AK49" t="s">
        <v>127</v>
      </c>
      <c r="AM49" t="s">
        <v>606</v>
      </c>
      <c r="AN49" t="s">
        <v>607</v>
      </c>
      <c r="AO49" t="s">
        <v>608</v>
      </c>
      <c r="AP49" t="s">
        <v>131</v>
      </c>
      <c r="AQ49" t="s">
        <v>132</v>
      </c>
      <c r="AR49" t="s">
        <v>152</v>
      </c>
      <c r="AS49" t="s">
        <v>609</v>
      </c>
      <c r="AU49" t="s">
        <v>610</v>
      </c>
      <c r="AV49" t="s">
        <v>389</v>
      </c>
      <c r="AX49" t="s">
        <v>177</v>
      </c>
      <c r="AY49" t="s">
        <v>138</v>
      </c>
      <c r="AZ49" t="s">
        <v>611</v>
      </c>
      <c r="BB49" t="s">
        <v>140</v>
      </c>
    </row>
    <row r="50" spans="1:54" x14ac:dyDescent="0.35">
      <c r="A50" t="s">
        <v>612</v>
      </c>
      <c r="B50" t="s">
        <v>107</v>
      </c>
      <c r="C50" t="s">
        <v>107</v>
      </c>
      <c r="F50" t="s">
        <v>613</v>
      </c>
      <c r="G50" t="s">
        <v>614</v>
      </c>
      <c r="H50" t="s">
        <v>615</v>
      </c>
      <c r="I50" t="s">
        <v>271</v>
      </c>
      <c r="J50" t="s">
        <v>113</v>
      </c>
      <c r="K50" t="s">
        <v>114</v>
      </c>
      <c r="L50" t="s">
        <v>114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V50" t="s">
        <v>114</v>
      </c>
      <c r="W50" t="s">
        <v>114</v>
      </c>
      <c r="Y50" t="s">
        <v>616</v>
      </c>
      <c r="Z50" t="s">
        <v>616</v>
      </c>
      <c r="AA50" t="s">
        <v>577</v>
      </c>
      <c r="AB50" t="s">
        <v>617</v>
      </c>
      <c r="AC50" t="s">
        <v>618</v>
      </c>
      <c r="AG50" t="s">
        <v>123</v>
      </c>
      <c r="AH50" t="s">
        <v>124</v>
      </c>
      <c r="AI50" t="s">
        <v>619</v>
      </c>
      <c r="AJ50" t="s">
        <v>126</v>
      </c>
      <c r="AK50" t="s">
        <v>127</v>
      </c>
      <c r="AM50" t="s">
        <v>620</v>
      </c>
      <c r="AN50" t="s">
        <v>621</v>
      </c>
      <c r="AO50" t="s">
        <v>622</v>
      </c>
      <c r="AP50" t="s">
        <v>131</v>
      </c>
      <c r="AQ50" t="s">
        <v>132</v>
      </c>
      <c r="AR50" t="s">
        <v>623</v>
      </c>
      <c r="AS50" t="s">
        <v>624</v>
      </c>
      <c r="AU50" t="s">
        <v>625</v>
      </c>
      <c r="AV50" t="s">
        <v>626</v>
      </c>
      <c r="AX50" t="s">
        <v>177</v>
      </c>
      <c r="AY50" t="s">
        <v>627</v>
      </c>
      <c r="AZ50" t="s">
        <v>628</v>
      </c>
      <c r="BB50" t="s">
        <v>140</v>
      </c>
    </row>
    <row r="51" spans="1:54" x14ac:dyDescent="0.35">
      <c r="A51" t="s">
        <v>629</v>
      </c>
      <c r="B51" t="s">
        <v>107</v>
      </c>
      <c r="C51" t="s">
        <v>107</v>
      </c>
      <c r="F51" t="s">
        <v>533</v>
      </c>
      <c r="G51" t="s">
        <v>534</v>
      </c>
      <c r="H51" t="s">
        <v>535</v>
      </c>
      <c r="I51" t="s">
        <v>536</v>
      </c>
      <c r="J51" t="s">
        <v>113</v>
      </c>
      <c r="K51" t="s">
        <v>114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V51" t="s">
        <v>114</v>
      </c>
      <c r="W51" t="s">
        <v>114</v>
      </c>
      <c r="Y51" t="s">
        <v>616</v>
      </c>
      <c r="Z51" t="s">
        <v>616</v>
      </c>
      <c r="AA51" t="s">
        <v>630</v>
      </c>
      <c r="AB51" t="s">
        <v>631</v>
      </c>
      <c r="AC51" t="s">
        <v>632</v>
      </c>
      <c r="AG51" t="s">
        <v>123</v>
      </c>
      <c r="AH51" t="s">
        <v>124</v>
      </c>
      <c r="AI51" t="s">
        <v>633</v>
      </c>
      <c r="AJ51" t="s">
        <v>126</v>
      </c>
      <c r="AK51" t="s">
        <v>127</v>
      </c>
      <c r="AM51" t="s">
        <v>634</v>
      </c>
      <c r="AN51" t="s">
        <v>635</v>
      </c>
      <c r="AO51" t="s">
        <v>636</v>
      </c>
      <c r="AP51" t="s">
        <v>131</v>
      </c>
      <c r="AQ51" t="s">
        <v>132</v>
      </c>
      <c r="AR51" t="s">
        <v>152</v>
      </c>
      <c r="AS51" t="s">
        <v>637</v>
      </c>
      <c r="AU51" t="s">
        <v>638</v>
      </c>
      <c r="AV51" t="s">
        <v>639</v>
      </c>
      <c r="AX51" t="s">
        <v>547</v>
      </c>
      <c r="AY51" t="s">
        <v>364</v>
      </c>
      <c r="AZ51" t="s">
        <v>640</v>
      </c>
      <c r="BB51" t="s">
        <v>140</v>
      </c>
    </row>
    <row r="52" spans="1:54" x14ac:dyDescent="0.35">
      <c r="A52" t="s">
        <v>641</v>
      </c>
      <c r="B52" t="s">
        <v>107</v>
      </c>
      <c r="C52" t="s">
        <v>107</v>
      </c>
      <c r="E52" t="s">
        <v>108</v>
      </c>
      <c r="F52" t="s">
        <v>158</v>
      </c>
      <c r="G52" t="s">
        <v>159</v>
      </c>
      <c r="H52" t="s">
        <v>111</v>
      </c>
      <c r="I52" t="s">
        <v>341</v>
      </c>
      <c r="J52" t="s">
        <v>113</v>
      </c>
      <c r="K52" t="s">
        <v>114</v>
      </c>
      <c r="L52" t="s">
        <v>161</v>
      </c>
      <c r="M52" t="s">
        <v>161</v>
      </c>
      <c r="N52" t="s">
        <v>114</v>
      </c>
      <c r="O52" t="s">
        <v>393</v>
      </c>
      <c r="P52" t="s">
        <v>642</v>
      </c>
      <c r="Q52" t="s">
        <v>114</v>
      </c>
      <c r="R52" t="s">
        <v>180</v>
      </c>
      <c r="S52" t="s">
        <v>114</v>
      </c>
      <c r="T52" t="s">
        <v>180</v>
      </c>
      <c r="V52" t="s">
        <v>114</v>
      </c>
      <c r="W52" t="s">
        <v>642</v>
      </c>
      <c r="Y52" t="s">
        <v>643</v>
      </c>
      <c r="Z52" t="s">
        <v>644</v>
      </c>
      <c r="AA52" t="s">
        <v>645</v>
      </c>
      <c r="AB52" t="s">
        <v>646</v>
      </c>
      <c r="AC52" t="s">
        <v>647</v>
      </c>
      <c r="AG52" t="s">
        <v>123</v>
      </c>
      <c r="AH52" t="s">
        <v>124</v>
      </c>
      <c r="AI52" t="s">
        <v>648</v>
      </c>
      <c r="AJ52" t="s">
        <v>126</v>
      </c>
      <c r="AK52" t="s">
        <v>127</v>
      </c>
      <c r="AM52" t="s">
        <v>649</v>
      </c>
      <c r="AN52" t="s">
        <v>650</v>
      </c>
      <c r="AO52" t="s">
        <v>651</v>
      </c>
      <c r="AP52" t="s">
        <v>131</v>
      </c>
      <c r="AQ52" t="s">
        <v>132</v>
      </c>
      <c r="AR52" t="s">
        <v>652</v>
      </c>
      <c r="AS52" t="s">
        <v>653</v>
      </c>
      <c r="AU52" t="s">
        <v>654</v>
      </c>
      <c r="AV52" t="s">
        <v>625</v>
      </c>
      <c r="AW52" t="s">
        <v>655</v>
      </c>
      <c r="AX52" t="s">
        <v>177</v>
      </c>
      <c r="AY52" t="s">
        <v>138</v>
      </c>
      <c r="AZ52" t="s">
        <v>656</v>
      </c>
      <c r="BB52" t="s">
        <v>140</v>
      </c>
    </row>
    <row r="53" spans="1:54" x14ac:dyDescent="0.35">
      <c r="A53" t="s">
        <v>641</v>
      </c>
      <c r="B53" t="s">
        <v>107</v>
      </c>
      <c r="C53" t="s">
        <v>107</v>
      </c>
      <c r="E53" t="s">
        <v>108</v>
      </c>
      <c r="F53" t="s">
        <v>268</v>
      </c>
      <c r="G53" t="s">
        <v>269</v>
      </c>
      <c r="H53" t="s">
        <v>270</v>
      </c>
      <c r="I53" t="s">
        <v>271</v>
      </c>
      <c r="J53" t="s">
        <v>113</v>
      </c>
      <c r="K53" t="s">
        <v>114</v>
      </c>
      <c r="L53" t="s">
        <v>114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180</v>
      </c>
      <c r="S53" t="s">
        <v>114</v>
      </c>
      <c r="T53" t="s">
        <v>180</v>
      </c>
      <c r="V53" t="s">
        <v>114</v>
      </c>
      <c r="W53" t="s">
        <v>642</v>
      </c>
      <c r="Y53" t="s">
        <v>643</v>
      </c>
      <c r="Z53" t="s">
        <v>644</v>
      </c>
      <c r="AA53" t="s">
        <v>645</v>
      </c>
      <c r="AB53" t="s">
        <v>646</v>
      </c>
      <c r="AC53" t="s">
        <v>647</v>
      </c>
      <c r="AG53" t="s">
        <v>123</v>
      </c>
      <c r="AH53" t="s">
        <v>124</v>
      </c>
      <c r="AI53" t="s">
        <v>648</v>
      </c>
      <c r="AJ53" t="s">
        <v>126</v>
      </c>
      <c r="AK53" t="s">
        <v>127</v>
      </c>
      <c r="AM53" t="s">
        <v>649</v>
      </c>
      <c r="AN53" t="s">
        <v>650</v>
      </c>
      <c r="AO53" t="s">
        <v>651</v>
      </c>
      <c r="AP53" t="s">
        <v>131</v>
      </c>
      <c r="AQ53" t="s">
        <v>132</v>
      </c>
      <c r="AR53" t="s">
        <v>652</v>
      </c>
      <c r="AS53" t="s">
        <v>653</v>
      </c>
      <c r="AU53" t="s">
        <v>654</v>
      </c>
      <c r="AV53" t="s">
        <v>625</v>
      </c>
      <c r="AW53" t="s">
        <v>655</v>
      </c>
      <c r="AX53" t="s">
        <v>272</v>
      </c>
      <c r="AY53" t="s">
        <v>273</v>
      </c>
      <c r="AZ53" t="s">
        <v>656</v>
      </c>
      <c r="BB53" t="s">
        <v>140</v>
      </c>
    </row>
    <row r="54" spans="1:54" x14ac:dyDescent="0.35">
      <c r="A54" t="s">
        <v>657</v>
      </c>
      <c r="B54" t="s">
        <v>107</v>
      </c>
      <c r="C54" t="s">
        <v>107</v>
      </c>
      <c r="E54" t="s">
        <v>108</v>
      </c>
      <c r="F54" t="s">
        <v>158</v>
      </c>
      <c r="G54" t="s">
        <v>159</v>
      </c>
      <c r="H54" t="s">
        <v>111</v>
      </c>
      <c r="I54" t="s">
        <v>341</v>
      </c>
      <c r="J54" t="s">
        <v>113</v>
      </c>
      <c r="K54" t="s">
        <v>114</v>
      </c>
      <c r="L54" t="s">
        <v>161</v>
      </c>
      <c r="M54" t="s">
        <v>161</v>
      </c>
      <c r="N54" t="s">
        <v>114</v>
      </c>
      <c r="O54" t="s">
        <v>393</v>
      </c>
      <c r="P54" t="s">
        <v>642</v>
      </c>
      <c r="Q54" t="s">
        <v>114</v>
      </c>
      <c r="R54" t="s">
        <v>180</v>
      </c>
      <c r="S54" t="s">
        <v>114</v>
      </c>
      <c r="T54" t="s">
        <v>180</v>
      </c>
      <c r="V54" t="s">
        <v>114</v>
      </c>
      <c r="W54" t="s">
        <v>642</v>
      </c>
      <c r="Y54" t="s">
        <v>658</v>
      </c>
      <c r="Z54" t="s">
        <v>659</v>
      </c>
      <c r="AA54" t="s">
        <v>660</v>
      </c>
      <c r="AB54" t="s">
        <v>661</v>
      </c>
      <c r="AC54" t="s">
        <v>662</v>
      </c>
      <c r="AG54" t="s">
        <v>123</v>
      </c>
      <c r="AH54" t="s">
        <v>124</v>
      </c>
      <c r="AI54" t="s">
        <v>663</v>
      </c>
      <c r="AJ54" t="s">
        <v>126</v>
      </c>
      <c r="AK54" t="s">
        <v>127</v>
      </c>
      <c r="AM54" t="s">
        <v>664</v>
      </c>
      <c r="AN54" t="s">
        <v>665</v>
      </c>
      <c r="AO54" t="s">
        <v>666</v>
      </c>
      <c r="AP54" t="s">
        <v>131</v>
      </c>
      <c r="AQ54" t="s">
        <v>132</v>
      </c>
      <c r="AR54" t="s">
        <v>352</v>
      </c>
      <c r="AS54" t="s">
        <v>667</v>
      </c>
      <c r="AU54" t="s">
        <v>668</v>
      </c>
      <c r="AV54" t="s">
        <v>669</v>
      </c>
      <c r="AW54" t="s">
        <v>155</v>
      </c>
      <c r="AX54" t="s">
        <v>177</v>
      </c>
      <c r="AY54" t="s">
        <v>138</v>
      </c>
      <c r="AZ54" t="s">
        <v>670</v>
      </c>
      <c r="BB54" t="s">
        <v>140</v>
      </c>
    </row>
    <row r="55" spans="1:54" x14ac:dyDescent="0.35">
      <c r="A55" t="s">
        <v>657</v>
      </c>
      <c r="B55" t="s">
        <v>107</v>
      </c>
      <c r="C55" t="s">
        <v>107</v>
      </c>
      <c r="E55" t="s">
        <v>108</v>
      </c>
      <c r="F55" t="s">
        <v>268</v>
      </c>
      <c r="G55" t="s">
        <v>269</v>
      </c>
      <c r="H55" t="s">
        <v>270</v>
      </c>
      <c r="I55" t="s">
        <v>271</v>
      </c>
      <c r="J55" t="s">
        <v>113</v>
      </c>
      <c r="K55" t="s">
        <v>114</v>
      </c>
      <c r="L55" t="s">
        <v>114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180</v>
      </c>
      <c r="S55" t="s">
        <v>114</v>
      </c>
      <c r="T55" t="s">
        <v>180</v>
      </c>
      <c r="V55" t="s">
        <v>114</v>
      </c>
      <c r="W55" t="s">
        <v>642</v>
      </c>
      <c r="Y55" t="s">
        <v>658</v>
      </c>
      <c r="Z55" t="s">
        <v>659</v>
      </c>
      <c r="AA55" t="s">
        <v>660</v>
      </c>
      <c r="AB55" t="s">
        <v>661</v>
      </c>
      <c r="AC55" t="s">
        <v>662</v>
      </c>
      <c r="AG55" t="s">
        <v>123</v>
      </c>
      <c r="AH55" t="s">
        <v>124</v>
      </c>
      <c r="AI55" t="s">
        <v>663</v>
      </c>
      <c r="AJ55" t="s">
        <v>126</v>
      </c>
      <c r="AK55" t="s">
        <v>127</v>
      </c>
      <c r="AM55" t="s">
        <v>664</v>
      </c>
      <c r="AN55" t="s">
        <v>665</v>
      </c>
      <c r="AO55" t="s">
        <v>666</v>
      </c>
      <c r="AP55" t="s">
        <v>131</v>
      </c>
      <c r="AQ55" t="s">
        <v>132</v>
      </c>
      <c r="AR55" t="s">
        <v>352</v>
      </c>
      <c r="AS55" t="s">
        <v>667</v>
      </c>
      <c r="AU55" t="s">
        <v>668</v>
      </c>
      <c r="AV55" t="s">
        <v>669</v>
      </c>
      <c r="AW55" t="s">
        <v>155</v>
      </c>
      <c r="AX55" t="s">
        <v>272</v>
      </c>
      <c r="AY55" t="s">
        <v>273</v>
      </c>
      <c r="AZ55" t="s">
        <v>670</v>
      </c>
      <c r="BB55" t="s">
        <v>140</v>
      </c>
    </row>
    <row r="56" spans="1:54" x14ac:dyDescent="0.35">
      <c r="A56" t="s">
        <v>671</v>
      </c>
      <c r="B56" t="s">
        <v>107</v>
      </c>
      <c r="C56" t="s">
        <v>107</v>
      </c>
      <c r="E56" t="s">
        <v>108</v>
      </c>
      <c r="F56" t="s">
        <v>158</v>
      </c>
      <c r="G56" t="s">
        <v>159</v>
      </c>
      <c r="H56" t="s">
        <v>111</v>
      </c>
      <c r="I56" t="s">
        <v>341</v>
      </c>
      <c r="J56" t="s">
        <v>113</v>
      </c>
      <c r="K56" t="s">
        <v>114</v>
      </c>
      <c r="L56" t="s">
        <v>161</v>
      </c>
      <c r="M56" t="s">
        <v>161</v>
      </c>
      <c r="N56" t="s">
        <v>672</v>
      </c>
      <c r="O56" t="s">
        <v>393</v>
      </c>
      <c r="P56" t="s">
        <v>673</v>
      </c>
      <c r="Q56" t="s">
        <v>114</v>
      </c>
      <c r="R56" t="s">
        <v>142</v>
      </c>
      <c r="S56" t="s">
        <v>114</v>
      </c>
      <c r="T56" t="s">
        <v>142</v>
      </c>
      <c r="V56" t="s">
        <v>114</v>
      </c>
      <c r="W56" t="s">
        <v>673</v>
      </c>
      <c r="Y56" t="s">
        <v>674</v>
      </c>
      <c r="Z56" t="s">
        <v>675</v>
      </c>
      <c r="AA56" t="s">
        <v>676</v>
      </c>
      <c r="AB56" t="s">
        <v>677</v>
      </c>
      <c r="AC56" t="s">
        <v>675</v>
      </c>
      <c r="AG56" t="s">
        <v>123</v>
      </c>
      <c r="AH56" t="s">
        <v>124</v>
      </c>
      <c r="AI56" t="s">
        <v>678</v>
      </c>
      <c r="AJ56" t="s">
        <v>126</v>
      </c>
      <c r="AK56" t="s">
        <v>127</v>
      </c>
      <c r="AM56" t="s">
        <v>477</v>
      </c>
      <c r="AN56" t="s">
        <v>478</v>
      </c>
      <c r="AO56" t="s">
        <v>479</v>
      </c>
      <c r="AP56" t="s">
        <v>131</v>
      </c>
      <c r="AQ56" t="s">
        <v>132</v>
      </c>
      <c r="AR56" t="s">
        <v>152</v>
      </c>
      <c r="AS56" t="s">
        <v>480</v>
      </c>
      <c r="AU56" t="s">
        <v>481</v>
      </c>
      <c r="AW56" t="s">
        <v>136</v>
      </c>
      <c r="AX56" t="s">
        <v>177</v>
      </c>
      <c r="AY56" t="s">
        <v>138</v>
      </c>
      <c r="AZ56" t="s">
        <v>679</v>
      </c>
      <c r="BB56" t="s">
        <v>140</v>
      </c>
    </row>
    <row r="57" spans="1:54" x14ac:dyDescent="0.35">
      <c r="A57" t="s">
        <v>671</v>
      </c>
      <c r="B57" t="s">
        <v>107</v>
      </c>
      <c r="C57" t="s">
        <v>107</v>
      </c>
      <c r="E57" t="s">
        <v>108</v>
      </c>
      <c r="F57" t="s">
        <v>268</v>
      </c>
      <c r="G57" t="s">
        <v>269</v>
      </c>
      <c r="H57" t="s">
        <v>270</v>
      </c>
      <c r="I57" t="s">
        <v>271</v>
      </c>
      <c r="J57" t="s">
        <v>113</v>
      </c>
      <c r="K57" t="s">
        <v>114</v>
      </c>
      <c r="L57" t="s">
        <v>114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142</v>
      </c>
      <c r="S57" t="s">
        <v>114</v>
      </c>
      <c r="T57" t="s">
        <v>142</v>
      </c>
      <c r="V57" t="s">
        <v>114</v>
      </c>
      <c r="W57" t="s">
        <v>673</v>
      </c>
      <c r="Y57" t="s">
        <v>674</v>
      </c>
      <c r="Z57" t="s">
        <v>675</v>
      </c>
      <c r="AA57" t="s">
        <v>676</v>
      </c>
      <c r="AB57" t="s">
        <v>677</v>
      </c>
      <c r="AC57" t="s">
        <v>675</v>
      </c>
      <c r="AG57" t="s">
        <v>123</v>
      </c>
      <c r="AH57" t="s">
        <v>124</v>
      </c>
      <c r="AI57" t="s">
        <v>678</v>
      </c>
      <c r="AJ57" t="s">
        <v>126</v>
      </c>
      <c r="AK57" t="s">
        <v>127</v>
      </c>
      <c r="AM57" t="s">
        <v>477</v>
      </c>
      <c r="AN57" t="s">
        <v>478</v>
      </c>
      <c r="AO57" t="s">
        <v>479</v>
      </c>
      <c r="AP57" t="s">
        <v>131</v>
      </c>
      <c r="AQ57" t="s">
        <v>132</v>
      </c>
      <c r="AR57" t="s">
        <v>152</v>
      </c>
      <c r="AS57" t="s">
        <v>480</v>
      </c>
      <c r="AU57" t="s">
        <v>481</v>
      </c>
      <c r="AW57" t="s">
        <v>136</v>
      </c>
      <c r="AX57" t="s">
        <v>272</v>
      </c>
      <c r="AY57" t="s">
        <v>273</v>
      </c>
      <c r="AZ57" t="s">
        <v>679</v>
      </c>
      <c r="BB57" t="s">
        <v>140</v>
      </c>
    </row>
    <row r="58" spans="1:54" x14ac:dyDescent="0.35">
      <c r="A58" t="s">
        <v>680</v>
      </c>
      <c r="B58" t="s">
        <v>107</v>
      </c>
      <c r="C58" t="s">
        <v>107</v>
      </c>
      <c r="E58" t="s">
        <v>108</v>
      </c>
      <c r="F58" t="s">
        <v>158</v>
      </c>
      <c r="G58" t="s">
        <v>159</v>
      </c>
      <c r="H58" t="s">
        <v>111</v>
      </c>
      <c r="I58" t="s">
        <v>341</v>
      </c>
      <c r="J58" t="s">
        <v>113</v>
      </c>
      <c r="K58" t="s">
        <v>114</v>
      </c>
      <c r="L58" t="s">
        <v>161</v>
      </c>
      <c r="M58" t="s">
        <v>161</v>
      </c>
      <c r="N58" t="s">
        <v>114</v>
      </c>
      <c r="O58" t="s">
        <v>393</v>
      </c>
      <c r="P58" t="s">
        <v>642</v>
      </c>
      <c r="Q58" t="s">
        <v>114</v>
      </c>
      <c r="R58" t="s">
        <v>142</v>
      </c>
      <c r="S58" t="s">
        <v>114</v>
      </c>
      <c r="T58" t="s">
        <v>142</v>
      </c>
      <c r="V58" t="s">
        <v>114</v>
      </c>
      <c r="W58" t="s">
        <v>642</v>
      </c>
      <c r="Y58" t="s">
        <v>681</v>
      </c>
      <c r="Z58" t="s">
        <v>682</v>
      </c>
      <c r="AA58" t="s">
        <v>683</v>
      </c>
      <c r="AB58" t="s">
        <v>684</v>
      </c>
      <c r="AC58" t="s">
        <v>682</v>
      </c>
      <c r="AG58" t="s">
        <v>123</v>
      </c>
      <c r="AH58" t="s">
        <v>124</v>
      </c>
      <c r="AI58" t="s">
        <v>685</v>
      </c>
      <c r="AJ58" t="s">
        <v>126</v>
      </c>
      <c r="AK58" t="s">
        <v>127</v>
      </c>
      <c r="AM58" t="s">
        <v>686</v>
      </c>
      <c r="AN58" t="s">
        <v>687</v>
      </c>
      <c r="AO58" t="s">
        <v>688</v>
      </c>
      <c r="AP58" t="s">
        <v>131</v>
      </c>
      <c r="AQ58" t="s">
        <v>132</v>
      </c>
      <c r="AR58" t="s">
        <v>152</v>
      </c>
      <c r="AS58" t="s">
        <v>689</v>
      </c>
      <c r="AU58" t="s">
        <v>690</v>
      </c>
      <c r="AW58" t="s">
        <v>136</v>
      </c>
      <c r="AX58" t="s">
        <v>177</v>
      </c>
      <c r="AY58" t="s">
        <v>138</v>
      </c>
      <c r="AZ58" t="s">
        <v>691</v>
      </c>
      <c r="BB58" t="s">
        <v>140</v>
      </c>
    </row>
    <row r="59" spans="1:54" x14ac:dyDescent="0.35">
      <c r="A59" t="s">
        <v>680</v>
      </c>
      <c r="B59" t="s">
        <v>107</v>
      </c>
      <c r="C59" t="s">
        <v>107</v>
      </c>
      <c r="E59" t="s">
        <v>108</v>
      </c>
      <c r="F59" t="s">
        <v>268</v>
      </c>
      <c r="G59" t="s">
        <v>269</v>
      </c>
      <c r="H59" t="s">
        <v>270</v>
      </c>
      <c r="I59" t="s">
        <v>271</v>
      </c>
      <c r="J59" t="s">
        <v>113</v>
      </c>
      <c r="K59" t="s">
        <v>114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142</v>
      </c>
      <c r="S59" t="s">
        <v>114</v>
      </c>
      <c r="T59" t="s">
        <v>142</v>
      </c>
      <c r="V59" t="s">
        <v>114</v>
      </c>
      <c r="W59" t="s">
        <v>642</v>
      </c>
      <c r="Y59" t="s">
        <v>681</v>
      </c>
      <c r="Z59" t="s">
        <v>682</v>
      </c>
      <c r="AA59" t="s">
        <v>683</v>
      </c>
      <c r="AB59" t="s">
        <v>684</v>
      </c>
      <c r="AC59" t="s">
        <v>682</v>
      </c>
      <c r="AG59" t="s">
        <v>123</v>
      </c>
      <c r="AH59" t="s">
        <v>124</v>
      </c>
      <c r="AI59" t="s">
        <v>685</v>
      </c>
      <c r="AJ59" t="s">
        <v>126</v>
      </c>
      <c r="AK59" t="s">
        <v>127</v>
      </c>
      <c r="AM59" t="s">
        <v>686</v>
      </c>
      <c r="AN59" t="s">
        <v>687</v>
      </c>
      <c r="AO59" t="s">
        <v>688</v>
      </c>
      <c r="AP59" t="s">
        <v>131</v>
      </c>
      <c r="AQ59" t="s">
        <v>132</v>
      </c>
      <c r="AR59" t="s">
        <v>152</v>
      </c>
      <c r="AS59" t="s">
        <v>689</v>
      </c>
      <c r="AU59" t="s">
        <v>690</v>
      </c>
      <c r="AW59" t="s">
        <v>136</v>
      </c>
      <c r="AX59" t="s">
        <v>272</v>
      </c>
      <c r="AY59" t="s">
        <v>273</v>
      </c>
      <c r="AZ59" t="s">
        <v>691</v>
      </c>
      <c r="BB59" t="s">
        <v>140</v>
      </c>
    </row>
    <row r="60" spans="1:54" x14ac:dyDescent="0.35">
      <c r="A60" t="s">
        <v>692</v>
      </c>
      <c r="B60" t="s">
        <v>107</v>
      </c>
      <c r="C60" t="s">
        <v>107</v>
      </c>
      <c r="E60" t="s">
        <v>108</v>
      </c>
      <c r="F60" t="s">
        <v>268</v>
      </c>
      <c r="G60" t="s">
        <v>269</v>
      </c>
      <c r="H60" t="s">
        <v>270</v>
      </c>
      <c r="I60" t="s">
        <v>271</v>
      </c>
      <c r="J60" t="s">
        <v>113</v>
      </c>
      <c r="K60" t="s">
        <v>114</v>
      </c>
      <c r="L60" t="s">
        <v>114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142</v>
      </c>
      <c r="S60" t="s">
        <v>114</v>
      </c>
      <c r="T60" t="s">
        <v>142</v>
      </c>
      <c r="V60" t="s">
        <v>114</v>
      </c>
      <c r="W60" t="s">
        <v>642</v>
      </c>
      <c r="Y60" t="s">
        <v>693</v>
      </c>
      <c r="Z60" t="s">
        <v>694</v>
      </c>
      <c r="AA60" t="s">
        <v>695</v>
      </c>
      <c r="AB60" t="s">
        <v>696</v>
      </c>
      <c r="AC60" t="s">
        <v>694</v>
      </c>
      <c r="AG60" t="s">
        <v>123</v>
      </c>
      <c r="AH60" t="s">
        <v>124</v>
      </c>
      <c r="AI60" t="s">
        <v>697</v>
      </c>
      <c r="AJ60" t="s">
        <v>126</v>
      </c>
      <c r="AK60" t="s">
        <v>127</v>
      </c>
      <c r="AM60" t="s">
        <v>698</v>
      </c>
      <c r="AN60" t="s">
        <v>699</v>
      </c>
      <c r="AO60" t="s">
        <v>700</v>
      </c>
      <c r="AP60" t="s">
        <v>131</v>
      </c>
      <c r="AQ60" t="s">
        <v>132</v>
      </c>
      <c r="AR60" t="s">
        <v>466</v>
      </c>
      <c r="AS60" t="s">
        <v>467</v>
      </c>
      <c r="AU60" t="s">
        <v>701</v>
      </c>
      <c r="AW60" t="s">
        <v>136</v>
      </c>
      <c r="AX60" t="s">
        <v>272</v>
      </c>
      <c r="AY60" t="s">
        <v>273</v>
      </c>
      <c r="AZ60" t="s">
        <v>702</v>
      </c>
      <c r="BB60" t="s">
        <v>140</v>
      </c>
    </row>
    <row r="61" spans="1:54" x14ac:dyDescent="0.35">
      <c r="A61" t="s">
        <v>692</v>
      </c>
      <c r="B61" t="s">
        <v>107</v>
      </c>
      <c r="C61" t="s">
        <v>107</v>
      </c>
      <c r="E61" t="s">
        <v>108</v>
      </c>
      <c r="F61" t="s">
        <v>158</v>
      </c>
      <c r="G61" t="s">
        <v>159</v>
      </c>
      <c r="H61" t="s">
        <v>111</v>
      </c>
      <c r="I61" t="s">
        <v>341</v>
      </c>
      <c r="J61" t="s">
        <v>113</v>
      </c>
      <c r="K61" t="s">
        <v>114</v>
      </c>
      <c r="L61" t="s">
        <v>161</v>
      </c>
      <c r="M61" t="s">
        <v>161</v>
      </c>
      <c r="N61" t="s">
        <v>114</v>
      </c>
      <c r="O61" t="s">
        <v>393</v>
      </c>
      <c r="P61" t="s">
        <v>642</v>
      </c>
      <c r="Q61" t="s">
        <v>114</v>
      </c>
      <c r="R61" t="s">
        <v>142</v>
      </c>
      <c r="S61" t="s">
        <v>114</v>
      </c>
      <c r="T61" t="s">
        <v>142</v>
      </c>
      <c r="V61" t="s">
        <v>114</v>
      </c>
      <c r="W61" t="s">
        <v>642</v>
      </c>
      <c r="Y61" t="s">
        <v>693</v>
      </c>
      <c r="Z61" t="s">
        <v>694</v>
      </c>
      <c r="AA61" t="s">
        <v>695</v>
      </c>
      <c r="AB61" t="s">
        <v>696</v>
      </c>
      <c r="AC61" t="s">
        <v>694</v>
      </c>
      <c r="AG61" t="s">
        <v>123</v>
      </c>
      <c r="AH61" t="s">
        <v>124</v>
      </c>
      <c r="AI61" t="s">
        <v>697</v>
      </c>
      <c r="AJ61" t="s">
        <v>126</v>
      </c>
      <c r="AK61" t="s">
        <v>127</v>
      </c>
      <c r="AM61" t="s">
        <v>698</v>
      </c>
      <c r="AN61" t="s">
        <v>699</v>
      </c>
      <c r="AO61" t="s">
        <v>700</v>
      </c>
      <c r="AP61" t="s">
        <v>131</v>
      </c>
      <c r="AQ61" t="s">
        <v>132</v>
      </c>
      <c r="AR61" t="s">
        <v>466</v>
      </c>
      <c r="AS61" t="s">
        <v>467</v>
      </c>
      <c r="AU61" t="s">
        <v>701</v>
      </c>
      <c r="AW61" t="s">
        <v>136</v>
      </c>
      <c r="AX61" t="s">
        <v>177</v>
      </c>
      <c r="AY61" t="s">
        <v>138</v>
      </c>
      <c r="AZ61" t="s">
        <v>702</v>
      </c>
      <c r="BB61" t="s">
        <v>140</v>
      </c>
    </row>
    <row r="62" spans="1:54" x14ac:dyDescent="0.35">
      <c r="A62" t="s">
        <v>703</v>
      </c>
      <c r="B62" t="s">
        <v>107</v>
      </c>
      <c r="C62" t="s">
        <v>107</v>
      </c>
      <c r="E62" t="s">
        <v>108</v>
      </c>
      <c r="F62" t="s">
        <v>158</v>
      </c>
      <c r="G62" t="s">
        <v>159</v>
      </c>
      <c r="H62" t="s">
        <v>111</v>
      </c>
      <c r="I62" t="s">
        <v>341</v>
      </c>
      <c r="J62" t="s">
        <v>113</v>
      </c>
      <c r="K62" t="s">
        <v>114</v>
      </c>
      <c r="L62" t="s">
        <v>161</v>
      </c>
      <c r="M62" t="s">
        <v>161</v>
      </c>
      <c r="N62" t="s">
        <v>409</v>
      </c>
      <c r="O62" t="s">
        <v>393</v>
      </c>
      <c r="P62" t="s">
        <v>410</v>
      </c>
      <c r="Q62" t="s">
        <v>114</v>
      </c>
      <c r="R62" t="s">
        <v>180</v>
      </c>
      <c r="S62" t="s">
        <v>114</v>
      </c>
      <c r="T62" t="s">
        <v>180</v>
      </c>
      <c r="V62" t="s">
        <v>114</v>
      </c>
      <c r="W62" t="s">
        <v>410</v>
      </c>
      <c r="Y62" t="s">
        <v>704</v>
      </c>
      <c r="Z62" t="s">
        <v>705</v>
      </c>
      <c r="AA62" t="s">
        <v>706</v>
      </c>
      <c r="AB62" t="s">
        <v>707</v>
      </c>
      <c r="AC62" t="s">
        <v>705</v>
      </c>
      <c r="AG62" t="s">
        <v>123</v>
      </c>
      <c r="AH62" t="s">
        <v>124</v>
      </c>
      <c r="AI62" t="s">
        <v>708</v>
      </c>
      <c r="AJ62" t="s">
        <v>126</v>
      </c>
      <c r="AK62" t="s">
        <v>127</v>
      </c>
      <c r="AM62" t="s">
        <v>555</v>
      </c>
      <c r="AN62" t="s">
        <v>556</v>
      </c>
      <c r="AO62" t="s">
        <v>557</v>
      </c>
      <c r="AP62" t="s">
        <v>131</v>
      </c>
      <c r="AQ62" t="s">
        <v>132</v>
      </c>
      <c r="AR62" t="s">
        <v>558</v>
      </c>
      <c r="AS62" t="s">
        <v>559</v>
      </c>
      <c r="AU62" t="s">
        <v>389</v>
      </c>
      <c r="AV62" t="s">
        <v>434</v>
      </c>
      <c r="AW62" t="s">
        <v>136</v>
      </c>
      <c r="AX62" t="s">
        <v>177</v>
      </c>
      <c r="AY62" t="s">
        <v>138</v>
      </c>
      <c r="AZ62" t="s">
        <v>709</v>
      </c>
      <c r="BB62" t="s">
        <v>140</v>
      </c>
    </row>
    <row r="63" spans="1:54" x14ac:dyDescent="0.35">
      <c r="A63" t="s">
        <v>703</v>
      </c>
      <c r="B63" t="s">
        <v>107</v>
      </c>
      <c r="C63" t="s">
        <v>107</v>
      </c>
      <c r="E63" t="s">
        <v>108</v>
      </c>
      <c r="F63" t="s">
        <v>268</v>
      </c>
      <c r="G63" t="s">
        <v>269</v>
      </c>
      <c r="H63" t="s">
        <v>270</v>
      </c>
      <c r="I63" t="s">
        <v>271</v>
      </c>
      <c r="J63" t="s">
        <v>113</v>
      </c>
      <c r="K63" t="s">
        <v>114</v>
      </c>
      <c r="L63" t="s">
        <v>114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180</v>
      </c>
      <c r="S63" t="s">
        <v>114</v>
      </c>
      <c r="T63" t="s">
        <v>180</v>
      </c>
      <c r="V63" t="s">
        <v>114</v>
      </c>
      <c r="W63" t="s">
        <v>410</v>
      </c>
      <c r="Y63" t="s">
        <v>704</v>
      </c>
      <c r="Z63" t="s">
        <v>705</v>
      </c>
      <c r="AA63" t="s">
        <v>706</v>
      </c>
      <c r="AB63" t="s">
        <v>707</v>
      </c>
      <c r="AC63" t="s">
        <v>705</v>
      </c>
      <c r="AG63" t="s">
        <v>123</v>
      </c>
      <c r="AH63" t="s">
        <v>124</v>
      </c>
      <c r="AI63" t="s">
        <v>708</v>
      </c>
      <c r="AJ63" t="s">
        <v>126</v>
      </c>
      <c r="AK63" t="s">
        <v>127</v>
      </c>
      <c r="AM63" t="s">
        <v>555</v>
      </c>
      <c r="AN63" t="s">
        <v>556</v>
      </c>
      <c r="AO63" t="s">
        <v>557</v>
      </c>
      <c r="AP63" t="s">
        <v>131</v>
      </c>
      <c r="AQ63" t="s">
        <v>132</v>
      </c>
      <c r="AR63" t="s">
        <v>558</v>
      </c>
      <c r="AS63" t="s">
        <v>559</v>
      </c>
      <c r="AU63" t="s">
        <v>389</v>
      </c>
      <c r="AV63" t="s">
        <v>434</v>
      </c>
      <c r="AW63" t="s">
        <v>136</v>
      </c>
      <c r="AX63" t="s">
        <v>272</v>
      </c>
      <c r="AY63" t="s">
        <v>273</v>
      </c>
      <c r="AZ63" t="s">
        <v>709</v>
      </c>
      <c r="BB63" t="s">
        <v>140</v>
      </c>
    </row>
    <row r="64" spans="1:54" x14ac:dyDescent="0.35">
      <c r="A64" t="s">
        <v>710</v>
      </c>
      <c r="B64" t="s">
        <v>107</v>
      </c>
      <c r="C64" t="s">
        <v>107</v>
      </c>
      <c r="E64" t="s">
        <v>108</v>
      </c>
      <c r="F64" t="s">
        <v>158</v>
      </c>
      <c r="G64" t="s">
        <v>159</v>
      </c>
      <c r="H64" t="s">
        <v>111</v>
      </c>
      <c r="I64" t="s">
        <v>341</v>
      </c>
      <c r="J64" t="s">
        <v>113</v>
      </c>
      <c r="K64" t="s">
        <v>114</v>
      </c>
      <c r="L64" t="s">
        <v>161</v>
      </c>
      <c r="M64" t="s">
        <v>161</v>
      </c>
      <c r="N64" t="s">
        <v>114</v>
      </c>
      <c r="O64" t="s">
        <v>393</v>
      </c>
      <c r="P64" t="s">
        <v>642</v>
      </c>
      <c r="Q64" t="s">
        <v>114</v>
      </c>
      <c r="R64" t="s">
        <v>711</v>
      </c>
      <c r="S64" t="s">
        <v>114</v>
      </c>
      <c r="T64" t="s">
        <v>711</v>
      </c>
      <c r="V64" t="s">
        <v>114</v>
      </c>
      <c r="W64" t="s">
        <v>642</v>
      </c>
      <c r="Y64" t="s">
        <v>712</v>
      </c>
      <c r="Z64" t="s">
        <v>713</v>
      </c>
      <c r="AA64" t="s">
        <v>714</v>
      </c>
      <c r="AB64" t="s">
        <v>715</v>
      </c>
      <c r="AC64" t="s">
        <v>713</v>
      </c>
      <c r="AG64" t="s">
        <v>123</v>
      </c>
      <c r="AH64" t="s">
        <v>124</v>
      </c>
      <c r="AI64" t="s">
        <v>716</v>
      </c>
      <c r="AJ64" t="s">
        <v>126</v>
      </c>
      <c r="AK64" t="s">
        <v>127</v>
      </c>
      <c r="AM64" t="s">
        <v>717</v>
      </c>
      <c r="AN64" t="s">
        <v>718</v>
      </c>
      <c r="AO64" t="s">
        <v>719</v>
      </c>
      <c r="AP64" t="s">
        <v>131</v>
      </c>
      <c r="AQ64" t="s">
        <v>132</v>
      </c>
      <c r="AR64" t="s">
        <v>720</v>
      </c>
      <c r="AS64" t="s">
        <v>721</v>
      </c>
      <c r="AU64" t="s">
        <v>573</v>
      </c>
      <c r="AV64" t="s">
        <v>690</v>
      </c>
      <c r="AW64" t="s">
        <v>136</v>
      </c>
      <c r="AX64" t="s">
        <v>177</v>
      </c>
      <c r="AY64" t="s">
        <v>138</v>
      </c>
      <c r="AZ64" t="s">
        <v>722</v>
      </c>
      <c r="BB64" t="s">
        <v>140</v>
      </c>
    </row>
    <row r="65" spans="1:54" x14ac:dyDescent="0.35">
      <c r="A65" t="s">
        <v>710</v>
      </c>
      <c r="B65" t="s">
        <v>107</v>
      </c>
      <c r="C65" t="s">
        <v>107</v>
      </c>
      <c r="E65" t="s">
        <v>108</v>
      </c>
      <c r="F65" t="s">
        <v>268</v>
      </c>
      <c r="G65" t="s">
        <v>269</v>
      </c>
      <c r="H65" t="s">
        <v>270</v>
      </c>
      <c r="I65" t="s">
        <v>271</v>
      </c>
      <c r="J65" t="s">
        <v>113</v>
      </c>
      <c r="K65" t="s">
        <v>114</v>
      </c>
      <c r="L65" t="s">
        <v>114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711</v>
      </c>
      <c r="S65" t="s">
        <v>114</v>
      </c>
      <c r="T65" t="s">
        <v>711</v>
      </c>
      <c r="V65" t="s">
        <v>114</v>
      </c>
      <c r="W65" t="s">
        <v>642</v>
      </c>
      <c r="Y65" t="s">
        <v>712</v>
      </c>
      <c r="Z65" t="s">
        <v>713</v>
      </c>
      <c r="AA65" t="s">
        <v>714</v>
      </c>
      <c r="AB65" t="s">
        <v>715</v>
      </c>
      <c r="AC65" t="s">
        <v>713</v>
      </c>
      <c r="AG65" t="s">
        <v>123</v>
      </c>
      <c r="AH65" t="s">
        <v>124</v>
      </c>
      <c r="AI65" t="s">
        <v>716</v>
      </c>
      <c r="AJ65" t="s">
        <v>126</v>
      </c>
      <c r="AK65" t="s">
        <v>127</v>
      </c>
      <c r="AM65" t="s">
        <v>717</v>
      </c>
      <c r="AN65" t="s">
        <v>718</v>
      </c>
      <c r="AO65" t="s">
        <v>719</v>
      </c>
      <c r="AP65" t="s">
        <v>131</v>
      </c>
      <c r="AQ65" t="s">
        <v>132</v>
      </c>
      <c r="AR65" t="s">
        <v>720</v>
      </c>
      <c r="AS65" t="s">
        <v>721</v>
      </c>
      <c r="AU65" t="s">
        <v>573</v>
      </c>
      <c r="AV65" t="s">
        <v>690</v>
      </c>
      <c r="AW65" t="s">
        <v>136</v>
      </c>
      <c r="AX65" t="s">
        <v>272</v>
      </c>
      <c r="AY65" t="s">
        <v>273</v>
      </c>
      <c r="AZ65" t="s">
        <v>722</v>
      </c>
      <c r="BB65" t="s">
        <v>140</v>
      </c>
    </row>
    <row r="66" spans="1:54" x14ac:dyDescent="0.35">
      <c r="A66" t="s">
        <v>723</v>
      </c>
      <c r="B66" t="s">
        <v>107</v>
      </c>
      <c r="C66" t="s">
        <v>107</v>
      </c>
      <c r="F66" t="s">
        <v>613</v>
      </c>
      <c r="G66" t="s">
        <v>614</v>
      </c>
      <c r="H66" t="s">
        <v>615</v>
      </c>
      <c r="I66" t="s">
        <v>271</v>
      </c>
      <c r="J66" t="s">
        <v>113</v>
      </c>
      <c r="K66" t="s">
        <v>114</v>
      </c>
      <c r="L66" t="s">
        <v>114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V66" t="s">
        <v>114</v>
      </c>
      <c r="W66" t="s">
        <v>114</v>
      </c>
      <c r="Y66" t="s">
        <v>724</v>
      </c>
      <c r="Z66" t="s">
        <v>724</v>
      </c>
      <c r="AA66" t="s">
        <v>725</v>
      </c>
      <c r="AB66" t="s">
        <v>726</v>
      </c>
      <c r="AC66" t="s">
        <v>727</v>
      </c>
      <c r="AG66" t="s">
        <v>123</v>
      </c>
      <c r="AH66" t="s">
        <v>124</v>
      </c>
      <c r="AI66" t="s">
        <v>728</v>
      </c>
      <c r="AJ66" t="s">
        <v>126</v>
      </c>
      <c r="AK66" t="s">
        <v>127</v>
      </c>
      <c r="AM66" t="s">
        <v>729</v>
      </c>
      <c r="AN66" t="s">
        <v>730</v>
      </c>
      <c r="AO66" t="s">
        <v>731</v>
      </c>
      <c r="AP66" t="s">
        <v>131</v>
      </c>
      <c r="AQ66" t="s">
        <v>132</v>
      </c>
      <c r="AR66" t="s">
        <v>352</v>
      </c>
      <c r="AS66" t="s">
        <v>353</v>
      </c>
      <c r="AU66" t="s">
        <v>732</v>
      </c>
      <c r="AX66" t="s">
        <v>177</v>
      </c>
      <c r="AY66" t="s">
        <v>627</v>
      </c>
      <c r="AZ66" t="s">
        <v>733</v>
      </c>
      <c r="BB66" t="s">
        <v>140</v>
      </c>
    </row>
    <row r="67" spans="1:54" x14ac:dyDescent="0.35">
      <c r="A67" t="s">
        <v>734</v>
      </c>
      <c r="B67" t="s">
        <v>107</v>
      </c>
      <c r="C67" t="s">
        <v>107</v>
      </c>
      <c r="F67" t="s">
        <v>484</v>
      </c>
      <c r="G67" t="s">
        <v>159</v>
      </c>
      <c r="H67" t="s">
        <v>485</v>
      </c>
      <c r="I67" t="s">
        <v>160</v>
      </c>
      <c r="J67" t="s">
        <v>113</v>
      </c>
      <c r="K67" t="s">
        <v>114</v>
      </c>
      <c r="L67" t="s">
        <v>114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V67" t="s">
        <v>114</v>
      </c>
      <c r="W67" t="s">
        <v>114</v>
      </c>
      <c r="Y67" t="s">
        <v>735</v>
      </c>
      <c r="Z67" t="s">
        <v>735</v>
      </c>
      <c r="AA67" t="s">
        <v>736</v>
      </c>
      <c r="AB67" t="s">
        <v>737</v>
      </c>
      <c r="AC67" t="s">
        <v>738</v>
      </c>
      <c r="AG67" t="s">
        <v>123</v>
      </c>
      <c r="AH67" t="s">
        <v>124</v>
      </c>
      <c r="AI67" t="s">
        <v>739</v>
      </c>
      <c r="AJ67" t="s">
        <v>126</v>
      </c>
      <c r="AK67" t="s">
        <v>127</v>
      </c>
      <c r="AM67" t="s">
        <v>740</v>
      </c>
      <c r="AN67" t="s">
        <v>741</v>
      </c>
      <c r="AO67" t="s">
        <v>742</v>
      </c>
      <c r="AP67" t="s">
        <v>131</v>
      </c>
      <c r="AQ67" t="s">
        <v>132</v>
      </c>
      <c r="AR67" t="s">
        <v>743</v>
      </c>
      <c r="AS67" t="s">
        <v>744</v>
      </c>
      <c r="AU67" t="s">
        <v>745</v>
      </c>
      <c r="AX67" t="s">
        <v>177</v>
      </c>
      <c r="AY67" t="s">
        <v>356</v>
      </c>
      <c r="AZ67" t="s">
        <v>746</v>
      </c>
      <c r="BB67" t="s">
        <v>140</v>
      </c>
    </row>
    <row r="68" spans="1:54" x14ac:dyDescent="0.35">
      <c r="A68" t="s">
        <v>747</v>
      </c>
      <c r="B68" t="s">
        <v>107</v>
      </c>
      <c r="C68" t="s">
        <v>107</v>
      </c>
      <c r="F68" t="s">
        <v>533</v>
      </c>
      <c r="G68" t="s">
        <v>534</v>
      </c>
      <c r="H68" t="s">
        <v>535</v>
      </c>
      <c r="I68" t="s">
        <v>536</v>
      </c>
      <c r="J68" t="s">
        <v>113</v>
      </c>
      <c r="K68" t="s">
        <v>114</v>
      </c>
      <c r="L68" t="s">
        <v>114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V68" t="s">
        <v>114</v>
      </c>
      <c r="W68" t="s">
        <v>114</v>
      </c>
      <c r="Y68" t="s">
        <v>748</v>
      </c>
      <c r="Z68" t="s">
        <v>748</v>
      </c>
      <c r="AA68" t="s">
        <v>749</v>
      </c>
      <c r="AB68" t="s">
        <v>750</v>
      </c>
      <c r="AC68" t="s">
        <v>751</v>
      </c>
      <c r="AG68" t="s">
        <v>123</v>
      </c>
      <c r="AH68" t="s">
        <v>124</v>
      </c>
      <c r="AI68" t="s">
        <v>752</v>
      </c>
      <c r="AJ68" t="s">
        <v>126</v>
      </c>
      <c r="AK68" t="s">
        <v>127</v>
      </c>
      <c r="AM68" t="s">
        <v>753</v>
      </c>
      <c r="AN68" t="s">
        <v>754</v>
      </c>
      <c r="AO68" t="s">
        <v>755</v>
      </c>
      <c r="AP68" t="s">
        <v>131</v>
      </c>
      <c r="AQ68" t="s">
        <v>132</v>
      </c>
      <c r="AR68" t="s">
        <v>756</v>
      </c>
      <c r="AS68" t="s">
        <v>757</v>
      </c>
      <c r="AU68" t="s">
        <v>758</v>
      </c>
      <c r="AV68" t="s">
        <v>759</v>
      </c>
      <c r="AX68" t="s">
        <v>547</v>
      </c>
      <c r="AY68" t="s">
        <v>364</v>
      </c>
      <c r="AZ68" t="s">
        <v>760</v>
      </c>
      <c r="BB68" t="s">
        <v>140</v>
      </c>
    </row>
    <row r="69" spans="1:54" x14ac:dyDescent="0.35">
      <c r="A69" t="s">
        <v>761</v>
      </c>
      <c r="B69" t="s">
        <v>107</v>
      </c>
      <c r="C69" t="s">
        <v>107</v>
      </c>
      <c r="E69" t="s">
        <v>108</v>
      </c>
      <c r="F69" t="s">
        <v>158</v>
      </c>
      <c r="G69" t="s">
        <v>159</v>
      </c>
      <c r="H69" t="s">
        <v>111</v>
      </c>
      <c r="I69" t="s">
        <v>341</v>
      </c>
      <c r="J69" t="s">
        <v>113</v>
      </c>
      <c r="K69" t="s">
        <v>114</v>
      </c>
      <c r="L69" t="s">
        <v>161</v>
      </c>
      <c r="M69" t="s">
        <v>161</v>
      </c>
      <c r="N69" t="s">
        <v>762</v>
      </c>
      <c r="O69" t="s">
        <v>393</v>
      </c>
      <c r="P69" t="s">
        <v>763</v>
      </c>
      <c r="Q69" t="s">
        <v>114</v>
      </c>
      <c r="R69" t="s">
        <v>142</v>
      </c>
      <c r="S69" t="s">
        <v>114</v>
      </c>
      <c r="T69" t="s">
        <v>142</v>
      </c>
      <c r="V69" t="s">
        <v>114</v>
      </c>
      <c r="W69" t="s">
        <v>763</v>
      </c>
      <c r="Y69" t="s">
        <v>764</v>
      </c>
      <c r="Z69" t="s">
        <v>765</v>
      </c>
      <c r="AA69" t="s">
        <v>766</v>
      </c>
      <c r="AB69" t="s">
        <v>767</v>
      </c>
      <c r="AC69" t="s">
        <v>768</v>
      </c>
      <c r="AG69" t="s">
        <v>123</v>
      </c>
      <c r="AH69" t="s">
        <v>124</v>
      </c>
      <c r="AI69" t="s">
        <v>769</v>
      </c>
      <c r="AJ69" t="s">
        <v>126</v>
      </c>
      <c r="AK69" t="s">
        <v>127</v>
      </c>
      <c r="AM69" t="s">
        <v>770</v>
      </c>
      <c r="AN69" t="s">
        <v>771</v>
      </c>
      <c r="AO69" t="s">
        <v>772</v>
      </c>
      <c r="AP69" t="s">
        <v>131</v>
      </c>
      <c r="AQ69" t="s">
        <v>132</v>
      </c>
      <c r="AR69" t="s">
        <v>152</v>
      </c>
      <c r="AS69" t="s">
        <v>609</v>
      </c>
      <c r="AU69" t="s">
        <v>355</v>
      </c>
      <c r="AV69" t="s">
        <v>773</v>
      </c>
      <c r="AW69" t="s">
        <v>655</v>
      </c>
      <c r="AX69" t="s">
        <v>177</v>
      </c>
      <c r="AY69" t="s">
        <v>138</v>
      </c>
      <c r="AZ69" t="s">
        <v>774</v>
      </c>
      <c r="BB69" t="s">
        <v>140</v>
      </c>
    </row>
    <row r="70" spans="1:54" x14ac:dyDescent="0.35">
      <c r="A70" t="s">
        <v>775</v>
      </c>
      <c r="B70" t="s">
        <v>107</v>
      </c>
      <c r="C70" t="s">
        <v>107</v>
      </c>
      <c r="F70" t="s">
        <v>158</v>
      </c>
      <c r="G70" t="s">
        <v>159</v>
      </c>
      <c r="H70" t="s">
        <v>111</v>
      </c>
      <c r="I70" t="s">
        <v>341</v>
      </c>
      <c r="J70" t="s">
        <v>113</v>
      </c>
      <c r="K70" t="s">
        <v>114</v>
      </c>
      <c r="L70" t="s">
        <v>114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V70" t="s">
        <v>114</v>
      </c>
      <c r="W70" t="s">
        <v>114</v>
      </c>
      <c r="Y70" t="s">
        <v>776</v>
      </c>
      <c r="Z70" t="s">
        <v>776</v>
      </c>
      <c r="AA70" t="s">
        <v>777</v>
      </c>
      <c r="AB70" t="s">
        <v>778</v>
      </c>
      <c r="AC70" t="s">
        <v>779</v>
      </c>
      <c r="AG70" t="s">
        <v>123</v>
      </c>
      <c r="AH70" t="s">
        <v>124</v>
      </c>
      <c r="AI70" t="s">
        <v>780</v>
      </c>
      <c r="AJ70" t="s">
        <v>126</v>
      </c>
      <c r="AK70" t="s">
        <v>127</v>
      </c>
      <c r="AM70" t="s">
        <v>781</v>
      </c>
      <c r="AN70" t="s">
        <v>782</v>
      </c>
      <c r="AO70" t="s">
        <v>783</v>
      </c>
      <c r="AP70" t="s">
        <v>131</v>
      </c>
      <c r="AQ70" t="s">
        <v>233</v>
      </c>
      <c r="AR70" t="s">
        <v>234</v>
      </c>
      <c r="AS70" t="s">
        <v>784</v>
      </c>
      <c r="AU70" t="s">
        <v>785</v>
      </c>
      <c r="AX70" t="s">
        <v>177</v>
      </c>
      <c r="AY70" t="s">
        <v>138</v>
      </c>
      <c r="AZ70" t="s">
        <v>786</v>
      </c>
      <c r="BB70" t="s">
        <v>140</v>
      </c>
    </row>
    <row r="71" spans="1:54" x14ac:dyDescent="0.35">
      <c r="A71" t="s">
        <v>787</v>
      </c>
      <c r="B71" t="s">
        <v>107</v>
      </c>
      <c r="C71" t="s">
        <v>107</v>
      </c>
      <c r="F71" t="s">
        <v>613</v>
      </c>
      <c r="G71" t="s">
        <v>614</v>
      </c>
      <c r="H71" t="s">
        <v>615</v>
      </c>
      <c r="I71" t="s">
        <v>271</v>
      </c>
      <c r="J71" t="s">
        <v>113</v>
      </c>
      <c r="K71" t="s">
        <v>114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V71" t="s">
        <v>114</v>
      </c>
      <c r="W71" t="s">
        <v>114</v>
      </c>
      <c r="Y71" t="s">
        <v>788</v>
      </c>
      <c r="Z71" t="s">
        <v>788</v>
      </c>
      <c r="AA71" t="s">
        <v>789</v>
      </c>
      <c r="AB71" t="s">
        <v>790</v>
      </c>
      <c r="AC71" t="s">
        <v>791</v>
      </c>
      <c r="AG71" t="s">
        <v>123</v>
      </c>
      <c r="AH71" t="s">
        <v>124</v>
      </c>
      <c r="AI71" t="s">
        <v>792</v>
      </c>
      <c r="AJ71" t="s">
        <v>126</v>
      </c>
      <c r="AK71" t="s">
        <v>127</v>
      </c>
      <c r="AM71" t="s">
        <v>793</v>
      </c>
      <c r="AN71" t="s">
        <v>794</v>
      </c>
      <c r="AO71" t="s">
        <v>795</v>
      </c>
      <c r="AP71" t="s">
        <v>131</v>
      </c>
      <c r="AQ71" t="s">
        <v>132</v>
      </c>
      <c r="AR71" t="s">
        <v>796</v>
      </c>
      <c r="AS71" t="s">
        <v>797</v>
      </c>
      <c r="AU71" t="s">
        <v>798</v>
      </c>
      <c r="AX71" t="s">
        <v>177</v>
      </c>
      <c r="AY71" t="s">
        <v>627</v>
      </c>
      <c r="AZ71" t="s">
        <v>799</v>
      </c>
      <c r="BB71" t="s">
        <v>140</v>
      </c>
    </row>
    <row r="72" spans="1:54" x14ac:dyDescent="0.35">
      <c r="A72" t="s">
        <v>800</v>
      </c>
      <c r="B72" t="s">
        <v>107</v>
      </c>
      <c r="C72" t="s">
        <v>107</v>
      </c>
      <c r="F72" t="s">
        <v>158</v>
      </c>
      <c r="G72" t="s">
        <v>159</v>
      </c>
      <c r="H72" t="s">
        <v>111</v>
      </c>
      <c r="I72" t="s">
        <v>341</v>
      </c>
      <c r="J72" t="s">
        <v>113</v>
      </c>
      <c r="K72" t="s">
        <v>114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V72" t="s">
        <v>114</v>
      </c>
      <c r="W72" t="s">
        <v>114</v>
      </c>
      <c r="Y72" t="s">
        <v>801</v>
      </c>
      <c r="Z72" t="s">
        <v>801</v>
      </c>
      <c r="AA72" t="s">
        <v>802</v>
      </c>
      <c r="AB72" t="s">
        <v>803</v>
      </c>
      <c r="AC72" t="s">
        <v>804</v>
      </c>
      <c r="AG72" t="s">
        <v>123</v>
      </c>
      <c r="AH72" t="s">
        <v>124</v>
      </c>
      <c r="AI72" t="s">
        <v>805</v>
      </c>
      <c r="AJ72" t="s">
        <v>126</v>
      </c>
      <c r="AK72" t="s">
        <v>127</v>
      </c>
      <c r="AM72" t="s">
        <v>806</v>
      </c>
      <c r="AN72" t="s">
        <v>807</v>
      </c>
      <c r="AO72" t="s">
        <v>808</v>
      </c>
      <c r="AP72" t="s">
        <v>131</v>
      </c>
      <c r="AQ72" t="s">
        <v>132</v>
      </c>
      <c r="AR72" t="s">
        <v>152</v>
      </c>
      <c r="AS72" t="s">
        <v>809</v>
      </c>
      <c r="AU72" t="s">
        <v>810</v>
      </c>
      <c r="AV72" t="s">
        <v>758</v>
      </c>
      <c r="AX72" t="s">
        <v>177</v>
      </c>
      <c r="AY72" t="s">
        <v>138</v>
      </c>
      <c r="AZ72" t="s">
        <v>811</v>
      </c>
      <c r="BB72" t="s">
        <v>140</v>
      </c>
    </row>
    <row r="73" spans="1:54" x14ac:dyDescent="0.35">
      <c r="A73" t="s">
        <v>812</v>
      </c>
      <c r="B73" t="s">
        <v>107</v>
      </c>
      <c r="C73" t="s">
        <v>107</v>
      </c>
      <c r="F73" t="s">
        <v>158</v>
      </c>
      <c r="G73" t="s">
        <v>159</v>
      </c>
      <c r="H73" t="s">
        <v>111</v>
      </c>
      <c r="I73" t="s">
        <v>341</v>
      </c>
      <c r="J73" t="s">
        <v>113</v>
      </c>
      <c r="K73" t="s">
        <v>114</v>
      </c>
      <c r="L73" t="s">
        <v>114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V73" t="s">
        <v>114</v>
      </c>
      <c r="W73" t="s">
        <v>114</v>
      </c>
      <c r="Y73" t="s">
        <v>813</v>
      </c>
      <c r="Z73" t="s">
        <v>813</v>
      </c>
      <c r="AA73" t="s">
        <v>814</v>
      </c>
      <c r="AB73" t="s">
        <v>815</v>
      </c>
      <c r="AC73" t="s">
        <v>816</v>
      </c>
      <c r="AG73" t="s">
        <v>123</v>
      </c>
      <c r="AH73" t="s">
        <v>124</v>
      </c>
      <c r="AI73" t="s">
        <v>817</v>
      </c>
      <c r="AJ73" t="s">
        <v>126</v>
      </c>
      <c r="AK73" t="s">
        <v>127</v>
      </c>
      <c r="AM73" t="s">
        <v>818</v>
      </c>
      <c r="AN73" t="s">
        <v>819</v>
      </c>
      <c r="AO73" t="s">
        <v>820</v>
      </c>
      <c r="AP73" t="s">
        <v>131</v>
      </c>
      <c r="AQ73" t="s">
        <v>132</v>
      </c>
      <c r="AR73" t="s">
        <v>466</v>
      </c>
      <c r="AS73" t="s">
        <v>821</v>
      </c>
      <c r="AU73" t="s">
        <v>798</v>
      </c>
      <c r="AX73" t="s">
        <v>177</v>
      </c>
      <c r="AY73" t="s">
        <v>138</v>
      </c>
      <c r="AZ73" t="s">
        <v>822</v>
      </c>
      <c r="BB73" t="s">
        <v>140</v>
      </c>
    </row>
    <row r="74" spans="1:54" x14ac:dyDescent="0.35">
      <c r="A74" t="s">
        <v>823</v>
      </c>
      <c r="B74" t="s">
        <v>107</v>
      </c>
      <c r="C74" t="s">
        <v>107</v>
      </c>
      <c r="F74" t="s">
        <v>613</v>
      </c>
      <c r="G74" t="s">
        <v>614</v>
      </c>
      <c r="H74" t="s">
        <v>615</v>
      </c>
      <c r="I74" t="s">
        <v>271</v>
      </c>
      <c r="J74" t="s">
        <v>113</v>
      </c>
      <c r="K74" t="s">
        <v>114</v>
      </c>
      <c r="L74" t="s">
        <v>114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V74" t="s">
        <v>114</v>
      </c>
      <c r="W74" t="s">
        <v>114</v>
      </c>
      <c r="Y74" t="s">
        <v>824</v>
      </c>
      <c r="Z74" t="s">
        <v>824</v>
      </c>
      <c r="AA74" t="s">
        <v>825</v>
      </c>
      <c r="AB74" t="s">
        <v>826</v>
      </c>
      <c r="AC74" t="s">
        <v>827</v>
      </c>
      <c r="AG74" t="s">
        <v>123</v>
      </c>
      <c r="AH74" t="s">
        <v>124</v>
      </c>
      <c r="AI74" t="s">
        <v>828</v>
      </c>
      <c r="AJ74" t="s">
        <v>126</v>
      </c>
      <c r="AK74" t="s">
        <v>127</v>
      </c>
      <c r="AM74" t="s">
        <v>829</v>
      </c>
      <c r="AN74" t="s">
        <v>830</v>
      </c>
      <c r="AO74" t="s">
        <v>831</v>
      </c>
      <c r="AP74" t="s">
        <v>131</v>
      </c>
      <c r="AQ74" t="s">
        <v>132</v>
      </c>
      <c r="AR74" t="s">
        <v>152</v>
      </c>
      <c r="AS74" t="s">
        <v>315</v>
      </c>
      <c r="AU74" t="s">
        <v>732</v>
      </c>
      <c r="AX74" t="s">
        <v>177</v>
      </c>
      <c r="AY74" t="s">
        <v>627</v>
      </c>
      <c r="AZ74" t="s">
        <v>832</v>
      </c>
      <c r="BB74" t="s">
        <v>140</v>
      </c>
    </row>
    <row r="75" spans="1:54" x14ac:dyDescent="0.35">
      <c r="A75" t="s">
        <v>833</v>
      </c>
      <c r="B75" t="s">
        <v>336</v>
      </c>
      <c r="C75" t="s">
        <v>336</v>
      </c>
      <c r="D75" t="s">
        <v>337</v>
      </c>
      <c r="E75" t="s">
        <v>108</v>
      </c>
      <c r="F75" t="s">
        <v>158</v>
      </c>
      <c r="G75" t="s">
        <v>159</v>
      </c>
      <c r="H75" t="s">
        <v>111</v>
      </c>
      <c r="I75" t="s">
        <v>341</v>
      </c>
      <c r="J75" t="s">
        <v>113</v>
      </c>
      <c r="K75" t="s">
        <v>113</v>
      </c>
      <c r="L75" t="s">
        <v>161</v>
      </c>
      <c r="M75" t="s">
        <v>161</v>
      </c>
      <c r="N75" t="s">
        <v>114</v>
      </c>
      <c r="O75" t="s">
        <v>393</v>
      </c>
      <c r="P75" t="s">
        <v>642</v>
      </c>
      <c r="Q75" t="s">
        <v>114</v>
      </c>
      <c r="R75" t="s">
        <v>180</v>
      </c>
      <c r="S75" t="s">
        <v>114</v>
      </c>
      <c r="T75" t="s">
        <v>180</v>
      </c>
      <c r="V75" t="s">
        <v>114</v>
      </c>
      <c r="W75" t="s">
        <v>642</v>
      </c>
      <c r="X75" t="s">
        <v>642</v>
      </c>
      <c r="Y75" t="s">
        <v>834</v>
      </c>
      <c r="AD75" t="s">
        <v>835</v>
      </c>
      <c r="AE75" t="s">
        <v>346</v>
      </c>
      <c r="AF75" t="s">
        <v>347</v>
      </c>
      <c r="AG75" t="s">
        <v>123</v>
      </c>
      <c r="AH75" t="s">
        <v>124</v>
      </c>
      <c r="AJ75" t="s">
        <v>126</v>
      </c>
      <c r="AM75" t="s">
        <v>836</v>
      </c>
      <c r="AN75" t="s">
        <v>837</v>
      </c>
      <c r="AO75" t="s">
        <v>838</v>
      </c>
      <c r="AP75" t="s">
        <v>131</v>
      </c>
      <c r="AQ75" t="s">
        <v>132</v>
      </c>
      <c r="AR75" t="s">
        <v>839</v>
      </c>
      <c r="AS75" t="s">
        <v>840</v>
      </c>
      <c r="AU75" t="s">
        <v>638</v>
      </c>
      <c r="AW75" t="s">
        <v>136</v>
      </c>
      <c r="AX75" t="s">
        <v>177</v>
      </c>
      <c r="AY75" t="s">
        <v>138</v>
      </c>
      <c r="AZ75" t="s">
        <v>841</v>
      </c>
      <c r="BB75" t="s">
        <v>140</v>
      </c>
    </row>
    <row r="76" spans="1:54" x14ac:dyDescent="0.35">
      <c r="A76" t="s">
        <v>842</v>
      </c>
      <c r="B76" t="s">
        <v>107</v>
      </c>
      <c r="C76" t="s">
        <v>107</v>
      </c>
      <c r="E76" t="s">
        <v>108</v>
      </c>
      <c r="F76" t="s">
        <v>158</v>
      </c>
      <c r="G76" t="s">
        <v>159</v>
      </c>
      <c r="H76" t="s">
        <v>111</v>
      </c>
      <c r="I76" t="s">
        <v>341</v>
      </c>
      <c r="J76" t="s">
        <v>113</v>
      </c>
      <c r="K76" t="s">
        <v>114</v>
      </c>
      <c r="L76" t="s">
        <v>161</v>
      </c>
      <c r="M76" t="s">
        <v>161</v>
      </c>
      <c r="N76" t="s">
        <v>843</v>
      </c>
      <c r="O76" t="s">
        <v>393</v>
      </c>
      <c r="P76" t="s">
        <v>844</v>
      </c>
      <c r="Q76" t="s">
        <v>114</v>
      </c>
      <c r="R76" t="s">
        <v>142</v>
      </c>
      <c r="S76" t="s">
        <v>114</v>
      </c>
      <c r="T76" t="s">
        <v>142</v>
      </c>
      <c r="V76" t="s">
        <v>114</v>
      </c>
      <c r="W76" t="s">
        <v>844</v>
      </c>
      <c r="Y76" t="s">
        <v>845</v>
      </c>
      <c r="Z76" t="s">
        <v>846</v>
      </c>
      <c r="AA76" t="s">
        <v>847</v>
      </c>
      <c r="AB76" t="s">
        <v>848</v>
      </c>
      <c r="AC76" t="s">
        <v>849</v>
      </c>
      <c r="AG76" t="s">
        <v>123</v>
      </c>
      <c r="AH76" t="s">
        <v>124</v>
      </c>
      <c r="AI76" t="s">
        <v>850</v>
      </c>
      <c r="AJ76" t="s">
        <v>126</v>
      </c>
      <c r="AK76" t="s">
        <v>127</v>
      </c>
      <c r="AM76" t="s">
        <v>851</v>
      </c>
      <c r="AN76" t="s">
        <v>852</v>
      </c>
      <c r="AO76" t="s">
        <v>853</v>
      </c>
      <c r="AP76" t="s">
        <v>131</v>
      </c>
      <c r="AQ76" t="s">
        <v>132</v>
      </c>
      <c r="AR76" t="s">
        <v>152</v>
      </c>
      <c r="AS76" t="s">
        <v>854</v>
      </c>
      <c r="AU76" t="s">
        <v>154</v>
      </c>
      <c r="AW76" t="s">
        <v>155</v>
      </c>
      <c r="AX76" t="s">
        <v>177</v>
      </c>
      <c r="AY76" t="s">
        <v>138</v>
      </c>
      <c r="AZ76" t="s">
        <v>855</v>
      </c>
      <c r="BB76" t="s">
        <v>140</v>
      </c>
    </row>
    <row r="77" spans="1:54" x14ac:dyDescent="0.35">
      <c r="A77" t="s">
        <v>856</v>
      </c>
      <c r="B77" t="s">
        <v>336</v>
      </c>
      <c r="C77" t="s">
        <v>336</v>
      </c>
      <c r="D77" t="s">
        <v>337</v>
      </c>
      <c r="E77" t="s">
        <v>108</v>
      </c>
      <c r="F77" t="s">
        <v>613</v>
      </c>
      <c r="G77" t="s">
        <v>614</v>
      </c>
      <c r="H77" t="s">
        <v>615</v>
      </c>
      <c r="I77" t="s">
        <v>271</v>
      </c>
      <c r="J77" t="s">
        <v>113</v>
      </c>
      <c r="K77" t="s">
        <v>113</v>
      </c>
      <c r="L77" t="s">
        <v>857</v>
      </c>
      <c r="M77" t="s">
        <v>857</v>
      </c>
      <c r="N77" t="s">
        <v>114</v>
      </c>
      <c r="O77" t="s">
        <v>858</v>
      </c>
      <c r="P77" t="s">
        <v>858</v>
      </c>
      <c r="Q77" t="s">
        <v>114</v>
      </c>
      <c r="R77" t="s">
        <v>118</v>
      </c>
      <c r="S77" t="s">
        <v>114</v>
      </c>
      <c r="T77" t="s">
        <v>118</v>
      </c>
      <c r="V77" t="s">
        <v>114</v>
      </c>
      <c r="W77" t="s">
        <v>858</v>
      </c>
      <c r="X77" t="s">
        <v>858</v>
      </c>
      <c r="Y77" t="s">
        <v>859</v>
      </c>
      <c r="Z77" t="s">
        <v>860</v>
      </c>
      <c r="AA77" t="s">
        <v>861</v>
      </c>
      <c r="AD77" t="s">
        <v>862</v>
      </c>
      <c r="AE77" t="s">
        <v>346</v>
      </c>
      <c r="AF77" t="s">
        <v>347</v>
      </c>
      <c r="AG77" t="s">
        <v>123</v>
      </c>
      <c r="AH77" t="s">
        <v>124</v>
      </c>
      <c r="AI77" t="s">
        <v>863</v>
      </c>
      <c r="AJ77" t="s">
        <v>126</v>
      </c>
      <c r="AK77" t="s">
        <v>127</v>
      </c>
      <c r="AM77" t="s">
        <v>864</v>
      </c>
      <c r="AN77" t="s">
        <v>865</v>
      </c>
      <c r="AO77" t="s">
        <v>866</v>
      </c>
      <c r="AP77" t="s">
        <v>131</v>
      </c>
      <c r="AQ77" t="s">
        <v>132</v>
      </c>
      <c r="AR77" t="s">
        <v>867</v>
      </c>
      <c r="AS77" t="s">
        <v>868</v>
      </c>
      <c r="AU77" t="s">
        <v>355</v>
      </c>
      <c r="AV77" t="s">
        <v>758</v>
      </c>
      <c r="AW77" t="s">
        <v>155</v>
      </c>
      <c r="AX77" t="s">
        <v>177</v>
      </c>
      <c r="AY77" t="s">
        <v>627</v>
      </c>
      <c r="AZ77" t="s">
        <v>869</v>
      </c>
      <c r="BB77" t="s">
        <v>140</v>
      </c>
    </row>
    <row r="78" spans="1:54" x14ac:dyDescent="0.35">
      <c r="A78" t="s">
        <v>870</v>
      </c>
      <c r="B78" t="s">
        <v>107</v>
      </c>
      <c r="C78" t="s">
        <v>107</v>
      </c>
      <c r="E78" t="s">
        <v>108</v>
      </c>
      <c r="F78" t="s">
        <v>158</v>
      </c>
      <c r="G78" t="s">
        <v>159</v>
      </c>
      <c r="H78" t="s">
        <v>111</v>
      </c>
      <c r="I78" t="s">
        <v>341</v>
      </c>
      <c r="J78" t="s">
        <v>113</v>
      </c>
      <c r="K78" t="s">
        <v>114</v>
      </c>
      <c r="L78" t="s">
        <v>161</v>
      </c>
      <c r="M78" t="s">
        <v>161</v>
      </c>
      <c r="N78" t="s">
        <v>114</v>
      </c>
      <c r="O78" t="s">
        <v>393</v>
      </c>
      <c r="P78" t="s">
        <v>642</v>
      </c>
      <c r="Q78" t="s">
        <v>114</v>
      </c>
      <c r="R78" t="s">
        <v>180</v>
      </c>
      <c r="S78" t="s">
        <v>114</v>
      </c>
      <c r="T78" t="s">
        <v>180</v>
      </c>
      <c r="V78" t="s">
        <v>114</v>
      </c>
      <c r="W78" t="s">
        <v>642</v>
      </c>
      <c r="Y78" t="s">
        <v>871</v>
      </c>
      <c r="Z78" t="s">
        <v>872</v>
      </c>
      <c r="AA78" t="s">
        <v>873</v>
      </c>
      <c r="AB78" t="s">
        <v>874</v>
      </c>
      <c r="AC78" t="s">
        <v>875</v>
      </c>
      <c r="AG78" t="s">
        <v>123</v>
      </c>
      <c r="AH78" t="s">
        <v>124</v>
      </c>
      <c r="AI78" t="s">
        <v>876</v>
      </c>
      <c r="AJ78" t="s">
        <v>126</v>
      </c>
      <c r="AK78" t="s">
        <v>127</v>
      </c>
      <c r="AM78" t="s">
        <v>877</v>
      </c>
      <c r="AN78" t="s">
        <v>878</v>
      </c>
      <c r="AO78" t="s">
        <v>879</v>
      </c>
      <c r="AP78" t="s">
        <v>131</v>
      </c>
      <c r="AQ78" t="s">
        <v>132</v>
      </c>
      <c r="AR78" t="s">
        <v>880</v>
      </c>
      <c r="AS78" t="s">
        <v>881</v>
      </c>
      <c r="AU78" t="s">
        <v>190</v>
      </c>
      <c r="AW78" t="s">
        <v>655</v>
      </c>
      <c r="AX78" t="s">
        <v>177</v>
      </c>
      <c r="AY78" t="s">
        <v>138</v>
      </c>
      <c r="AZ78" t="s">
        <v>882</v>
      </c>
      <c r="BB78" t="s">
        <v>140</v>
      </c>
    </row>
    <row r="79" spans="1:54" x14ac:dyDescent="0.35">
      <c r="A79" t="s">
        <v>883</v>
      </c>
      <c r="B79" t="s">
        <v>107</v>
      </c>
      <c r="C79" t="s">
        <v>107</v>
      </c>
      <c r="E79" t="s">
        <v>108</v>
      </c>
      <c r="F79" t="s">
        <v>158</v>
      </c>
      <c r="G79" t="s">
        <v>159</v>
      </c>
      <c r="H79" t="s">
        <v>111</v>
      </c>
      <c r="I79" t="s">
        <v>341</v>
      </c>
      <c r="J79" t="s">
        <v>113</v>
      </c>
      <c r="K79" t="s">
        <v>114</v>
      </c>
      <c r="L79" t="s">
        <v>161</v>
      </c>
      <c r="M79" t="s">
        <v>161</v>
      </c>
      <c r="N79" t="s">
        <v>114</v>
      </c>
      <c r="O79" t="s">
        <v>393</v>
      </c>
      <c r="P79" t="s">
        <v>642</v>
      </c>
      <c r="Q79" t="s">
        <v>114</v>
      </c>
      <c r="R79" t="s">
        <v>180</v>
      </c>
      <c r="S79" t="s">
        <v>114</v>
      </c>
      <c r="T79" t="s">
        <v>180</v>
      </c>
      <c r="V79" t="s">
        <v>114</v>
      </c>
      <c r="W79" t="s">
        <v>642</v>
      </c>
      <c r="Y79" t="s">
        <v>884</v>
      </c>
      <c r="Z79" t="s">
        <v>885</v>
      </c>
      <c r="AA79" t="s">
        <v>886</v>
      </c>
      <c r="AB79" t="s">
        <v>887</v>
      </c>
      <c r="AC79" t="s">
        <v>885</v>
      </c>
      <c r="AG79" t="s">
        <v>123</v>
      </c>
      <c r="AH79" t="s">
        <v>124</v>
      </c>
      <c r="AI79" t="s">
        <v>888</v>
      </c>
      <c r="AJ79" t="s">
        <v>126</v>
      </c>
      <c r="AK79" t="s">
        <v>127</v>
      </c>
      <c r="AM79" t="s">
        <v>889</v>
      </c>
      <c r="AN79" t="s">
        <v>890</v>
      </c>
      <c r="AO79" t="s">
        <v>891</v>
      </c>
      <c r="AP79" t="s">
        <v>131</v>
      </c>
      <c r="AQ79" t="s">
        <v>132</v>
      </c>
      <c r="AR79" t="s">
        <v>352</v>
      </c>
      <c r="AS79" t="s">
        <v>374</v>
      </c>
      <c r="AU79" t="s">
        <v>892</v>
      </c>
      <c r="AW79" t="s">
        <v>136</v>
      </c>
      <c r="AX79" t="s">
        <v>177</v>
      </c>
      <c r="AY79" t="s">
        <v>138</v>
      </c>
      <c r="AZ79" t="s">
        <v>893</v>
      </c>
      <c r="BB79" t="s">
        <v>140</v>
      </c>
    </row>
    <row r="80" spans="1:54" x14ac:dyDescent="0.35">
      <c r="A80" t="s">
        <v>894</v>
      </c>
      <c r="B80" t="s">
        <v>107</v>
      </c>
      <c r="C80" t="s">
        <v>107</v>
      </c>
      <c r="E80" t="s">
        <v>108</v>
      </c>
      <c r="F80" t="s">
        <v>499</v>
      </c>
      <c r="G80" t="s">
        <v>500</v>
      </c>
      <c r="H80" t="s">
        <v>501</v>
      </c>
      <c r="I80" t="s">
        <v>341</v>
      </c>
      <c r="J80" t="s">
        <v>113</v>
      </c>
      <c r="K80" t="s">
        <v>114</v>
      </c>
      <c r="L80" t="s">
        <v>502</v>
      </c>
      <c r="M80" t="s">
        <v>502</v>
      </c>
      <c r="N80" t="s">
        <v>114</v>
      </c>
      <c r="O80" t="s">
        <v>504</v>
      </c>
      <c r="P80" t="s">
        <v>895</v>
      </c>
      <c r="Q80" t="s">
        <v>142</v>
      </c>
      <c r="R80" t="s">
        <v>142</v>
      </c>
      <c r="S80" t="s">
        <v>114</v>
      </c>
      <c r="T80" t="s">
        <v>114</v>
      </c>
      <c r="V80" t="s">
        <v>114</v>
      </c>
      <c r="W80" t="s">
        <v>896</v>
      </c>
      <c r="Y80" t="s">
        <v>897</v>
      </c>
      <c r="Z80" t="s">
        <v>898</v>
      </c>
      <c r="AA80" t="s">
        <v>899</v>
      </c>
      <c r="AB80" t="s">
        <v>900</v>
      </c>
      <c r="AC80" t="s">
        <v>901</v>
      </c>
      <c r="AG80" t="s">
        <v>123</v>
      </c>
      <c r="AH80" t="s">
        <v>124</v>
      </c>
      <c r="AI80" t="s">
        <v>902</v>
      </c>
      <c r="AJ80" t="s">
        <v>126</v>
      </c>
      <c r="AK80" t="s">
        <v>127</v>
      </c>
      <c r="AM80" t="s">
        <v>903</v>
      </c>
      <c r="AN80" t="s">
        <v>904</v>
      </c>
      <c r="AO80" t="s">
        <v>905</v>
      </c>
      <c r="AP80" t="s">
        <v>131</v>
      </c>
      <c r="AQ80" t="s">
        <v>132</v>
      </c>
      <c r="AR80" t="s">
        <v>720</v>
      </c>
      <c r="AS80" t="s">
        <v>721</v>
      </c>
      <c r="AU80" t="s">
        <v>906</v>
      </c>
      <c r="AV80" t="s">
        <v>495</v>
      </c>
      <c r="AW80" t="s">
        <v>155</v>
      </c>
      <c r="AX80" t="s">
        <v>177</v>
      </c>
      <c r="AY80" t="s">
        <v>517</v>
      </c>
      <c r="AZ80" t="s">
        <v>907</v>
      </c>
      <c r="BB80" t="s">
        <v>140</v>
      </c>
    </row>
    <row r="81" spans="1:54" x14ac:dyDescent="0.35">
      <c r="A81" t="s">
        <v>908</v>
      </c>
      <c r="B81" t="s">
        <v>107</v>
      </c>
      <c r="C81" t="s">
        <v>107</v>
      </c>
      <c r="F81" t="s">
        <v>613</v>
      </c>
      <c r="G81" t="s">
        <v>614</v>
      </c>
      <c r="H81" t="s">
        <v>615</v>
      </c>
      <c r="I81" t="s">
        <v>271</v>
      </c>
      <c r="J81" t="s">
        <v>113</v>
      </c>
      <c r="K81" t="s">
        <v>114</v>
      </c>
      <c r="L81" t="s">
        <v>114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V81" t="s">
        <v>114</v>
      </c>
      <c r="W81" t="s">
        <v>114</v>
      </c>
      <c r="Y81" t="s">
        <v>909</v>
      </c>
      <c r="Z81" t="s">
        <v>909</v>
      </c>
      <c r="AA81" t="s">
        <v>910</v>
      </c>
      <c r="AB81" t="s">
        <v>911</v>
      </c>
      <c r="AC81" t="s">
        <v>912</v>
      </c>
      <c r="AG81" t="s">
        <v>123</v>
      </c>
      <c r="AH81" t="s">
        <v>124</v>
      </c>
      <c r="AI81" t="s">
        <v>913</v>
      </c>
      <c r="AJ81" t="s">
        <v>126</v>
      </c>
      <c r="AK81" t="s">
        <v>127</v>
      </c>
      <c r="AM81" t="s">
        <v>914</v>
      </c>
      <c r="AN81" t="s">
        <v>915</v>
      </c>
      <c r="AO81" t="s">
        <v>916</v>
      </c>
      <c r="AP81" t="s">
        <v>131</v>
      </c>
      <c r="AQ81" t="s">
        <v>132</v>
      </c>
      <c r="AR81" t="s">
        <v>448</v>
      </c>
      <c r="AS81" t="s">
        <v>917</v>
      </c>
      <c r="AU81" t="s">
        <v>918</v>
      </c>
      <c r="AV81" t="s">
        <v>668</v>
      </c>
      <c r="AX81" t="s">
        <v>177</v>
      </c>
      <c r="AY81" t="s">
        <v>627</v>
      </c>
      <c r="AZ81" t="s">
        <v>919</v>
      </c>
      <c r="BB81" t="s">
        <v>140</v>
      </c>
    </row>
    <row r="82" spans="1:54" x14ac:dyDescent="0.35">
      <c r="A82" t="s">
        <v>920</v>
      </c>
      <c r="B82" t="s">
        <v>107</v>
      </c>
      <c r="C82" t="s">
        <v>107</v>
      </c>
      <c r="F82" t="s">
        <v>533</v>
      </c>
      <c r="G82" t="s">
        <v>534</v>
      </c>
      <c r="H82" t="s">
        <v>535</v>
      </c>
      <c r="I82" t="s">
        <v>536</v>
      </c>
      <c r="J82" t="s">
        <v>113</v>
      </c>
      <c r="K82" t="s">
        <v>114</v>
      </c>
      <c r="L82" t="s">
        <v>114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V82" t="s">
        <v>114</v>
      </c>
      <c r="W82" t="s">
        <v>114</v>
      </c>
      <c r="Y82" t="s">
        <v>921</v>
      </c>
      <c r="Z82" t="s">
        <v>921</v>
      </c>
      <c r="AA82" t="s">
        <v>910</v>
      </c>
      <c r="AB82" t="s">
        <v>922</v>
      </c>
      <c r="AC82" t="s">
        <v>923</v>
      </c>
      <c r="AG82" t="s">
        <v>123</v>
      </c>
      <c r="AH82" t="s">
        <v>124</v>
      </c>
      <c r="AI82" t="s">
        <v>924</v>
      </c>
      <c r="AJ82" t="s">
        <v>126</v>
      </c>
      <c r="AK82" t="s">
        <v>127</v>
      </c>
      <c r="AM82" t="s">
        <v>925</v>
      </c>
      <c r="AN82" t="s">
        <v>926</v>
      </c>
      <c r="AO82" t="s">
        <v>927</v>
      </c>
      <c r="AP82" t="s">
        <v>131</v>
      </c>
      <c r="AQ82" t="s">
        <v>132</v>
      </c>
      <c r="AR82" t="s">
        <v>152</v>
      </c>
      <c r="AS82" t="s">
        <v>928</v>
      </c>
      <c r="AU82" t="s">
        <v>798</v>
      </c>
      <c r="AV82" t="s">
        <v>389</v>
      </c>
      <c r="AX82" t="s">
        <v>547</v>
      </c>
      <c r="AY82" t="s">
        <v>364</v>
      </c>
      <c r="AZ82" t="s">
        <v>929</v>
      </c>
      <c r="BB82" t="s">
        <v>140</v>
      </c>
    </row>
    <row r="83" spans="1:54" x14ac:dyDescent="0.35">
      <c r="A83" t="s">
        <v>930</v>
      </c>
      <c r="B83" t="s">
        <v>107</v>
      </c>
      <c r="C83" t="s">
        <v>107</v>
      </c>
      <c r="F83" t="s">
        <v>158</v>
      </c>
      <c r="G83" t="s">
        <v>159</v>
      </c>
      <c r="H83" t="s">
        <v>111</v>
      </c>
      <c r="I83" t="s">
        <v>341</v>
      </c>
      <c r="J83" t="s">
        <v>113</v>
      </c>
      <c r="K83" t="s">
        <v>114</v>
      </c>
      <c r="L83" t="s">
        <v>114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V83" t="s">
        <v>114</v>
      </c>
      <c r="W83" t="s">
        <v>114</v>
      </c>
      <c r="Y83" t="s">
        <v>931</v>
      </c>
      <c r="Z83" t="s">
        <v>932</v>
      </c>
      <c r="AA83" t="s">
        <v>933</v>
      </c>
      <c r="AB83" t="s">
        <v>934</v>
      </c>
      <c r="AC83" t="s">
        <v>935</v>
      </c>
      <c r="AG83" t="s">
        <v>123</v>
      </c>
      <c r="AH83" t="s">
        <v>124</v>
      </c>
      <c r="AI83" t="s">
        <v>936</v>
      </c>
      <c r="AJ83" t="s">
        <v>126</v>
      </c>
      <c r="AK83" t="s">
        <v>127</v>
      </c>
      <c r="AM83" t="s">
        <v>937</v>
      </c>
      <c r="AN83" t="s">
        <v>771</v>
      </c>
      <c r="AO83" t="s">
        <v>938</v>
      </c>
      <c r="AP83" t="s">
        <v>131</v>
      </c>
      <c r="AQ83" t="s">
        <v>132</v>
      </c>
      <c r="AR83" t="s">
        <v>839</v>
      </c>
      <c r="AS83" t="s">
        <v>939</v>
      </c>
      <c r="AU83" t="s">
        <v>940</v>
      </c>
      <c r="AX83" t="s">
        <v>177</v>
      </c>
      <c r="AY83" t="s">
        <v>138</v>
      </c>
      <c r="AZ83" t="s">
        <v>941</v>
      </c>
      <c r="BB83" t="s">
        <v>140</v>
      </c>
    </row>
    <row r="84" spans="1:54" x14ac:dyDescent="0.35">
      <c r="A84" t="s">
        <v>942</v>
      </c>
      <c r="B84" t="s">
        <v>107</v>
      </c>
      <c r="C84" t="s">
        <v>107</v>
      </c>
      <c r="F84" t="s">
        <v>613</v>
      </c>
      <c r="G84" t="s">
        <v>614</v>
      </c>
      <c r="H84" t="s">
        <v>615</v>
      </c>
      <c r="I84" t="s">
        <v>271</v>
      </c>
      <c r="J84" t="s">
        <v>113</v>
      </c>
      <c r="K84" t="s">
        <v>114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V84" t="s">
        <v>114</v>
      </c>
      <c r="W84" t="s">
        <v>114</v>
      </c>
      <c r="Y84" t="s">
        <v>943</v>
      </c>
      <c r="Z84" t="s">
        <v>943</v>
      </c>
      <c r="AA84" t="s">
        <v>944</v>
      </c>
      <c r="AB84" t="s">
        <v>945</v>
      </c>
      <c r="AC84" t="s">
        <v>946</v>
      </c>
      <c r="AG84" t="s">
        <v>123</v>
      </c>
      <c r="AH84" t="s">
        <v>124</v>
      </c>
      <c r="AI84" t="s">
        <v>947</v>
      </c>
      <c r="AJ84" t="s">
        <v>126</v>
      </c>
      <c r="AK84" t="s">
        <v>127</v>
      </c>
      <c r="AM84" t="s">
        <v>948</v>
      </c>
      <c r="AN84" t="s">
        <v>949</v>
      </c>
      <c r="AO84" t="s">
        <v>950</v>
      </c>
      <c r="AP84" t="s">
        <v>131</v>
      </c>
      <c r="AQ84" t="s">
        <v>132</v>
      </c>
      <c r="AR84" t="s">
        <v>152</v>
      </c>
      <c r="AS84" t="s">
        <v>951</v>
      </c>
      <c r="AU84" t="s">
        <v>952</v>
      </c>
      <c r="AX84" t="s">
        <v>177</v>
      </c>
      <c r="AY84" t="s">
        <v>627</v>
      </c>
      <c r="AZ84" t="s">
        <v>953</v>
      </c>
      <c r="BB84" t="s">
        <v>140</v>
      </c>
    </row>
    <row r="85" spans="1:54" x14ac:dyDescent="0.35">
      <c r="A85" t="s">
        <v>954</v>
      </c>
      <c r="B85" t="s">
        <v>107</v>
      </c>
      <c r="C85" t="s">
        <v>107</v>
      </c>
      <c r="F85" t="s">
        <v>484</v>
      </c>
      <c r="G85" t="s">
        <v>159</v>
      </c>
      <c r="H85" t="s">
        <v>485</v>
      </c>
      <c r="I85" t="s">
        <v>341</v>
      </c>
      <c r="J85" t="s">
        <v>113</v>
      </c>
      <c r="K85" t="s">
        <v>114</v>
      </c>
      <c r="L85" t="s">
        <v>114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V85" t="s">
        <v>114</v>
      </c>
      <c r="W85" t="s">
        <v>114</v>
      </c>
      <c r="Y85" t="s">
        <v>955</v>
      </c>
      <c r="Z85" t="s">
        <v>955</v>
      </c>
      <c r="AA85" t="s">
        <v>956</v>
      </c>
      <c r="AB85" t="s">
        <v>957</v>
      </c>
      <c r="AC85" t="s">
        <v>958</v>
      </c>
      <c r="AG85" t="s">
        <v>123</v>
      </c>
      <c r="AH85" t="s">
        <v>124</v>
      </c>
      <c r="AI85" t="s">
        <v>959</v>
      </c>
      <c r="AJ85" t="s">
        <v>126</v>
      </c>
      <c r="AK85" t="s">
        <v>127</v>
      </c>
      <c r="AM85" t="s">
        <v>960</v>
      </c>
      <c r="AN85" t="s">
        <v>961</v>
      </c>
      <c r="AO85" t="s">
        <v>962</v>
      </c>
      <c r="AP85" t="s">
        <v>131</v>
      </c>
      <c r="AQ85" t="s">
        <v>233</v>
      </c>
      <c r="AR85" t="s">
        <v>963</v>
      </c>
      <c r="AS85" t="s">
        <v>964</v>
      </c>
      <c r="AU85" t="s">
        <v>965</v>
      </c>
      <c r="AV85" t="s">
        <v>406</v>
      </c>
      <c r="AX85" t="s">
        <v>177</v>
      </c>
      <c r="AY85" t="s">
        <v>356</v>
      </c>
      <c r="AZ85" t="s">
        <v>966</v>
      </c>
      <c r="BB85" t="s">
        <v>140</v>
      </c>
    </row>
    <row r="86" spans="1:54" x14ac:dyDescent="0.35">
      <c r="A86" t="s">
        <v>967</v>
      </c>
      <c r="B86" t="s">
        <v>107</v>
      </c>
      <c r="C86" t="s">
        <v>107</v>
      </c>
      <c r="E86" t="s">
        <v>108</v>
      </c>
      <c r="F86" t="s">
        <v>338</v>
      </c>
      <c r="G86" t="s">
        <v>339</v>
      </c>
      <c r="H86" t="s">
        <v>340</v>
      </c>
      <c r="I86" t="s">
        <v>341</v>
      </c>
      <c r="J86" t="s">
        <v>113</v>
      </c>
      <c r="K86" t="s">
        <v>114</v>
      </c>
      <c r="L86" t="s">
        <v>114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180</v>
      </c>
      <c r="S86" t="s">
        <v>114</v>
      </c>
      <c r="T86" t="s">
        <v>180</v>
      </c>
      <c r="V86" t="s">
        <v>114</v>
      </c>
      <c r="W86" t="s">
        <v>562</v>
      </c>
      <c r="Y86" t="s">
        <v>968</v>
      </c>
      <c r="Z86" t="s">
        <v>969</v>
      </c>
      <c r="AA86" t="s">
        <v>970</v>
      </c>
      <c r="AB86" t="s">
        <v>971</v>
      </c>
      <c r="AC86" t="s">
        <v>972</v>
      </c>
      <c r="AG86" t="s">
        <v>123</v>
      </c>
      <c r="AH86" t="s">
        <v>124</v>
      </c>
      <c r="AI86" t="s">
        <v>973</v>
      </c>
      <c r="AJ86" t="s">
        <v>126</v>
      </c>
      <c r="AK86" t="s">
        <v>127</v>
      </c>
      <c r="AM86" t="s">
        <v>974</v>
      </c>
      <c r="AN86" t="s">
        <v>975</v>
      </c>
      <c r="AO86" t="s">
        <v>976</v>
      </c>
      <c r="AP86" t="s">
        <v>131</v>
      </c>
      <c r="AQ86" t="s">
        <v>132</v>
      </c>
      <c r="AR86" t="s">
        <v>880</v>
      </c>
      <c r="AS86" t="s">
        <v>881</v>
      </c>
      <c r="AU86" t="s">
        <v>516</v>
      </c>
      <c r="AV86" t="s">
        <v>638</v>
      </c>
      <c r="AW86" t="s">
        <v>317</v>
      </c>
      <c r="AX86" t="s">
        <v>177</v>
      </c>
      <c r="AY86" t="s">
        <v>356</v>
      </c>
      <c r="AZ86" t="s">
        <v>977</v>
      </c>
      <c r="BB86" t="s">
        <v>140</v>
      </c>
    </row>
    <row r="87" spans="1:54" x14ac:dyDescent="0.35">
      <c r="A87" t="s">
        <v>967</v>
      </c>
      <c r="B87" t="s">
        <v>107</v>
      </c>
      <c r="C87" t="s">
        <v>107</v>
      </c>
      <c r="E87" t="s">
        <v>108</v>
      </c>
      <c r="F87" t="s">
        <v>358</v>
      </c>
      <c r="G87" t="s">
        <v>359</v>
      </c>
      <c r="H87" t="s">
        <v>360</v>
      </c>
      <c r="I87" t="s">
        <v>341</v>
      </c>
      <c r="J87" t="s">
        <v>113</v>
      </c>
      <c r="K87" t="s">
        <v>114</v>
      </c>
      <c r="L87" t="s">
        <v>361</v>
      </c>
      <c r="M87" t="s">
        <v>361</v>
      </c>
      <c r="N87" t="s">
        <v>113</v>
      </c>
      <c r="O87" t="s">
        <v>363</v>
      </c>
      <c r="P87" t="s">
        <v>562</v>
      </c>
      <c r="Q87" t="s">
        <v>114</v>
      </c>
      <c r="R87" t="s">
        <v>180</v>
      </c>
      <c r="S87" t="s">
        <v>114</v>
      </c>
      <c r="T87" t="s">
        <v>180</v>
      </c>
      <c r="V87" t="s">
        <v>114</v>
      </c>
      <c r="W87" t="s">
        <v>562</v>
      </c>
      <c r="Y87" t="s">
        <v>968</v>
      </c>
      <c r="Z87" t="s">
        <v>969</v>
      </c>
      <c r="AA87" t="s">
        <v>970</v>
      </c>
      <c r="AB87" t="s">
        <v>971</v>
      </c>
      <c r="AC87" t="s">
        <v>972</v>
      </c>
      <c r="AG87" t="s">
        <v>123</v>
      </c>
      <c r="AH87" t="s">
        <v>124</v>
      </c>
      <c r="AI87" t="s">
        <v>973</v>
      </c>
      <c r="AJ87" t="s">
        <v>126</v>
      </c>
      <c r="AK87" t="s">
        <v>127</v>
      </c>
      <c r="AM87" t="s">
        <v>974</v>
      </c>
      <c r="AN87" t="s">
        <v>975</v>
      </c>
      <c r="AO87" t="s">
        <v>976</v>
      </c>
      <c r="AP87" t="s">
        <v>131</v>
      </c>
      <c r="AQ87" t="s">
        <v>132</v>
      </c>
      <c r="AR87" t="s">
        <v>880</v>
      </c>
      <c r="AS87" t="s">
        <v>881</v>
      </c>
      <c r="AU87" t="s">
        <v>516</v>
      </c>
      <c r="AV87" t="s">
        <v>638</v>
      </c>
      <c r="AW87" t="s">
        <v>317</v>
      </c>
      <c r="AX87" t="s">
        <v>177</v>
      </c>
      <c r="AY87" t="s">
        <v>364</v>
      </c>
      <c r="AZ87" t="s">
        <v>977</v>
      </c>
      <c r="BB87" t="s">
        <v>140</v>
      </c>
    </row>
    <row r="88" spans="1:54" x14ac:dyDescent="0.35">
      <c r="A88" t="s">
        <v>978</v>
      </c>
      <c r="B88" t="s">
        <v>107</v>
      </c>
      <c r="C88" t="s">
        <v>107</v>
      </c>
      <c r="E88" t="s">
        <v>108</v>
      </c>
      <c r="F88" t="s">
        <v>158</v>
      </c>
      <c r="G88" t="s">
        <v>159</v>
      </c>
      <c r="H88" t="s">
        <v>111</v>
      </c>
      <c r="I88" t="s">
        <v>341</v>
      </c>
      <c r="J88" t="s">
        <v>113</v>
      </c>
      <c r="K88" t="s">
        <v>114</v>
      </c>
      <c r="L88" t="s">
        <v>161</v>
      </c>
      <c r="M88" t="s">
        <v>161</v>
      </c>
      <c r="N88" t="s">
        <v>979</v>
      </c>
      <c r="O88" t="s">
        <v>393</v>
      </c>
      <c r="P88" t="s">
        <v>980</v>
      </c>
      <c r="Q88" t="s">
        <v>114</v>
      </c>
      <c r="R88" t="s">
        <v>180</v>
      </c>
      <c r="S88" t="s">
        <v>114</v>
      </c>
      <c r="T88" t="s">
        <v>180</v>
      </c>
      <c r="V88" t="s">
        <v>114</v>
      </c>
      <c r="W88" t="s">
        <v>980</v>
      </c>
      <c r="Y88" t="s">
        <v>981</v>
      </c>
      <c r="Z88" t="s">
        <v>982</v>
      </c>
      <c r="AA88" t="s">
        <v>983</v>
      </c>
      <c r="AB88" t="s">
        <v>984</v>
      </c>
      <c r="AC88" t="s">
        <v>982</v>
      </c>
      <c r="AG88" t="s">
        <v>123</v>
      </c>
      <c r="AH88" t="s">
        <v>124</v>
      </c>
      <c r="AI88" t="s">
        <v>985</v>
      </c>
      <c r="AJ88" t="s">
        <v>126</v>
      </c>
      <c r="AK88" t="s">
        <v>127</v>
      </c>
      <c r="AM88" t="s">
        <v>986</v>
      </c>
      <c r="AN88" t="s">
        <v>987</v>
      </c>
      <c r="AO88" t="s">
        <v>988</v>
      </c>
      <c r="AP88" t="s">
        <v>131</v>
      </c>
      <c r="AQ88" t="s">
        <v>132</v>
      </c>
      <c r="AR88" t="s">
        <v>989</v>
      </c>
      <c r="AS88" t="s">
        <v>990</v>
      </c>
      <c r="AU88" t="s">
        <v>991</v>
      </c>
      <c r="AW88" t="s">
        <v>136</v>
      </c>
      <c r="AX88" t="s">
        <v>177</v>
      </c>
      <c r="AY88" t="s">
        <v>138</v>
      </c>
      <c r="AZ88" t="s">
        <v>992</v>
      </c>
      <c r="BB88" t="s">
        <v>140</v>
      </c>
    </row>
    <row r="89" spans="1:54" x14ac:dyDescent="0.35">
      <c r="A89" t="s">
        <v>993</v>
      </c>
      <c r="B89" t="s">
        <v>107</v>
      </c>
      <c r="C89" t="s">
        <v>107</v>
      </c>
      <c r="E89" t="s">
        <v>108</v>
      </c>
      <c r="F89" t="s">
        <v>158</v>
      </c>
      <c r="G89" t="s">
        <v>159</v>
      </c>
      <c r="H89" t="s">
        <v>111</v>
      </c>
      <c r="I89" t="s">
        <v>341</v>
      </c>
      <c r="J89" t="s">
        <v>113</v>
      </c>
      <c r="K89" t="s">
        <v>114</v>
      </c>
      <c r="L89" t="s">
        <v>161</v>
      </c>
      <c r="M89" t="s">
        <v>161</v>
      </c>
      <c r="N89" t="s">
        <v>994</v>
      </c>
      <c r="O89" t="s">
        <v>393</v>
      </c>
      <c r="P89" t="s">
        <v>995</v>
      </c>
      <c r="Q89" t="s">
        <v>996</v>
      </c>
      <c r="R89" t="s">
        <v>118</v>
      </c>
      <c r="S89" t="s">
        <v>114</v>
      </c>
      <c r="T89" t="s">
        <v>997</v>
      </c>
      <c r="V89" t="s">
        <v>114</v>
      </c>
      <c r="W89" t="s">
        <v>998</v>
      </c>
      <c r="Y89" t="s">
        <v>999</v>
      </c>
      <c r="Z89" t="s">
        <v>1000</v>
      </c>
      <c r="AA89" t="s">
        <v>1001</v>
      </c>
      <c r="AB89" t="s">
        <v>1002</v>
      </c>
      <c r="AC89" t="s">
        <v>1000</v>
      </c>
      <c r="AG89" t="s">
        <v>123</v>
      </c>
      <c r="AH89" t="s">
        <v>124</v>
      </c>
      <c r="AI89" t="s">
        <v>1003</v>
      </c>
      <c r="AJ89" t="s">
        <v>126</v>
      </c>
      <c r="AK89" t="s">
        <v>127</v>
      </c>
      <c r="AM89" t="s">
        <v>1004</v>
      </c>
      <c r="AN89" t="s">
        <v>1005</v>
      </c>
      <c r="AO89" t="s">
        <v>1006</v>
      </c>
      <c r="AP89" t="s">
        <v>131</v>
      </c>
      <c r="AQ89" t="s">
        <v>132</v>
      </c>
      <c r="AR89" t="s">
        <v>262</v>
      </c>
      <c r="AS89" t="s">
        <v>1007</v>
      </c>
      <c r="AU89" t="s">
        <v>219</v>
      </c>
      <c r="AW89" t="s">
        <v>136</v>
      </c>
      <c r="AX89" t="s">
        <v>177</v>
      </c>
      <c r="AY89" t="s">
        <v>138</v>
      </c>
      <c r="AZ89" t="s">
        <v>1008</v>
      </c>
      <c r="BB89" t="s">
        <v>140</v>
      </c>
    </row>
    <row r="90" spans="1:54" x14ac:dyDescent="0.35">
      <c r="A90" t="s">
        <v>1009</v>
      </c>
      <c r="B90" t="s">
        <v>107</v>
      </c>
      <c r="C90" t="s">
        <v>107</v>
      </c>
      <c r="E90" t="s">
        <v>108</v>
      </c>
      <c r="F90" t="s">
        <v>158</v>
      </c>
      <c r="G90" t="s">
        <v>159</v>
      </c>
      <c r="H90" t="s">
        <v>111</v>
      </c>
      <c r="I90" t="s">
        <v>341</v>
      </c>
      <c r="J90" t="s">
        <v>113</v>
      </c>
      <c r="K90" t="s">
        <v>114</v>
      </c>
      <c r="L90" t="s">
        <v>161</v>
      </c>
      <c r="M90" t="s">
        <v>161</v>
      </c>
      <c r="N90" t="s">
        <v>1010</v>
      </c>
      <c r="O90" t="s">
        <v>393</v>
      </c>
      <c r="P90" t="s">
        <v>1011</v>
      </c>
      <c r="Q90" t="s">
        <v>114</v>
      </c>
      <c r="R90" t="s">
        <v>180</v>
      </c>
      <c r="S90" t="s">
        <v>114</v>
      </c>
      <c r="T90" t="s">
        <v>180</v>
      </c>
      <c r="V90" t="s">
        <v>114</v>
      </c>
      <c r="W90" t="s">
        <v>1011</v>
      </c>
      <c r="Y90" t="s">
        <v>1012</v>
      </c>
      <c r="Z90" t="s">
        <v>1013</v>
      </c>
      <c r="AA90" t="s">
        <v>1014</v>
      </c>
      <c r="AB90" t="s">
        <v>1015</v>
      </c>
      <c r="AC90" t="s">
        <v>1016</v>
      </c>
      <c r="AG90" t="s">
        <v>123</v>
      </c>
      <c r="AH90" t="s">
        <v>124</v>
      </c>
      <c r="AI90" t="s">
        <v>1017</v>
      </c>
      <c r="AJ90" t="s">
        <v>126</v>
      </c>
      <c r="AK90" t="s">
        <v>127</v>
      </c>
      <c r="AM90" t="s">
        <v>1018</v>
      </c>
      <c r="AN90" t="s">
        <v>1019</v>
      </c>
      <c r="AO90" t="s">
        <v>1020</v>
      </c>
      <c r="AP90" t="s">
        <v>131</v>
      </c>
      <c r="AQ90" t="s">
        <v>132</v>
      </c>
      <c r="AR90" t="s">
        <v>514</v>
      </c>
      <c r="AS90" t="s">
        <v>1021</v>
      </c>
      <c r="AU90" t="s">
        <v>639</v>
      </c>
      <c r="AW90" t="s">
        <v>266</v>
      </c>
      <c r="AX90" t="s">
        <v>177</v>
      </c>
      <c r="AY90" t="s">
        <v>138</v>
      </c>
      <c r="AZ90" t="s">
        <v>1022</v>
      </c>
      <c r="BB90" t="s">
        <v>140</v>
      </c>
    </row>
    <row r="91" spans="1:54" x14ac:dyDescent="0.35">
      <c r="A91" t="s">
        <v>1023</v>
      </c>
      <c r="B91" t="s">
        <v>107</v>
      </c>
      <c r="C91" t="s">
        <v>107</v>
      </c>
      <c r="E91" t="s">
        <v>108</v>
      </c>
      <c r="F91" t="s">
        <v>158</v>
      </c>
      <c r="G91" t="s">
        <v>159</v>
      </c>
      <c r="H91" t="s">
        <v>111</v>
      </c>
      <c r="I91" t="s">
        <v>341</v>
      </c>
      <c r="J91" t="s">
        <v>113</v>
      </c>
      <c r="K91" t="s">
        <v>114</v>
      </c>
      <c r="L91" t="s">
        <v>161</v>
      </c>
      <c r="M91" t="s">
        <v>161</v>
      </c>
      <c r="N91" t="s">
        <v>114</v>
      </c>
      <c r="O91" t="s">
        <v>393</v>
      </c>
      <c r="P91" t="s">
        <v>642</v>
      </c>
      <c r="Q91" t="s">
        <v>114</v>
      </c>
      <c r="R91" t="s">
        <v>1024</v>
      </c>
      <c r="S91" t="s">
        <v>114</v>
      </c>
      <c r="T91" t="s">
        <v>1024</v>
      </c>
      <c r="V91" t="s">
        <v>114</v>
      </c>
      <c r="W91" t="s">
        <v>642</v>
      </c>
      <c r="Y91" t="s">
        <v>1025</v>
      </c>
      <c r="Z91" t="s">
        <v>1026</v>
      </c>
      <c r="AA91" t="s">
        <v>1027</v>
      </c>
      <c r="AB91" t="s">
        <v>1028</v>
      </c>
      <c r="AC91" t="s">
        <v>1026</v>
      </c>
      <c r="AG91" t="s">
        <v>123</v>
      </c>
      <c r="AH91" t="s">
        <v>124</v>
      </c>
      <c r="AI91" t="s">
        <v>1029</v>
      </c>
      <c r="AJ91" t="s">
        <v>126</v>
      </c>
      <c r="AK91" t="s">
        <v>127</v>
      </c>
      <c r="AM91" t="s">
        <v>1030</v>
      </c>
      <c r="AN91" t="s">
        <v>1031</v>
      </c>
      <c r="AO91" t="s">
        <v>1032</v>
      </c>
      <c r="AP91" t="s">
        <v>131</v>
      </c>
      <c r="AQ91" t="s">
        <v>132</v>
      </c>
      <c r="AR91" t="s">
        <v>839</v>
      </c>
      <c r="AS91" t="s">
        <v>1033</v>
      </c>
      <c r="AU91" t="s">
        <v>690</v>
      </c>
      <c r="AW91" t="s">
        <v>136</v>
      </c>
      <c r="AX91" t="s">
        <v>177</v>
      </c>
      <c r="AY91" t="s">
        <v>138</v>
      </c>
      <c r="AZ91" t="s">
        <v>1034</v>
      </c>
      <c r="BB91" t="s">
        <v>140</v>
      </c>
    </row>
    <row r="92" spans="1:54" x14ac:dyDescent="0.35">
      <c r="A92" t="s">
        <v>1035</v>
      </c>
      <c r="B92" t="s">
        <v>107</v>
      </c>
      <c r="C92" t="s">
        <v>107</v>
      </c>
      <c r="E92" t="s">
        <v>108</v>
      </c>
      <c r="F92" t="s">
        <v>158</v>
      </c>
      <c r="G92" t="s">
        <v>159</v>
      </c>
      <c r="H92" t="s">
        <v>111</v>
      </c>
      <c r="I92" t="s">
        <v>341</v>
      </c>
      <c r="J92" t="s">
        <v>113</v>
      </c>
      <c r="K92" t="s">
        <v>114</v>
      </c>
      <c r="L92" t="s">
        <v>161</v>
      </c>
      <c r="M92" t="s">
        <v>161</v>
      </c>
      <c r="N92" t="s">
        <v>994</v>
      </c>
      <c r="O92" t="s">
        <v>393</v>
      </c>
      <c r="P92" t="s">
        <v>995</v>
      </c>
      <c r="Q92" t="s">
        <v>114</v>
      </c>
      <c r="R92" t="s">
        <v>142</v>
      </c>
      <c r="S92" t="s">
        <v>114</v>
      </c>
      <c r="T92" t="s">
        <v>142</v>
      </c>
      <c r="V92" t="s">
        <v>114</v>
      </c>
      <c r="W92" t="s">
        <v>995</v>
      </c>
      <c r="Y92" t="s">
        <v>1036</v>
      </c>
      <c r="Z92" t="s">
        <v>1037</v>
      </c>
      <c r="AA92" t="s">
        <v>1038</v>
      </c>
      <c r="AB92" t="s">
        <v>1039</v>
      </c>
      <c r="AC92" t="s">
        <v>1037</v>
      </c>
      <c r="AG92" t="s">
        <v>123</v>
      </c>
      <c r="AH92" t="s">
        <v>124</v>
      </c>
      <c r="AI92" t="s">
        <v>1040</v>
      </c>
      <c r="AJ92" t="s">
        <v>126</v>
      </c>
      <c r="AK92" t="s">
        <v>127</v>
      </c>
      <c r="AM92" t="s">
        <v>1041</v>
      </c>
      <c r="AN92" t="s">
        <v>1042</v>
      </c>
      <c r="AO92" t="s">
        <v>1043</v>
      </c>
      <c r="AP92" t="s">
        <v>131</v>
      </c>
      <c r="AQ92" t="s">
        <v>132</v>
      </c>
      <c r="AR92" t="s">
        <v>387</v>
      </c>
      <c r="AS92" t="s">
        <v>1044</v>
      </c>
      <c r="AU92" t="s">
        <v>1045</v>
      </c>
      <c r="AV92" t="s">
        <v>626</v>
      </c>
      <c r="AW92" t="s">
        <v>136</v>
      </c>
      <c r="AX92" t="s">
        <v>177</v>
      </c>
      <c r="AY92" t="s">
        <v>138</v>
      </c>
      <c r="AZ92" t="s">
        <v>1046</v>
      </c>
      <c r="BB92" t="s">
        <v>140</v>
      </c>
    </row>
    <row r="93" spans="1:54" x14ac:dyDescent="0.35">
      <c r="A93" t="s">
        <v>1047</v>
      </c>
      <c r="B93" t="s">
        <v>107</v>
      </c>
      <c r="C93" t="s">
        <v>107</v>
      </c>
      <c r="F93" t="s">
        <v>613</v>
      </c>
      <c r="G93" t="s">
        <v>614</v>
      </c>
      <c r="H93" t="s">
        <v>615</v>
      </c>
      <c r="I93" t="s">
        <v>271</v>
      </c>
      <c r="J93" t="s">
        <v>113</v>
      </c>
      <c r="K93" t="s">
        <v>114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V93" t="s">
        <v>114</v>
      </c>
      <c r="W93" t="s">
        <v>114</v>
      </c>
      <c r="Y93" t="s">
        <v>1048</v>
      </c>
      <c r="Z93" t="s">
        <v>1048</v>
      </c>
      <c r="AA93" t="s">
        <v>1049</v>
      </c>
      <c r="AB93" t="s">
        <v>1050</v>
      </c>
      <c r="AC93" t="s">
        <v>1051</v>
      </c>
      <c r="AG93" t="s">
        <v>123</v>
      </c>
      <c r="AH93" t="s">
        <v>124</v>
      </c>
      <c r="AI93" t="s">
        <v>1052</v>
      </c>
      <c r="AJ93" t="s">
        <v>126</v>
      </c>
      <c r="AK93" t="s">
        <v>127</v>
      </c>
      <c r="AM93" t="s">
        <v>1053</v>
      </c>
      <c r="AN93" t="s">
        <v>1054</v>
      </c>
      <c r="AO93" t="s">
        <v>1055</v>
      </c>
      <c r="AP93" t="s">
        <v>131</v>
      </c>
      <c r="AQ93" t="s">
        <v>132</v>
      </c>
      <c r="AR93" t="s">
        <v>1056</v>
      </c>
      <c r="AS93" t="s">
        <v>1057</v>
      </c>
      <c r="AU93" t="s">
        <v>1058</v>
      </c>
      <c r="AV93" t="s">
        <v>1059</v>
      </c>
      <c r="AX93" t="s">
        <v>177</v>
      </c>
      <c r="AY93" t="s">
        <v>627</v>
      </c>
      <c r="AZ93" t="s">
        <v>1060</v>
      </c>
      <c r="BB93" t="s">
        <v>140</v>
      </c>
    </row>
    <row r="94" spans="1:54" x14ac:dyDescent="0.35">
      <c r="A94" t="s">
        <v>1061</v>
      </c>
      <c r="B94" t="s">
        <v>107</v>
      </c>
      <c r="C94" t="s">
        <v>107</v>
      </c>
      <c r="E94" t="s">
        <v>108</v>
      </c>
      <c r="F94" t="s">
        <v>158</v>
      </c>
      <c r="G94" t="s">
        <v>159</v>
      </c>
      <c r="H94" t="s">
        <v>111</v>
      </c>
      <c r="I94" t="s">
        <v>341</v>
      </c>
      <c r="J94" t="s">
        <v>113</v>
      </c>
      <c r="K94" t="s">
        <v>114</v>
      </c>
      <c r="L94" t="s">
        <v>161</v>
      </c>
      <c r="M94" t="s">
        <v>161</v>
      </c>
      <c r="N94" t="s">
        <v>994</v>
      </c>
      <c r="O94" t="s">
        <v>393</v>
      </c>
      <c r="P94" t="s">
        <v>995</v>
      </c>
      <c r="Q94" t="s">
        <v>114</v>
      </c>
      <c r="R94" t="s">
        <v>180</v>
      </c>
      <c r="S94" t="s">
        <v>114</v>
      </c>
      <c r="T94" t="s">
        <v>180</v>
      </c>
      <c r="V94" t="s">
        <v>114</v>
      </c>
      <c r="W94" t="s">
        <v>995</v>
      </c>
      <c r="Y94" t="s">
        <v>1062</v>
      </c>
      <c r="Z94" t="s">
        <v>1063</v>
      </c>
      <c r="AA94" t="s">
        <v>1064</v>
      </c>
      <c r="AB94" t="s">
        <v>1065</v>
      </c>
      <c r="AC94" t="s">
        <v>1063</v>
      </c>
      <c r="AG94" t="s">
        <v>123</v>
      </c>
      <c r="AH94" t="s">
        <v>124</v>
      </c>
      <c r="AI94" t="s">
        <v>1066</v>
      </c>
      <c r="AJ94" t="s">
        <v>126</v>
      </c>
      <c r="AK94" t="s">
        <v>127</v>
      </c>
      <c r="AM94" t="s">
        <v>1067</v>
      </c>
      <c r="AN94" t="s">
        <v>1068</v>
      </c>
      <c r="AO94" t="s">
        <v>1069</v>
      </c>
      <c r="AP94" t="s">
        <v>131</v>
      </c>
      <c r="AQ94" t="s">
        <v>132</v>
      </c>
      <c r="AR94" t="s">
        <v>1070</v>
      </c>
      <c r="AS94" t="s">
        <v>1071</v>
      </c>
      <c r="AU94" t="s">
        <v>1072</v>
      </c>
      <c r="AW94" t="s">
        <v>136</v>
      </c>
      <c r="AX94" t="s">
        <v>177</v>
      </c>
      <c r="AY94" t="s">
        <v>138</v>
      </c>
      <c r="AZ94" t="s">
        <v>1073</v>
      </c>
      <c r="BB94" t="s">
        <v>140</v>
      </c>
    </row>
    <row r="95" spans="1:54" x14ac:dyDescent="0.35">
      <c r="A95" t="s">
        <v>1074</v>
      </c>
      <c r="B95" t="s">
        <v>107</v>
      </c>
      <c r="C95" t="s">
        <v>107</v>
      </c>
      <c r="F95" t="s">
        <v>613</v>
      </c>
      <c r="G95" t="s">
        <v>614</v>
      </c>
      <c r="H95" t="s">
        <v>615</v>
      </c>
      <c r="I95" t="s">
        <v>271</v>
      </c>
      <c r="J95" t="s">
        <v>113</v>
      </c>
      <c r="K95" t="s">
        <v>114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V95" t="s">
        <v>114</v>
      </c>
      <c r="W95" t="s">
        <v>114</v>
      </c>
      <c r="Y95" t="s">
        <v>1075</v>
      </c>
      <c r="Z95" t="s">
        <v>1075</v>
      </c>
      <c r="AA95" t="s">
        <v>1076</v>
      </c>
      <c r="AB95" t="s">
        <v>1077</v>
      </c>
      <c r="AC95" t="s">
        <v>1078</v>
      </c>
      <c r="AG95" t="s">
        <v>123</v>
      </c>
      <c r="AH95" t="s">
        <v>124</v>
      </c>
      <c r="AI95" t="s">
        <v>1079</v>
      </c>
      <c r="AJ95" t="s">
        <v>126</v>
      </c>
      <c r="AK95" t="s">
        <v>127</v>
      </c>
      <c r="AM95" t="s">
        <v>1080</v>
      </c>
      <c r="AN95" t="s">
        <v>1081</v>
      </c>
      <c r="AO95" t="s">
        <v>1082</v>
      </c>
      <c r="AP95" t="s">
        <v>131</v>
      </c>
      <c r="AQ95" t="s">
        <v>132</v>
      </c>
      <c r="AR95" t="s">
        <v>217</v>
      </c>
      <c r="AS95" t="s">
        <v>1083</v>
      </c>
      <c r="AU95" t="s">
        <v>798</v>
      </c>
      <c r="AX95" t="s">
        <v>177</v>
      </c>
      <c r="AY95" t="s">
        <v>627</v>
      </c>
      <c r="AZ95" t="s">
        <v>1084</v>
      </c>
      <c r="BB95" t="s">
        <v>140</v>
      </c>
    </row>
    <row r="96" spans="1:54" x14ac:dyDescent="0.35">
      <c r="A96" t="s">
        <v>1085</v>
      </c>
      <c r="B96" t="s">
        <v>107</v>
      </c>
      <c r="C96" t="s">
        <v>107</v>
      </c>
      <c r="F96" t="s">
        <v>533</v>
      </c>
      <c r="G96" t="s">
        <v>534</v>
      </c>
      <c r="H96" t="s">
        <v>535</v>
      </c>
      <c r="I96" t="s">
        <v>536</v>
      </c>
      <c r="J96" t="s">
        <v>113</v>
      </c>
      <c r="K96" t="s">
        <v>114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V96" t="s">
        <v>114</v>
      </c>
      <c r="W96" t="s">
        <v>114</v>
      </c>
      <c r="Y96" t="s">
        <v>1086</v>
      </c>
      <c r="Z96" t="s">
        <v>1086</v>
      </c>
      <c r="AA96" t="s">
        <v>1087</v>
      </c>
      <c r="AB96" t="s">
        <v>1088</v>
      </c>
      <c r="AC96" t="s">
        <v>1089</v>
      </c>
      <c r="AG96" t="s">
        <v>123</v>
      </c>
      <c r="AH96" t="s">
        <v>124</v>
      </c>
      <c r="AI96" t="s">
        <v>1090</v>
      </c>
      <c r="AJ96" t="s">
        <v>126</v>
      </c>
      <c r="AK96" t="s">
        <v>127</v>
      </c>
      <c r="AM96" t="s">
        <v>1091</v>
      </c>
      <c r="AN96" t="s">
        <v>1092</v>
      </c>
      <c r="AO96" t="s">
        <v>1093</v>
      </c>
      <c r="AP96" t="s">
        <v>131</v>
      </c>
      <c r="AQ96" t="s">
        <v>132</v>
      </c>
      <c r="AR96" t="s">
        <v>867</v>
      </c>
      <c r="AS96" t="s">
        <v>1094</v>
      </c>
      <c r="AU96" t="s">
        <v>1095</v>
      </c>
      <c r="AV96" t="s">
        <v>965</v>
      </c>
      <c r="AX96" t="s">
        <v>547</v>
      </c>
      <c r="AY96" t="s">
        <v>364</v>
      </c>
      <c r="AZ96" t="s">
        <v>1096</v>
      </c>
      <c r="BB96" t="s">
        <v>140</v>
      </c>
    </row>
    <row r="97" spans="1:54" x14ac:dyDescent="0.35">
      <c r="A97" t="s">
        <v>1097</v>
      </c>
      <c r="B97" t="s">
        <v>107</v>
      </c>
      <c r="C97" t="s">
        <v>107</v>
      </c>
      <c r="F97" t="s">
        <v>158</v>
      </c>
      <c r="G97" t="s">
        <v>159</v>
      </c>
      <c r="H97" t="s">
        <v>111</v>
      </c>
      <c r="I97" t="s">
        <v>341</v>
      </c>
      <c r="J97" t="s">
        <v>113</v>
      </c>
      <c r="K97" t="s">
        <v>114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V97" t="s">
        <v>114</v>
      </c>
      <c r="W97" t="s">
        <v>114</v>
      </c>
      <c r="Y97" t="s">
        <v>1098</v>
      </c>
      <c r="Z97" t="s">
        <v>1098</v>
      </c>
      <c r="AA97" t="s">
        <v>1099</v>
      </c>
      <c r="AB97" t="s">
        <v>1100</v>
      </c>
      <c r="AC97" t="s">
        <v>1101</v>
      </c>
      <c r="AG97" t="s">
        <v>123</v>
      </c>
      <c r="AH97" t="s">
        <v>124</v>
      </c>
      <c r="AI97" t="s">
        <v>1102</v>
      </c>
      <c r="AJ97" t="s">
        <v>126</v>
      </c>
      <c r="AK97" t="s">
        <v>127</v>
      </c>
      <c r="AM97" t="s">
        <v>1103</v>
      </c>
      <c r="AN97" t="s">
        <v>1104</v>
      </c>
      <c r="AO97" t="s">
        <v>1105</v>
      </c>
      <c r="AP97" t="s">
        <v>131</v>
      </c>
      <c r="AQ97" t="s">
        <v>132</v>
      </c>
      <c r="AR97" t="s">
        <v>1056</v>
      </c>
      <c r="AS97" t="s">
        <v>1106</v>
      </c>
      <c r="AU97" t="s">
        <v>191</v>
      </c>
      <c r="AV97" t="s">
        <v>1107</v>
      </c>
      <c r="AX97" t="s">
        <v>177</v>
      </c>
      <c r="AY97" t="s">
        <v>138</v>
      </c>
      <c r="AZ97" t="s">
        <v>1108</v>
      </c>
      <c r="BB97" t="s">
        <v>140</v>
      </c>
    </row>
    <row r="98" spans="1:54" x14ac:dyDescent="0.35">
      <c r="A98" t="s">
        <v>1109</v>
      </c>
      <c r="B98" t="s">
        <v>107</v>
      </c>
      <c r="C98" t="s">
        <v>107</v>
      </c>
      <c r="E98" t="s">
        <v>108</v>
      </c>
      <c r="F98" t="s">
        <v>158</v>
      </c>
      <c r="G98" t="s">
        <v>159</v>
      </c>
      <c r="H98" t="s">
        <v>111</v>
      </c>
      <c r="I98" t="s">
        <v>341</v>
      </c>
      <c r="J98" t="s">
        <v>113</v>
      </c>
      <c r="K98" t="s">
        <v>114</v>
      </c>
      <c r="L98" t="s">
        <v>161</v>
      </c>
      <c r="M98" t="s">
        <v>161</v>
      </c>
      <c r="N98" t="s">
        <v>114</v>
      </c>
      <c r="O98" t="s">
        <v>1110</v>
      </c>
      <c r="P98" t="s">
        <v>1111</v>
      </c>
      <c r="Q98" t="s">
        <v>114</v>
      </c>
      <c r="R98" t="s">
        <v>180</v>
      </c>
      <c r="S98" t="s">
        <v>114</v>
      </c>
      <c r="T98" t="s">
        <v>180</v>
      </c>
      <c r="V98" t="s">
        <v>114</v>
      </c>
      <c r="W98" t="s">
        <v>1111</v>
      </c>
      <c r="Y98" t="s">
        <v>1112</v>
      </c>
      <c r="Z98" t="s">
        <v>1113</v>
      </c>
      <c r="AA98" t="s">
        <v>1114</v>
      </c>
      <c r="AB98" t="s">
        <v>1115</v>
      </c>
      <c r="AC98" t="s">
        <v>1113</v>
      </c>
      <c r="AG98" t="s">
        <v>123</v>
      </c>
      <c r="AH98" t="s">
        <v>124</v>
      </c>
      <c r="AI98" t="s">
        <v>1116</v>
      </c>
      <c r="AJ98" t="s">
        <v>126</v>
      </c>
      <c r="AK98" t="s">
        <v>127</v>
      </c>
      <c r="AM98" t="s">
        <v>1117</v>
      </c>
      <c r="AN98" t="s">
        <v>1118</v>
      </c>
      <c r="AO98" t="s">
        <v>1119</v>
      </c>
      <c r="AP98" t="s">
        <v>131</v>
      </c>
      <c r="AQ98" t="s">
        <v>403</v>
      </c>
      <c r="AR98" t="s">
        <v>1120</v>
      </c>
      <c r="AS98" t="s">
        <v>1121</v>
      </c>
      <c r="AU98" t="s">
        <v>190</v>
      </c>
      <c r="AW98" t="s">
        <v>136</v>
      </c>
      <c r="AX98" t="s">
        <v>177</v>
      </c>
      <c r="AY98" t="s">
        <v>138</v>
      </c>
      <c r="AZ98" t="s">
        <v>1122</v>
      </c>
      <c r="BB98" t="s">
        <v>140</v>
      </c>
    </row>
    <row r="99" spans="1:54" x14ac:dyDescent="0.35">
      <c r="A99" t="s">
        <v>1123</v>
      </c>
      <c r="B99" t="s">
        <v>107</v>
      </c>
      <c r="C99" t="s">
        <v>107</v>
      </c>
      <c r="F99" t="s">
        <v>158</v>
      </c>
      <c r="G99" t="s">
        <v>159</v>
      </c>
      <c r="H99" t="s">
        <v>111</v>
      </c>
      <c r="I99" t="s">
        <v>341</v>
      </c>
      <c r="J99" t="s">
        <v>113</v>
      </c>
      <c r="K99" t="s">
        <v>114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V99" t="s">
        <v>114</v>
      </c>
      <c r="W99" t="s">
        <v>114</v>
      </c>
      <c r="Y99" t="s">
        <v>1124</v>
      </c>
      <c r="Z99" t="s">
        <v>1125</v>
      </c>
      <c r="AA99" t="s">
        <v>1126</v>
      </c>
      <c r="AB99" t="s">
        <v>1127</v>
      </c>
      <c r="AC99" t="s">
        <v>1128</v>
      </c>
      <c r="AG99" t="s">
        <v>123</v>
      </c>
      <c r="AH99" t="s">
        <v>124</v>
      </c>
      <c r="AI99" t="s">
        <v>1129</v>
      </c>
      <c r="AJ99" t="s">
        <v>126</v>
      </c>
      <c r="AK99" t="s">
        <v>127</v>
      </c>
      <c r="AM99" t="s">
        <v>1130</v>
      </c>
      <c r="AN99" t="s">
        <v>1131</v>
      </c>
      <c r="AO99" t="s">
        <v>1132</v>
      </c>
      <c r="AP99" t="s">
        <v>131</v>
      </c>
      <c r="AQ99" t="s">
        <v>132</v>
      </c>
      <c r="AR99" t="s">
        <v>1133</v>
      </c>
      <c r="AS99" t="s">
        <v>1134</v>
      </c>
      <c r="AU99" t="s">
        <v>1135</v>
      </c>
      <c r="AX99" t="s">
        <v>177</v>
      </c>
      <c r="AY99" t="s">
        <v>138</v>
      </c>
      <c r="AZ99" t="s">
        <v>1136</v>
      </c>
      <c r="BB99" t="s">
        <v>140</v>
      </c>
    </row>
    <row r="100" spans="1:54" x14ac:dyDescent="0.35">
      <c r="A100" t="s">
        <v>1137</v>
      </c>
      <c r="B100" t="s">
        <v>107</v>
      </c>
      <c r="C100" t="s">
        <v>107</v>
      </c>
      <c r="F100" t="s">
        <v>613</v>
      </c>
      <c r="G100" t="s">
        <v>614</v>
      </c>
      <c r="H100" t="s">
        <v>615</v>
      </c>
      <c r="I100" t="s">
        <v>271</v>
      </c>
      <c r="J100" t="s">
        <v>113</v>
      </c>
      <c r="K100" t="s">
        <v>114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V100" t="s">
        <v>114</v>
      </c>
      <c r="W100" t="s">
        <v>114</v>
      </c>
      <c r="Y100" t="s">
        <v>1138</v>
      </c>
      <c r="Z100" t="s">
        <v>1138</v>
      </c>
      <c r="AA100" t="s">
        <v>1139</v>
      </c>
      <c r="AB100" t="s">
        <v>1140</v>
      </c>
      <c r="AC100" t="s">
        <v>1141</v>
      </c>
      <c r="AG100" t="s">
        <v>123</v>
      </c>
      <c r="AH100" t="s">
        <v>124</v>
      </c>
      <c r="AI100" t="s">
        <v>1142</v>
      </c>
      <c r="AJ100" t="s">
        <v>126</v>
      </c>
      <c r="AK100" t="s">
        <v>127</v>
      </c>
      <c r="AM100" t="s">
        <v>1143</v>
      </c>
      <c r="AN100" t="s">
        <v>1144</v>
      </c>
      <c r="AO100" t="s">
        <v>1145</v>
      </c>
      <c r="AP100" t="s">
        <v>131</v>
      </c>
      <c r="AQ100" t="s">
        <v>132</v>
      </c>
      <c r="AR100" t="s">
        <v>1146</v>
      </c>
      <c r="AS100" t="s">
        <v>1147</v>
      </c>
      <c r="AU100" t="s">
        <v>1148</v>
      </c>
      <c r="AX100" t="s">
        <v>177</v>
      </c>
      <c r="AY100" t="s">
        <v>627</v>
      </c>
      <c r="AZ100" t="s">
        <v>1149</v>
      </c>
      <c r="BB100" t="s">
        <v>140</v>
      </c>
    </row>
    <row r="101" spans="1:54" x14ac:dyDescent="0.35">
      <c r="A101" t="s">
        <v>1150</v>
      </c>
      <c r="B101" t="s">
        <v>107</v>
      </c>
      <c r="C101" t="s">
        <v>107</v>
      </c>
      <c r="E101" t="s">
        <v>108</v>
      </c>
      <c r="F101" t="s">
        <v>158</v>
      </c>
      <c r="G101" t="s">
        <v>159</v>
      </c>
      <c r="H101" t="s">
        <v>111</v>
      </c>
      <c r="I101" t="s">
        <v>341</v>
      </c>
      <c r="J101" t="s">
        <v>113</v>
      </c>
      <c r="K101" t="s">
        <v>114</v>
      </c>
      <c r="L101" t="s">
        <v>161</v>
      </c>
      <c r="M101" t="s">
        <v>161</v>
      </c>
      <c r="N101" t="s">
        <v>994</v>
      </c>
      <c r="O101" t="s">
        <v>1110</v>
      </c>
      <c r="P101" t="s">
        <v>1151</v>
      </c>
      <c r="Q101" t="s">
        <v>114</v>
      </c>
      <c r="R101" t="s">
        <v>180</v>
      </c>
      <c r="S101" t="s">
        <v>114</v>
      </c>
      <c r="T101" t="s">
        <v>180</v>
      </c>
      <c r="V101" t="s">
        <v>114</v>
      </c>
      <c r="W101" t="s">
        <v>1151</v>
      </c>
      <c r="Y101" t="s">
        <v>1152</v>
      </c>
      <c r="Z101" t="s">
        <v>1153</v>
      </c>
      <c r="AA101" t="s">
        <v>1154</v>
      </c>
      <c r="AB101" t="s">
        <v>1155</v>
      </c>
      <c r="AC101" t="s">
        <v>1153</v>
      </c>
      <c r="AG101" t="s">
        <v>123</v>
      </c>
      <c r="AH101" t="s">
        <v>124</v>
      </c>
      <c r="AI101" t="s">
        <v>1156</v>
      </c>
      <c r="AJ101" t="s">
        <v>126</v>
      </c>
      <c r="AK101" t="s">
        <v>127</v>
      </c>
      <c r="AM101" t="s">
        <v>1157</v>
      </c>
      <c r="AN101" t="s">
        <v>852</v>
      </c>
      <c r="AO101" t="s">
        <v>1158</v>
      </c>
      <c r="AP101" t="s">
        <v>131</v>
      </c>
      <c r="AQ101" t="s">
        <v>132</v>
      </c>
      <c r="AR101" t="s">
        <v>743</v>
      </c>
      <c r="AS101" t="s">
        <v>1159</v>
      </c>
      <c r="AU101" t="s">
        <v>1107</v>
      </c>
      <c r="AV101" t="s">
        <v>191</v>
      </c>
      <c r="AW101" t="s">
        <v>136</v>
      </c>
      <c r="AX101" t="s">
        <v>177</v>
      </c>
      <c r="AY101" t="s">
        <v>138</v>
      </c>
      <c r="AZ101" t="s">
        <v>1160</v>
      </c>
      <c r="BB101" t="s">
        <v>140</v>
      </c>
    </row>
    <row r="102" spans="1:54" x14ac:dyDescent="0.35">
      <c r="A102" t="s">
        <v>1161</v>
      </c>
      <c r="B102" t="s">
        <v>107</v>
      </c>
      <c r="C102" t="s">
        <v>107</v>
      </c>
      <c r="E102" t="s">
        <v>108</v>
      </c>
      <c r="F102" t="s">
        <v>158</v>
      </c>
      <c r="G102" t="s">
        <v>159</v>
      </c>
      <c r="H102" t="s">
        <v>111</v>
      </c>
      <c r="I102" t="s">
        <v>341</v>
      </c>
      <c r="J102" t="s">
        <v>113</v>
      </c>
      <c r="K102" t="s">
        <v>114</v>
      </c>
      <c r="L102" t="s">
        <v>161</v>
      </c>
      <c r="M102" t="s">
        <v>161</v>
      </c>
      <c r="N102" t="s">
        <v>114</v>
      </c>
      <c r="O102" t="s">
        <v>1110</v>
      </c>
      <c r="P102" t="s">
        <v>1111</v>
      </c>
      <c r="Q102" t="s">
        <v>114</v>
      </c>
      <c r="R102" t="s">
        <v>180</v>
      </c>
      <c r="S102" t="s">
        <v>114</v>
      </c>
      <c r="T102" t="s">
        <v>180</v>
      </c>
      <c r="V102" t="s">
        <v>114</v>
      </c>
      <c r="W102" t="s">
        <v>1111</v>
      </c>
      <c r="Y102" t="s">
        <v>1162</v>
      </c>
      <c r="Z102" t="s">
        <v>1163</v>
      </c>
      <c r="AA102" t="s">
        <v>1164</v>
      </c>
      <c r="AB102" t="s">
        <v>1165</v>
      </c>
      <c r="AC102" t="s">
        <v>1163</v>
      </c>
      <c r="AG102" t="s">
        <v>123</v>
      </c>
      <c r="AH102" t="s">
        <v>124</v>
      </c>
      <c r="AI102" t="s">
        <v>1166</v>
      </c>
      <c r="AJ102" t="s">
        <v>126</v>
      </c>
      <c r="AK102" t="s">
        <v>127</v>
      </c>
      <c r="AM102" t="s">
        <v>1167</v>
      </c>
      <c r="AN102" t="s">
        <v>1168</v>
      </c>
      <c r="AO102" t="s">
        <v>1169</v>
      </c>
      <c r="AP102" t="s">
        <v>131</v>
      </c>
      <c r="AQ102" t="s">
        <v>132</v>
      </c>
      <c r="AR102" t="s">
        <v>202</v>
      </c>
      <c r="AS102" t="s">
        <v>1170</v>
      </c>
      <c r="AU102" t="s">
        <v>625</v>
      </c>
      <c r="AV102" t="s">
        <v>300</v>
      </c>
      <c r="AW102" t="s">
        <v>136</v>
      </c>
      <c r="AX102" t="s">
        <v>177</v>
      </c>
      <c r="AY102" t="s">
        <v>138</v>
      </c>
      <c r="AZ102" t="s">
        <v>1171</v>
      </c>
      <c r="BB102" t="s">
        <v>140</v>
      </c>
    </row>
    <row r="103" spans="1:54" x14ac:dyDescent="0.35">
      <c r="A103" t="s">
        <v>1172</v>
      </c>
      <c r="B103" t="s">
        <v>107</v>
      </c>
      <c r="C103" t="s">
        <v>107</v>
      </c>
      <c r="E103" t="s">
        <v>108</v>
      </c>
      <c r="F103" t="s">
        <v>158</v>
      </c>
      <c r="G103" t="s">
        <v>159</v>
      </c>
      <c r="H103" t="s">
        <v>111</v>
      </c>
      <c r="I103" t="s">
        <v>341</v>
      </c>
      <c r="J103" t="s">
        <v>113</v>
      </c>
      <c r="K103" t="s">
        <v>114</v>
      </c>
      <c r="L103" t="s">
        <v>161</v>
      </c>
      <c r="M103" t="s">
        <v>161</v>
      </c>
      <c r="N103" t="s">
        <v>994</v>
      </c>
      <c r="O103" t="s">
        <v>1110</v>
      </c>
      <c r="P103" t="s">
        <v>1151</v>
      </c>
      <c r="Q103" t="s">
        <v>114</v>
      </c>
      <c r="R103" t="s">
        <v>180</v>
      </c>
      <c r="S103" t="s">
        <v>114</v>
      </c>
      <c r="T103" t="s">
        <v>180</v>
      </c>
      <c r="V103" t="s">
        <v>114</v>
      </c>
      <c r="W103" t="s">
        <v>1151</v>
      </c>
      <c r="Y103" t="s">
        <v>1173</v>
      </c>
      <c r="Z103" t="s">
        <v>1174</v>
      </c>
      <c r="AA103" t="s">
        <v>1175</v>
      </c>
      <c r="AB103" t="s">
        <v>1176</v>
      </c>
      <c r="AC103" t="s">
        <v>1174</v>
      </c>
      <c r="AG103" t="s">
        <v>123</v>
      </c>
      <c r="AH103" t="s">
        <v>124</v>
      </c>
      <c r="AI103" t="s">
        <v>1177</v>
      </c>
      <c r="AJ103" t="s">
        <v>126</v>
      </c>
      <c r="AK103" t="s">
        <v>127</v>
      </c>
      <c r="AM103" t="s">
        <v>1178</v>
      </c>
      <c r="AN103" t="s">
        <v>1179</v>
      </c>
      <c r="AO103" t="s">
        <v>1180</v>
      </c>
      <c r="AP103" t="s">
        <v>131</v>
      </c>
      <c r="AQ103" t="s">
        <v>132</v>
      </c>
      <c r="AR103" t="s">
        <v>1181</v>
      </c>
      <c r="AS103" t="s">
        <v>1182</v>
      </c>
      <c r="AU103" t="s">
        <v>1183</v>
      </c>
      <c r="AW103" t="s">
        <v>136</v>
      </c>
      <c r="AX103" t="s">
        <v>177</v>
      </c>
      <c r="AY103" t="s">
        <v>138</v>
      </c>
      <c r="AZ103" t="s">
        <v>1184</v>
      </c>
      <c r="BB103" t="s">
        <v>140</v>
      </c>
    </row>
    <row r="104" spans="1:54" x14ac:dyDescent="0.35">
      <c r="A104" t="s">
        <v>1185</v>
      </c>
      <c r="B104" t="s">
        <v>107</v>
      </c>
      <c r="C104" t="s">
        <v>107</v>
      </c>
      <c r="E104" t="s">
        <v>108</v>
      </c>
      <c r="F104" t="s">
        <v>158</v>
      </c>
      <c r="G104" t="s">
        <v>159</v>
      </c>
      <c r="H104" t="s">
        <v>111</v>
      </c>
      <c r="I104" t="s">
        <v>341</v>
      </c>
      <c r="J104" t="s">
        <v>113</v>
      </c>
      <c r="K104" t="s">
        <v>114</v>
      </c>
      <c r="L104" t="s">
        <v>161</v>
      </c>
      <c r="M104" t="s">
        <v>161</v>
      </c>
      <c r="N104" t="s">
        <v>114</v>
      </c>
      <c r="O104" t="s">
        <v>1110</v>
      </c>
      <c r="P104" t="s">
        <v>1111</v>
      </c>
      <c r="Q104" t="s">
        <v>114</v>
      </c>
      <c r="R104" t="s">
        <v>180</v>
      </c>
      <c r="S104" t="s">
        <v>114</v>
      </c>
      <c r="T104" t="s">
        <v>180</v>
      </c>
      <c r="V104" t="s">
        <v>114</v>
      </c>
      <c r="W104" t="s">
        <v>1111</v>
      </c>
      <c r="Y104" t="s">
        <v>1186</v>
      </c>
      <c r="Z104" t="s">
        <v>1187</v>
      </c>
      <c r="AA104" t="s">
        <v>1188</v>
      </c>
      <c r="AB104" t="s">
        <v>1189</v>
      </c>
      <c r="AC104" t="s">
        <v>1187</v>
      </c>
      <c r="AG104" t="s">
        <v>123</v>
      </c>
      <c r="AH104" t="s">
        <v>124</v>
      </c>
      <c r="AI104" t="s">
        <v>1190</v>
      </c>
      <c r="AJ104" t="s">
        <v>126</v>
      </c>
      <c r="AK104" t="s">
        <v>127</v>
      </c>
      <c r="AM104" t="s">
        <v>1191</v>
      </c>
      <c r="AN104" t="s">
        <v>1192</v>
      </c>
      <c r="AO104" t="s">
        <v>1193</v>
      </c>
      <c r="AP104" t="s">
        <v>131</v>
      </c>
      <c r="AQ104" t="s">
        <v>132</v>
      </c>
      <c r="AR104" t="s">
        <v>284</v>
      </c>
      <c r="AS104" t="s">
        <v>1194</v>
      </c>
      <c r="AU104" t="s">
        <v>1195</v>
      </c>
      <c r="AW104" t="s">
        <v>136</v>
      </c>
      <c r="AX104" t="s">
        <v>177</v>
      </c>
      <c r="AY104" t="s">
        <v>138</v>
      </c>
      <c r="AZ104" t="s">
        <v>1196</v>
      </c>
      <c r="BB104" t="s">
        <v>140</v>
      </c>
    </row>
    <row r="105" spans="1:54" x14ac:dyDescent="0.35">
      <c r="A105" t="s">
        <v>1197</v>
      </c>
      <c r="B105" t="s">
        <v>107</v>
      </c>
      <c r="C105" t="s">
        <v>107</v>
      </c>
      <c r="E105" t="s">
        <v>108</v>
      </c>
      <c r="F105" t="s">
        <v>158</v>
      </c>
      <c r="G105" t="s">
        <v>159</v>
      </c>
      <c r="H105" t="s">
        <v>111</v>
      </c>
      <c r="I105" t="s">
        <v>341</v>
      </c>
      <c r="J105" t="s">
        <v>113</v>
      </c>
      <c r="K105" t="s">
        <v>114</v>
      </c>
      <c r="L105" t="s">
        <v>161</v>
      </c>
      <c r="M105" t="s">
        <v>161</v>
      </c>
      <c r="N105" t="s">
        <v>994</v>
      </c>
      <c r="O105" t="s">
        <v>1110</v>
      </c>
      <c r="P105" t="s">
        <v>1151</v>
      </c>
      <c r="Q105" t="s">
        <v>114</v>
      </c>
      <c r="R105" t="s">
        <v>142</v>
      </c>
      <c r="S105" t="s">
        <v>114</v>
      </c>
      <c r="T105" t="s">
        <v>142</v>
      </c>
      <c r="V105" t="s">
        <v>114</v>
      </c>
      <c r="W105" t="s">
        <v>1151</v>
      </c>
      <c r="Y105" t="s">
        <v>1198</v>
      </c>
      <c r="Z105" t="s">
        <v>1199</v>
      </c>
      <c r="AA105" t="s">
        <v>1200</v>
      </c>
      <c r="AB105" t="s">
        <v>1189</v>
      </c>
      <c r="AC105" t="s">
        <v>1199</v>
      </c>
      <c r="AG105" t="s">
        <v>123</v>
      </c>
      <c r="AH105" t="s">
        <v>124</v>
      </c>
      <c r="AI105" t="s">
        <v>1201</v>
      </c>
      <c r="AJ105" t="s">
        <v>126</v>
      </c>
      <c r="AK105" t="s">
        <v>127</v>
      </c>
      <c r="AM105" t="s">
        <v>1202</v>
      </c>
      <c r="AN105" t="s">
        <v>556</v>
      </c>
      <c r="AO105" t="s">
        <v>1203</v>
      </c>
      <c r="AP105" t="s">
        <v>131</v>
      </c>
      <c r="AQ105" t="s">
        <v>132</v>
      </c>
      <c r="AR105" t="s">
        <v>466</v>
      </c>
      <c r="AS105" t="s">
        <v>821</v>
      </c>
      <c r="AU105" t="s">
        <v>1195</v>
      </c>
      <c r="AW105" t="s">
        <v>136</v>
      </c>
      <c r="AX105" t="s">
        <v>177</v>
      </c>
      <c r="AY105" t="s">
        <v>138</v>
      </c>
      <c r="AZ105" t="s">
        <v>1204</v>
      </c>
      <c r="BB105" t="s">
        <v>140</v>
      </c>
    </row>
    <row r="106" spans="1:54" x14ac:dyDescent="0.35">
      <c r="A106" t="s">
        <v>1205</v>
      </c>
      <c r="B106" t="s">
        <v>107</v>
      </c>
      <c r="C106" t="s">
        <v>107</v>
      </c>
      <c r="E106" t="s">
        <v>108</v>
      </c>
      <c r="F106" t="s">
        <v>158</v>
      </c>
      <c r="G106" t="s">
        <v>159</v>
      </c>
      <c r="H106" t="s">
        <v>111</v>
      </c>
      <c r="I106" t="s">
        <v>341</v>
      </c>
      <c r="J106" t="s">
        <v>113</v>
      </c>
      <c r="K106" t="s">
        <v>114</v>
      </c>
      <c r="L106" t="s">
        <v>161</v>
      </c>
      <c r="M106" t="s">
        <v>161</v>
      </c>
      <c r="N106" t="s">
        <v>162</v>
      </c>
      <c r="O106" t="s">
        <v>1110</v>
      </c>
      <c r="P106" t="s">
        <v>1206</v>
      </c>
      <c r="Q106" t="s">
        <v>114</v>
      </c>
      <c r="R106" t="s">
        <v>142</v>
      </c>
      <c r="S106" t="s">
        <v>114</v>
      </c>
      <c r="T106" t="s">
        <v>142</v>
      </c>
      <c r="V106" t="s">
        <v>114</v>
      </c>
      <c r="W106" t="s">
        <v>1206</v>
      </c>
      <c r="Y106" t="s">
        <v>1207</v>
      </c>
      <c r="Z106" t="s">
        <v>1208</v>
      </c>
      <c r="AA106" t="s">
        <v>1209</v>
      </c>
      <c r="AB106" t="s">
        <v>1210</v>
      </c>
      <c r="AC106" t="s">
        <v>1211</v>
      </c>
      <c r="AG106" t="s">
        <v>123</v>
      </c>
      <c r="AH106" t="s">
        <v>124</v>
      </c>
      <c r="AI106" t="s">
        <v>1212</v>
      </c>
      <c r="AJ106" t="s">
        <v>126</v>
      </c>
      <c r="AK106" t="s">
        <v>127</v>
      </c>
      <c r="AM106" t="s">
        <v>1213</v>
      </c>
      <c r="AN106" t="s">
        <v>1214</v>
      </c>
      <c r="AO106" t="s">
        <v>1215</v>
      </c>
      <c r="AP106" t="s">
        <v>131</v>
      </c>
      <c r="AQ106" t="s">
        <v>132</v>
      </c>
      <c r="AR106" t="s">
        <v>466</v>
      </c>
      <c r="AS106" t="s">
        <v>467</v>
      </c>
      <c r="AU106" t="s">
        <v>1216</v>
      </c>
      <c r="AW106" t="s">
        <v>155</v>
      </c>
      <c r="AX106" t="s">
        <v>177</v>
      </c>
      <c r="AY106" t="s">
        <v>138</v>
      </c>
      <c r="AZ106" t="s">
        <v>1217</v>
      </c>
      <c r="BB106" t="s">
        <v>140</v>
      </c>
    </row>
    <row r="107" spans="1:54" x14ac:dyDescent="0.35">
      <c r="A107" t="s">
        <v>1218</v>
      </c>
      <c r="B107" t="s">
        <v>107</v>
      </c>
      <c r="C107" t="s">
        <v>107</v>
      </c>
      <c r="E107" t="s">
        <v>108</v>
      </c>
      <c r="F107" t="s">
        <v>158</v>
      </c>
      <c r="G107" t="s">
        <v>159</v>
      </c>
      <c r="H107" t="s">
        <v>111</v>
      </c>
      <c r="I107" t="s">
        <v>341</v>
      </c>
      <c r="J107" t="s">
        <v>113</v>
      </c>
      <c r="K107" t="s">
        <v>114</v>
      </c>
      <c r="L107" t="s">
        <v>161</v>
      </c>
      <c r="M107" t="s">
        <v>161</v>
      </c>
      <c r="N107" t="s">
        <v>1219</v>
      </c>
      <c r="O107" t="s">
        <v>1110</v>
      </c>
      <c r="P107" t="s">
        <v>1220</v>
      </c>
      <c r="Q107" t="s">
        <v>1221</v>
      </c>
      <c r="R107" t="s">
        <v>118</v>
      </c>
      <c r="S107" t="s">
        <v>114</v>
      </c>
      <c r="T107" t="s">
        <v>1222</v>
      </c>
      <c r="V107" t="s">
        <v>114</v>
      </c>
      <c r="W107" t="s">
        <v>1223</v>
      </c>
      <c r="Y107" t="s">
        <v>1224</v>
      </c>
      <c r="Z107" t="s">
        <v>1225</v>
      </c>
      <c r="AA107" t="s">
        <v>1226</v>
      </c>
      <c r="AB107" t="s">
        <v>1227</v>
      </c>
      <c r="AC107" t="s">
        <v>1225</v>
      </c>
      <c r="AG107" t="s">
        <v>123</v>
      </c>
      <c r="AH107" t="s">
        <v>124</v>
      </c>
      <c r="AI107" t="s">
        <v>1228</v>
      </c>
      <c r="AJ107" t="s">
        <v>126</v>
      </c>
      <c r="AK107" t="s">
        <v>127</v>
      </c>
      <c r="AM107" t="s">
        <v>1229</v>
      </c>
      <c r="AN107" t="s">
        <v>1230</v>
      </c>
      <c r="AO107" t="s">
        <v>1231</v>
      </c>
      <c r="AP107" t="s">
        <v>131</v>
      </c>
      <c r="AQ107" t="s">
        <v>132</v>
      </c>
      <c r="AR107" t="s">
        <v>796</v>
      </c>
      <c r="AS107" t="s">
        <v>1232</v>
      </c>
      <c r="AU107" t="s">
        <v>175</v>
      </c>
      <c r="AW107" t="s">
        <v>136</v>
      </c>
      <c r="AX107" t="s">
        <v>177</v>
      </c>
      <c r="AY107" t="s">
        <v>138</v>
      </c>
      <c r="AZ107" t="s">
        <v>1233</v>
      </c>
      <c r="BB107" t="s">
        <v>140</v>
      </c>
    </row>
    <row r="108" spans="1:54" x14ac:dyDescent="0.35">
      <c r="A108" t="s">
        <v>1234</v>
      </c>
      <c r="B108" t="s">
        <v>107</v>
      </c>
      <c r="C108" t="s">
        <v>107</v>
      </c>
      <c r="E108" t="s">
        <v>108</v>
      </c>
      <c r="F108" t="s">
        <v>158</v>
      </c>
      <c r="G108" t="s">
        <v>159</v>
      </c>
      <c r="H108" t="s">
        <v>111</v>
      </c>
      <c r="I108" t="s">
        <v>341</v>
      </c>
      <c r="J108" t="s">
        <v>113</v>
      </c>
      <c r="K108" t="s">
        <v>114</v>
      </c>
      <c r="L108" t="s">
        <v>161</v>
      </c>
      <c r="M108" t="s">
        <v>161</v>
      </c>
      <c r="N108" t="s">
        <v>994</v>
      </c>
      <c r="O108" t="s">
        <v>1110</v>
      </c>
      <c r="P108" t="s">
        <v>1151</v>
      </c>
      <c r="Q108" t="s">
        <v>1221</v>
      </c>
      <c r="R108" t="s">
        <v>118</v>
      </c>
      <c r="S108" t="s">
        <v>114</v>
      </c>
      <c r="T108" t="s">
        <v>1222</v>
      </c>
      <c r="V108" t="s">
        <v>114</v>
      </c>
      <c r="W108" t="s">
        <v>1235</v>
      </c>
      <c r="Y108" t="s">
        <v>1236</v>
      </c>
      <c r="Z108" t="s">
        <v>1237</v>
      </c>
      <c r="AA108" t="s">
        <v>1238</v>
      </c>
      <c r="AB108" t="s">
        <v>1239</v>
      </c>
      <c r="AC108" t="s">
        <v>1237</v>
      </c>
      <c r="AG108" t="s">
        <v>123</v>
      </c>
      <c r="AH108" t="s">
        <v>124</v>
      </c>
      <c r="AI108" t="s">
        <v>1240</v>
      </c>
      <c r="AJ108" t="s">
        <v>126</v>
      </c>
      <c r="AK108" t="s">
        <v>127</v>
      </c>
      <c r="AM108" t="s">
        <v>1229</v>
      </c>
      <c r="AN108" t="s">
        <v>1230</v>
      </c>
      <c r="AO108" t="s">
        <v>1231</v>
      </c>
      <c r="AP108" t="s">
        <v>131</v>
      </c>
      <c r="AQ108" t="s">
        <v>132</v>
      </c>
      <c r="AR108" t="s">
        <v>796</v>
      </c>
      <c r="AS108" t="s">
        <v>1232</v>
      </c>
      <c r="AU108" t="s">
        <v>175</v>
      </c>
      <c r="AW108" t="s">
        <v>136</v>
      </c>
      <c r="AX108" t="s">
        <v>177</v>
      </c>
      <c r="AY108" t="s">
        <v>138</v>
      </c>
      <c r="AZ108" t="s">
        <v>1241</v>
      </c>
      <c r="BB108" t="s">
        <v>140</v>
      </c>
    </row>
    <row r="109" spans="1:54" x14ac:dyDescent="0.35">
      <c r="A109" t="s">
        <v>1242</v>
      </c>
      <c r="B109" t="s">
        <v>107</v>
      </c>
      <c r="C109" t="s">
        <v>107</v>
      </c>
      <c r="E109" t="s">
        <v>108</v>
      </c>
      <c r="F109" t="s">
        <v>158</v>
      </c>
      <c r="G109" t="s">
        <v>159</v>
      </c>
      <c r="H109" t="s">
        <v>111</v>
      </c>
      <c r="I109" t="s">
        <v>341</v>
      </c>
      <c r="J109" t="s">
        <v>113</v>
      </c>
      <c r="K109" t="s">
        <v>114</v>
      </c>
      <c r="L109" t="s">
        <v>161</v>
      </c>
      <c r="M109" t="s">
        <v>161</v>
      </c>
      <c r="N109" t="s">
        <v>114</v>
      </c>
      <c r="O109" t="s">
        <v>1110</v>
      </c>
      <c r="P109" t="s">
        <v>1111</v>
      </c>
      <c r="Q109" t="s">
        <v>114</v>
      </c>
      <c r="R109" t="s">
        <v>1243</v>
      </c>
      <c r="S109" t="s">
        <v>114</v>
      </c>
      <c r="T109" t="s">
        <v>1243</v>
      </c>
      <c r="V109" t="s">
        <v>114</v>
      </c>
      <c r="W109" t="s">
        <v>1111</v>
      </c>
      <c r="Y109" t="s">
        <v>1244</v>
      </c>
      <c r="Z109" t="s">
        <v>1245</v>
      </c>
      <c r="AA109" t="s">
        <v>1246</v>
      </c>
      <c r="AB109" t="s">
        <v>1247</v>
      </c>
      <c r="AC109" t="s">
        <v>1245</v>
      </c>
      <c r="AG109" t="s">
        <v>123</v>
      </c>
      <c r="AH109" t="s">
        <v>124</v>
      </c>
      <c r="AI109" t="s">
        <v>1248</v>
      </c>
      <c r="AJ109" t="s">
        <v>126</v>
      </c>
      <c r="AK109" t="s">
        <v>127</v>
      </c>
      <c r="AM109" t="s">
        <v>1249</v>
      </c>
      <c r="AN109" t="s">
        <v>1250</v>
      </c>
      <c r="AO109" t="s">
        <v>1251</v>
      </c>
      <c r="AP109" t="s">
        <v>131</v>
      </c>
      <c r="AQ109" t="s">
        <v>132</v>
      </c>
      <c r="AR109" t="s">
        <v>284</v>
      </c>
      <c r="AS109" t="s">
        <v>1252</v>
      </c>
      <c r="AU109" t="s">
        <v>1072</v>
      </c>
      <c r="AW109" t="s">
        <v>136</v>
      </c>
      <c r="AX109" t="s">
        <v>177</v>
      </c>
      <c r="AY109" t="s">
        <v>138</v>
      </c>
      <c r="AZ109" t="s">
        <v>1253</v>
      </c>
      <c r="BB109" t="s">
        <v>140</v>
      </c>
    </row>
    <row r="110" spans="1:54" x14ac:dyDescent="0.35">
      <c r="A110" t="s">
        <v>1254</v>
      </c>
      <c r="B110" t="s">
        <v>107</v>
      </c>
      <c r="C110" t="s">
        <v>107</v>
      </c>
      <c r="E110" t="s">
        <v>108</v>
      </c>
      <c r="F110" t="s">
        <v>158</v>
      </c>
      <c r="G110" t="s">
        <v>159</v>
      </c>
      <c r="H110" t="s">
        <v>111</v>
      </c>
      <c r="I110" t="s">
        <v>341</v>
      </c>
      <c r="J110" t="s">
        <v>113</v>
      </c>
      <c r="K110" t="s">
        <v>114</v>
      </c>
      <c r="L110" t="s">
        <v>161</v>
      </c>
      <c r="M110" t="s">
        <v>161</v>
      </c>
      <c r="N110" t="s">
        <v>1255</v>
      </c>
      <c r="O110" t="s">
        <v>1110</v>
      </c>
      <c r="P110" t="s">
        <v>1256</v>
      </c>
      <c r="Q110" t="s">
        <v>180</v>
      </c>
      <c r="R110" t="s">
        <v>180</v>
      </c>
      <c r="S110" t="s">
        <v>114</v>
      </c>
      <c r="T110" t="s">
        <v>114</v>
      </c>
      <c r="V110" t="s">
        <v>114</v>
      </c>
      <c r="W110" t="s">
        <v>1257</v>
      </c>
      <c r="Y110" t="s">
        <v>1258</v>
      </c>
      <c r="Z110" t="s">
        <v>1259</v>
      </c>
      <c r="AA110" t="s">
        <v>1260</v>
      </c>
      <c r="AB110" t="s">
        <v>1261</v>
      </c>
      <c r="AC110" t="s">
        <v>1262</v>
      </c>
      <c r="AG110" t="s">
        <v>123</v>
      </c>
      <c r="AH110" t="s">
        <v>124</v>
      </c>
      <c r="AI110" t="s">
        <v>1263</v>
      </c>
      <c r="AJ110" t="s">
        <v>126</v>
      </c>
      <c r="AK110" t="s">
        <v>127</v>
      </c>
      <c r="AM110" t="s">
        <v>1264</v>
      </c>
      <c r="AN110" t="s">
        <v>1265</v>
      </c>
      <c r="AO110" t="s">
        <v>1266</v>
      </c>
      <c r="AP110" t="s">
        <v>131</v>
      </c>
      <c r="AQ110" t="s">
        <v>132</v>
      </c>
      <c r="AR110" t="s">
        <v>1267</v>
      </c>
      <c r="AS110" t="s">
        <v>1268</v>
      </c>
      <c r="AU110" t="s">
        <v>190</v>
      </c>
      <c r="AV110" t="s">
        <v>585</v>
      </c>
      <c r="AW110" t="s">
        <v>1269</v>
      </c>
      <c r="AX110" t="s">
        <v>177</v>
      </c>
      <c r="AY110" t="s">
        <v>138</v>
      </c>
      <c r="AZ110" t="s">
        <v>1270</v>
      </c>
      <c r="BB110" t="s">
        <v>140</v>
      </c>
    </row>
    <row r="111" spans="1:54" x14ac:dyDescent="0.35">
      <c r="A111" t="s">
        <v>1271</v>
      </c>
      <c r="B111" t="s">
        <v>107</v>
      </c>
      <c r="C111" t="s">
        <v>107</v>
      </c>
      <c r="E111" t="s">
        <v>108</v>
      </c>
      <c r="F111" t="s">
        <v>499</v>
      </c>
      <c r="G111" t="s">
        <v>500</v>
      </c>
      <c r="H111" t="s">
        <v>501</v>
      </c>
      <c r="I111" t="s">
        <v>341</v>
      </c>
      <c r="J111" t="s">
        <v>113</v>
      </c>
      <c r="K111" t="s">
        <v>114</v>
      </c>
      <c r="L111" t="s">
        <v>502</v>
      </c>
      <c r="M111" t="s">
        <v>502</v>
      </c>
      <c r="N111" t="s">
        <v>114</v>
      </c>
      <c r="O111" t="s">
        <v>504</v>
      </c>
      <c r="P111" t="s">
        <v>895</v>
      </c>
      <c r="Q111" t="s">
        <v>114</v>
      </c>
      <c r="R111" t="s">
        <v>180</v>
      </c>
      <c r="S111" t="s">
        <v>114</v>
      </c>
      <c r="T111" t="s">
        <v>180</v>
      </c>
      <c r="V111" t="s">
        <v>114</v>
      </c>
      <c r="W111" t="s">
        <v>895</v>
      </c>
      <c r="Y111" t="s">
        <v>1272</v>
      </c>
      <c r="Z111" t="s">
        <v>1273</v>
      </c>
      <c r="AA111" t="s">
        <v>1274</v>
      </c>
      <c r="AB111" t="s">
        <v>1275</v>
      </c>
      <c r="AC111" t="s">
        <v>1273</v>
      </c>
      <c r="AG111" t="s">
        <v>123</v>
      </c>
      <c r="AH111" t="s">
        <v>124</v>
      </c>
      <c r="AI111" t="s">
        <v>1276</v>
      </c>
      <c r="AJ111" t="s">
        <v>126</v>
      </c>
      <c r="AK111" t="s">
        <v>127</v>
      </c>
      <c r="AM111" t="s">
        <v>1277</v>
      </c>
      <c r="AN111" t="s">
        <v>1278</v>
      </c>
      <c r="AO111" t="s">
        <v>1279</v>
      </c>
      <c r="AP111" t="s">
        <v>131</v>
      </c>
      <c r="AQ111" t="s">
        <v>132</v>
      </c>
      <c r="AR111" t="s">
        <v>1280</v>
      </c>
      <c r="AS111" t="s">
        <v>1281</v>
      </c>
      <c r="AU111" t="s">
        <v>1095</v>
      </c>
      <c r="AV111" t="s">
        <v>1148</v>
      </c>
      <c r="AW111" t="s">
        <v>136</v>
      </c>
      <c r="AX111" t="s">
        <v>177</v>
      </c>
      <c r="AY111" t="s">
        <v>517</v>
      </c>
      <c r="AZ111" t="s">
        <v>1282</v>
      </c>
      <c r="BB111" t="s">
        <v>140</v>
      </c>
    </row>
    <row r="112" spans="1:54" x14ac:dyDescent="0.35">
      <c r="A112" t="s">
        <v>1283</v>
      </c>
      <c r="B112" t="s">
        <v>107</v>
      </c>
      <c r="C112" t="s">
        <v>107</v>
      </c>
      <c r="E112" t="s">
        <v>108</v>
      </c>
      <c r="F112" t="s">
        <v>158</v>
      </c>
      <c r="G112" t="s">
        <v>159</v>
      </c>
      <c r="H112" t="s">
        <v>111</v>
      </c>
      <c r="I112" t="s">
        <v>341</v>
      </c>
      <c r="J112" t="s">
        <v>113</v>
      </c>
      <c r="K112" t="s">
        <v>114</v>
      </c>
      <c r="L112" t="s">
        <v>161</v>
      </c>
      <c r="M112" t="s">
        <v>161</v>
      </c>
      <c r="N112" t="s">
        <v>994</v>
      </c>
      <c r="O112" t="s">
        <v>1110</v>
      </c>
      <c r="P112" t="s">
        <v>1151</v>
      </c>
      <c r="Q112" t="s">
        <v>114</v>
      </c>
      <c r="R112" t="s">
        <v>180</v>
      </c>
      <c r="S112" t="s">
        <v>114</v>
      </c>
      <c r="T112" t="s">
        <v>180</v>
      </c>
      <c r="V112" t="s">
        <v>114</v>
      </c>
      <c r="W112" t="s">
        <v>1151</v>
      </c>
      <c r="Y112" t="s">
        <v>1284</v>
      </c>
      <c r="Z112" t="s">
        <v>1285</v>
      </c>
      <c r="AA112" t="s">
        <v>1286</v>
      </c>
      <c r="AB112" t="s">
        <v>1287</v>
      </c>
      <c r="AC112" t="s">
        <v>1285</v>
      </c>
      <c r="AG112" t="s">
        <v>123</v>
      </c>
      <c r="AH112" t="s">
        <v>124</v>
      </c>
      <c r="AI112" t="s">
        <v>1288</v>
      </c>
      <c r="AJ112" t="s">
        <v>126</v>
      </c>
      <c r="AK112" t="s">
        <v>127</v>
      </c>
      <c r="AM112" t="s">
        <v>1289</v>
      </c>
      <c r="AN112" t="s">
        <v>1290</v>
      </c>
      <c r="AO112" t="s">
        <v>1291</v>
      </c>
      <c r="AP112" t="s">
        <v>131</v>
      </c>
      <c r="AQ112" t="s">
        <v>132</v>
      </c>
      <c r="AR112" t="s">
        <v>404</v>
      </c>
      <c r="AS112" t="s">
        <v>1292</v>
      </c>
      <c r="AU112" t="s">
        <v>236</v>
      </c>
      <c r="AW112" t="s">
        <v>136</v>
      </c>
      <c r="AX112" t="s">
        <v>177</v>
      </c>
      <c r="AY112" t="s">
        <v>138</v>
      </c>
      <c r="AZ112" t="s">
        <v>1293</v>
      </c>
      <c r="BB112" t="s">
        <v>140</v>
      </c>
    </row>
    <row r="113" spans="1:54" x14ac:dyDescent="0.35">
      <c r="A113" t="s">
        <v>1294</v>
      </c>
      <c r="B113" t="s">
        <v>107</v>
      </c>
      <c r="C113" t="s">
        <v>107</v>
      </c>
      <c r="E113" t="s">
        <v>108</v>
      </c>
      <c r="F113" t="s">
        <v>338</v>
      </c>
      <c r="G113" t="s">
        <v>339</v>
      </c>
      <c r="H113" t="s">
        <v>340</v>
      </c>
      <c r="I113" t="s">
        <v>341</v>
      </c>
      <c r="J113" t="s">
        <v>113</v>
      </c>
      <c r="K113" t="s">
        <v>114</v>
      </c>
      <c r="L113" t="s">
        <v>114</v>
      </c>
      <c r="M113" t="s">
        <v>114</v>
      </c>
      <c r="N113" t="s">
        <v>114</v>
      </c>
      <c r="O113" t="s">
        <v>114</v>
      </c>
      <c r="P113" t="s">
        <v>114</v>
      </c>
      <c r="Q113" t="s">
        <v>1295</v>
      </c>
      <c r="R113" t="s">
        <v>1296</v>
      </c>
      <c r="S113" t="s">
        <v>114</v>
      </c>
      <c r="T113" t="s">
        <v>1297</v>
      </c>
      <c r="V113" t="s">
        <v>114</v>
      </c>
      <c r="W113" t="s">
        <v>1298</v>
      </c>
      <c r="Y113" t="s">
        <v>1299</v>
      </c>
      <c r="Z113" t="s">
        <v>1300</v>
      </c>
      <c r="AA113" t="s">
        <v>1301</v>
      </c>
      <c r="AB113" t="s">
        <v>1302</v>
      </c>
      <c r="AC113" t="s">
        <v>1300</v>
      </c>
      <c r="AG113" t="s">
        <v>123</v>
      </c>
      <c r="AH113" t="s">
        <v>124</v>
      </c>
      <c r="AI113" t="s">
        <v>1303</v>
      </c>
      <c r="AJ113" t="s">
        <v>126</v>
      </c>
      <c r="AK113" t="s">
        <v>127</v>
      </c>
      <c r="AM113" t="s">
        <v>1304</v>
      </c>
      <c r="AN113" t="s">
        <v>1305</v>
      </c>
      <c r="AO113" t="s">
        <v>1306</v>
      </c>
      <c r="AP113" t="s">
        <v>131</v>
      </c>
      <c r="AQ113" t="s">
        <v>132</v>
      </c>
      <c r="AR113" t="s">
        <v>1120</v>
      </c>
      <c r="AS113" t="s">
        <v>1307</v>
      </c>
      <c r="AU113" t="s">
        <v>1095</v>
      </c>
      <c r="AV113" t="s">
        <v>668</v>
      </c>
      <c r="AW113" t="s">
        <v>136</v>
      </c>
      <c r="AX113" t="s">
        <v>177</v>
      </c>
      <c r="AY113" t="s">
        <v>356</v>
      </c>
      <c r="AZ113" t="s">
        <v>1308</v>
      </c>
      <c r="BB113" t="s">
        <v>140</v>
      </c>
    </row>
    <row r="114" spans="1:54" x14ac:dyDescent="0.35">
      <c r="A114" t="s">
        <v>1294</v>
      </c>
      <c r="B114" t="s">
        <v>107</v>
      </c>
      <c r="C114" t="s">
        <v>107</v>
      </c>
      <c r="E114" t="s">
        <v>108</v>
      </c>
      <c r="F114" t="s">
        <v>358</v>
      </c>
      <c r="G114" t="s">
        <v>359</v>
      </c>
      <c r="H114" t="s">
        <v>360</v>
      </c>
      <c r="I114" t="s">
        <v>341</v>
      </c>
      <c r="J114" t="s">
        <v>113</v>
      </c>
      <c r="K114" t="s">
        <v>114</v>
      </c>
      <c r="L114" t="s">
        <v>361</v>
      </c>
      <c r="M114" t="s">
        <v>361</v>
      </c>
      <c r="N114" t="s">
        <v>113</v>
      </c>
      <c r="O114" t="s">
        <v>363</v>
      </c>
      <c r="P114" t="s">
        <v>562</v>
      </c>
      <c r="Q114" t="s">
        <v>1295</v>
      </c>
      <c r="R114" t="s">
        <v>1296</v>
      </c>
      <c r="S114" t="s">
        <v>114</v>
      </c>
      <c r="T114" t="s">
        <v>1297</v>
      </c>
      <c r="V114" t="s">
        <v>114</v>
      </c>
      <c r="W114" t="s">
        <v>1298</v>
      </c>
      <c r="Y114" t="s">
        <v>1299</v>
      </c>
      <c r="Z114" t="s">
        <v>1300</v>
      </c>
      <c r="AA114" t="s">
        <v>1301</v>
      </c>
      <c r="AB114" t="s">
        <v>1302</v>
      </c>
      <c r="AC114" t="s">
        <v>1300</v>
      </c>
      <c r="AG114" t="s">
        <v>123</v>
      </c>
      <c r="AH114" t="s">
        <v>124</v>
      </c>
      <c r="AI114" t="s">
        <v>1303</v>
      </c>
      <c r="AJ114" t="s">
        <v>126</v>
      </c>
      <c r="AK114" t="s">
        <v>127</v>
      </c>
      <c r="AM114" t="s">
        <v>1304</v>
      </c>
      <c r="AN114" t="s">
        <v>1305</v>
      </c>
      <c r="AO114" t="s">
        <v>1306</v>
      </c>
      <c r="AP114" t="s">
        <v>131</v>
      </c>
      <c r="AQ114" t="s">
        <v>132</v>
      </c>
      <c r="AR114" t="s">
        <v>1120</v>
      </c>
      <c r="AS114" t="s">
        <v>1307</v>
      </c>
      <c r="AU114" t="s">
        <v>1095</v>
      </c>
      <c r="AV114" t="s">
        <v>668</v>
      </c>
      <c r="AW114" t="s">
        <v>136</v>
      </c>
      <c r="AX114" t="s">
        <v>177</v>
      </c>
      <c r="AY114" t="s">
        <v>364</v>
      </c>
      <c r="AZ114" t="s">
        <v>1308</v>
      </c>
      <c r="BB114" t="s">
        <v>140</v>
      </c>
    </row>
    <row r="115" spans="1:54" x14ac:dyDescent="0.35">
      <c r="A115" t="s">
        <v>1309</v>
      </c>
      <c r="B115" t="s">
        <v>107</v>
      </c>
      <c r="C115" t="s">
        <v>107</v>
      </c>
      <c r="E115" t="s">
        <v>108</v>
      </c>
      <c r="F115" t="s">
        <v>158</v>
      </c>
      <c r="G115" t="s">
        <v>159</v>
      </c>
      <c r="H115" t="s">
        <v>111</v>
      </c>
      <c r="I115" t="s">
        <v>341</v>
      </c>
      <c r="J115" t="s">
        <v>113</v>
      </c>
      <c r="K115" t="s">
        <v>114</v>
      </c>
      <c r="L115" t="s">
        <v>161</v>
      </c>
      <c r="M115" t="s">
        <v>161</v>
      </c>
      <c r="N115" t="s">
        <v>994</v>
      </c>
      <c r="O115" t="s">
        <v>1110</v>
      </c>
      <c r="P115" t="s">
        <v>1151</v>
      </c>
      <c r="Q115" t="s">
        <v>114</v>
      </c>
      <c r="R115" t="s">
        <v>180</v>
      </c>
      <c r="S115" t="s">
        <v>114</v>
      </c>
      <c r="T115" t="s">
        <v>180</v>
      </c>
      <c r="V115" t="s">
        <v>114</v>
      </c>
      <c r="W115" t="s">
        <v>1151</v>
      </c>
      <c r="Y115" t="s">
        <v>1310</v>
      </c>
      <c r="Z115" t="s">
        <v>1311</v>
      </c>
      <c r="AA115" t="s">
        <v>1312</v>
      </c>
      <c r="AB115" t="s">
        <v>1313</v>
      </c>
      <c r="AC115" t="s">
        <v>1311</v>
      </c>
      <c r="AG115" t="s">
        <v>123</v>
      </c>
      <c r="AH115" t="s">
        <v>124</v>
      </c>
      <c r="AI115" t="s">
        <v>1314</v>
      </c>
      <c r="AJ115" t="s">
        <v>126</v>
      </c>
      <c r="AK115" t="s">
        <v>127</v>
      </c>
      <c r="AM115" t="s">
        <v>1315</v>
      </c>
      <c r="AN115" t="s">
        <v>1316</v>
      </c>
      <c r="AO115" t="s">
        <v>1317</v>
      </c>
      <c r="AP115" t="s">
        <v>131</v>
      </c>
      <c r="AQ115" t="s">
        <v>132</v>
      </c>
      <c r="AR115" t="s">
        <v>1318</v>
      </c>
      <c r="AS115" t="s">
        <v>1319</v>
      </c>
      <c r="AU115" t="s">
        <v>496</v>
      </c>
      <c r="AW115" t="s">
        <v>136</v>
      </c>
      <c r="AX115" t="s">
        <v>177</v>
      </c>
      <c r="AY115" t="s">
        <v>138</v>
      </c>
      <c r="AZ115" t="s">
        <v>1320</v>
      </c>
      <c r="BB115" t="s">
        <v>140</v>
      </c>
    </row>
    <row r="116" spans="1:54" x14ac:dyDescent="0.35">
      <c r="A116" t="s">
        <v>1321</v>
      </c>
      <c r="B116" t="s">
        <v>336</v>
      </c>
      <c r="C116" t="s">
        <v>336</v>
      </c>
      <c r="D116" t="s">
        <v>337</v>
      </c>
      <c r="E116" t="s">
        <v>108</v>
      </c>
      <c r="F116" t="s">
        <v>158</v>
      </c>
      <c r="G116" t="s">
        <v>159</v>
      </c>
      <c r="H116" t="s">
        <v>111</v>
      </c>
      <c r="I116" t="s">
        <v>341</v>
      </c>
      <c r="J116" t="s">
        <v>113</v>
      </c>
      <c r="K116" t="s">
        <v>113</v>
      </c>
      <c r="L116" t="s">
        <v>161</v>
      </c>
      <c r="M116" t="s">
        <v>161</v>
      </c>
      <c r="N116" t="s">
        <v>1322</v>
      </c>
      <c r="O116" t="s">
        <v>1110</v>
      </c>
      <c r="P116" t="s">
        <v>116</v>
      </c>
      <c r="Q116" t="s">
        <v>114</v>
      </c>
      <c r="R116" t="s">
        <v>142</v>
      </c>
      <c r="S116" t="s">
        <v>114</v>
      </c>
      <c r="T116" t="s">
        <v>142</v>
      </c>
      <c r="V116" t="s">
        <v>114</v>
      </c>
      <c r="W116" t="s">
        <v>116</v>
      </c>
      <c r="X116" t="s">
        <v>116</v>
      </c>
      <c r="Y116" t="s">
        <v>1323</v>
      </c>
      <c r="AD116" t="s">
        <v>1324</v>
      </c>
      <c r="AE116" t="s">
        <v>346</v>
      </c>
      <c r="AF116" t="s">
        <v>1325</v>
      </c>
      <c r="AG116" t="s">
        <v>123</v>
      </c>
      <c r="AH116" t="s">
        <v>124</v>
      </c>
      <c r="AJ116" t="s">
        <v>126</v>
      </c>
      <c r="AM116" t="s">
        <v>851</v>
      </c>
      <c r="AN116" t="s">
        <v>852</v>
      </c>
      <c r="AO116" t="s">
        <v>853</v>
      </c>
      <c r="AP116" t="s">
        <v>131</v>
      </c>
      <c r="AQ116" t="s">
        <v>132</v>
      </c>
      <c r="AR116" t="s">
        <v>152</v>
      </c>
      <c r="AS116" t="s">
        <v>854</v>
      </c>
      <c r="AU116" t="s">
        <v>154</v>
      </c>
      <c r="AW116" t="s">
        <v>155</v>
      </c>
      <c r="AX116" t="s">
        <v>177</v>
      </c>
      <c r="AY116" t="s">
        <v>138</v>
      </c>
    </row>
    <row r="117" spans="1:54" x14ac:dyDescent="0.35">
      <c r="A117" t="s">
        <v>1326</v>
      </c>
      <c r="B117" t="s">
        <v>107</v>
      </c>
      <c r="C117" t="s">
        <v>107</v>
      </c>
      <c r="E117" t="s">
        <v>108</v>
      </c>
      <c r="F117" t="s">
        <v>158</v>
      </c>
      <c r="G117" t="s">
        <v>159</v>
      </c>
      <c r="H117" t="s">
        <v>111</v>
      </c>
      <c r="I117" t="s">
        <v>341</v>
      </c>
      <c r="J117" t="s">
        <v>113</v>
      </c>
      <c r="K117" t="s">
        <v>114</v>
      </c>
      <c r="L117" t="s">
        <v>161</v>
      </c>
      <c r="M117" t="s">
        <v>161</v>
      </c>
      <c r="N117" t="s">
        <v>114</v>
      </c>
      <c r="O117" t="s">
        <v>1110</v>
      </c>
      <c r="P117" t="s">
        <v>1111</v>
      </c>
      <c r="Q117" t="s">
        <v>114</v>
      </c>
      <c r="R117" t="s">
        <v>180</v>
      </c>
      <c r="S117" t="s">
        <v>114</v>
      </c>
      <c r="T117" t="s">
        <v>180</v>
      </c>
      <c r="V117" t="s">
        <v>114</v>
      </c>
      <c r="W117" t="s">
        <v>1111</v>
      </c>
      <c r="Y117" t="s">
        <v>1327</v>
      </c>
      <c r="Z117" t="s">
        <v>1328</v>
      </c>
      <c r="AA117" t="s">
        <v>1329</v>
      </c>
      <c r="AB117" t="s">
        <v>1330</v>
      </c>
      <c r="AC117" t="s">
        <v>1328</v>
      </c>
      <c r="AG117" t="s">
        <v>123</v>
      </c>
      <c r="AH117" t="s">
        <v>124</v>
      </c>
      <c r="AI117" t="s">
        <v>1331</v>
      </c>
      <c r="AJ117" t="s">
        <v>126</v>
      </c>
      <c r="AK117" t="s">
        <v>127</v>
      </c>
      <c r="AM117" t="s">
        <v>1332</v>
      </c>
      <c r="AN117" t="s">
        <v>1333</v>
      </c>
      <c r="AO117" t="s">
        <v>1334</v>
      </c>
      <c r="AP117" t="s">
        <v>131</v>
      </c>
      <c r="AQ117" t="s">
        <v>132</v>
      </c>
      <c r="AR117" t="s">
        <v>1335</v>
      </c>
      <c r="AS117" t="s">
        <v>1336</v>
      </c>
      <c r="AU117" t="s">
        <v>773</v>
      </c>
      <c r="AV117" t="s">
        <v>1183</v>
      </c>
      <c r="AW117" t="s">
        <v>136</v>
      </c>
      <c r="AX117" t="s">
        <v>177</v>
      </c>
      <c r="AY117" t="s">
        <v>138</v>
      </c>
      <c r="AZ117" t="s">
        <v>1337</v>
      </c>
      <c r="BB117" t="s">
        <v>140</v>
      </c>
    </row>
    <row r="118" spans="1:54" x14ac:dyDescent="0.35">
      <c r="A118" t="s">
        <v>1338</v>
      </c>
      <c r="B118" t="s">
        <v>107</v>
      </c>
      <c r="C118" t="s">
        <v>107</v>
      </c>
      <c r="F118" t="s">
        <v>533</v>
      </c>
      <c r="G118" t="s">
        <v>534</v>
      </c>
      <c r="H118" t="s">
        <v>535</v>
      </c>
      <c r="I118" t="s">
        <v>536</v>
      </c>
      <c r="J118" t="s">
        <v>113</v>
      </c>
      <c r="K118" t="s">
        <v>114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V118" t="s">
        <v>114</v>
      </c>
      <c r="W118" t="s">
        <v>114</v>
      </c>
      <c r="Y118" t="s">
        <v>1339</v>
      </c>
      <c r="Z118" t="s">
        <v>1339</v>
      </c>
      <c r="AA118" t="s">
        <v>1340</v>
      </c>
      <c r="AB118" t="s">
        <v>1341</v>
      </c>
      <c r="AC118" t="s">
        <v>1342</v>
      </c>
      <c r="AG118" t="s">
        <v>123</v>
      </c>
      <c r="AH118" t="s">
        <v>124</v>
      </c>
      <c r="AI118" t="s">
        <v>1343</v>
      </c>
      <c r="AJ118" t="s">
        <v>126</v>
      </c>
      <c r="AK118" t="s">
        <v>127</v>
      </c>
      <c r="AM118" t="s">
        <v>1344</v>
      </c>
      <c r="AN118" t="s">
        <v>1345</v>
      </c>
      <c r="AO118" t="s">
        <v>1346</v>
      </c>
      <c r="AP118" t="s">
        <v>131</v>
      </c>
      <c r="AQ118" t="s">
        <v>132</v>
      </c>
      <c r="AR118" t="s">
        <v>152</v>
      </c>
      <c r="AS118" t="s">
        <v>1347</v>
      </c>
      <c r="AU118" t="s">
        <v>154</v>
      </c>
      <c r="AV118" t="s">
        <v>625</v>
      </c>
      <c r="AX118" t="s">
        <v>547</v>
      </c>
      <c r="AY118" t="s">
        <v>364</v>
      </c>
      <c r="AZ118" t="s">
        <v>1348</v>
      </c>
      <c r="BB118" t="s">
        <v>140</v>
      </c>
    </row>
    <row r="119" spans="1:54" x14ac:dyDescent="0.35">
      <c r="A119" t="s">
        <v>1349</v>
      </c>
      <c r="B119" t="s">
        <v>107</v>
      </c>
      <c r="C119" t="s">
        <v>107</v>
      </c>
      <c r="F119" t="s">
        <v>158</v>
      </c>
      <c r="G119" t="s">
        <v>159</v>
      </c>
      <c r="H119" t="s">
        <v>111</v>
      </c>
      <c r="I119" t="s">
        <v>341</v>
      </c>
      <c r="J119" t="s">
        <v>113</v>
      </c>
      <c r="K119" t="s">
        <v>114</v>
      </c>
      <c r="L119" t="s">
        <v>114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V119" t="s">
        <v>114</v>
      </c>
      <c r="W119" t="s">
        <v>114</v>
      </c>
      <c r="Y119" t="s">
        <v>1350</v>
      </c>
      <c r="Z119" t="s">
        <v>1351</v>
      </c>
      <c r="AA119" t="s">
        <v>1352</v>
      </c>
      <c r="AB119" t="s">
        <v>1353</v>
      </c>
      <c r="AC119" t="s">
        <v>1354</v>
      </c>
      <c r="AG119" t="s">
        <v>123</v>
      </c>
      <c r="AH119" t="s">
        <v>124</v>
      </c>
      <c r="AI119" t="s">
        <v>1355</v>
      </c>
      <c r="AJ119" t="s">
        <v>126</v>
      </c>
      <c r="AK119" t="s">
        <v>127</v>
      </c>
      <c r="AM119" t="s">
        <v>1356</v>
      </c>
      <c r="AN119" t="s">
        <v>215</v>
      </c>
      <c r="AO119" t="s">
        <v>1357</v>
      </c>
      <c r="AP119" t="s">
        <v>131</v>
      </c>
      <c r="AQ119" t="s">
        <v>233</v>
      </c>
      <c r="AR119" t="s">
        <v>234</v>
      </c>
      <c r="AS119" t="s">
        <v>1358</v>
      </c>
      <c r="AU119" t="s">
        <v>690</v>
      </c>
      <c r="AV119" t="s">
        <v>1107</v>
      </c>
      <c r="AX119" t="s">
        <v>177</v>
      </c>
      <c r="AY119" t="s">
        <v>138</v>
      </c>
      <c r="AZ119" t="s">
        <v>1359</v>
      </c>
      <c r="BB119" t="s">
        <v>140</v>
      </c>
    </row>
    <row r="120" spans="1:54" x14ac:dyDescent="0.35">
      <c r="A120" t="s">
        <v>1360</v>
      </c>
      <c r="B120" t="s">
        <v>107</v>
      </c>
      <c r="C120" t="s">
        <v>107</v>
      </c>
      <c r="F120" t="s">
        <v>158</v>
      </c>
      <c r="G120" t="s">
        <v>159</v>
      </c>
      <c r="H120" t="s">
        <v>111</v>
      </c>
      <c r="I120" t="s">
        <v>341</v>
      </c>
      <c r="J120" t="s">
        <v>113</v>
      </c>
      <c r="K120" t="s">
        <v>114</v>
      </c>
      <c r="L120" t="s">
        <v>114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V120" t="s">
        <v>114</v>
      </c>
      <c r="W120" t="s">
        <v>114</v>
      </c>
      <c r="Y120" t="s">
        <v>1361</v>
      </c>
      <c r="Z120" t="s">
        <v>1361</v>
      </c>
      <c r="AA120" t="s">
        <v>1362</v>
      </c>
      <c r="AB120" t="s">
        <v>1363</v>
      </c>
      <c r="AC120" t="s">
        <v>1364</v>
      </c>
      <c r="AG120" t="s">
        <v>123</v>
      </c>
      <c r="AH120" t="s">
        <v>124</v>
      </c>
      <c r="AI120" t="s">
        <v>1365</v>
      </c>
      <c r="AJ120" t="s">
        <v>126</v>
      </c>
      <c r="AK120" t="s">
        <v>127</v>
      </c>
      <c r="AM120" t="s">
        <v>1366</v>
      </c>
      <c r="AN120" t="s">
        <v>1367</v>
      </c>
      <c r="AO120" t="s">
        <v>1368</v>
      </c>
      <c r="AP120" t="s">
        <v>131</v>
      </c>
      <c r="AQ120" t="s">
        <v>132</v>
      </c>
      <c r="AR120" t="s">
        <v>1369</v>
      </c>
      <c r="AS120" t="s">
        <v>1370</v>
      </c>
      <c r="AU120" t="s">
        <v>732</v>
      </c>
      <c r="AV120" t="s">
        <v>299</v>
      </c>
      <c r="AX120" t="s">
        <v>177</v>
      </c>
      <c r="AY120" t="s">
        <v>138</v>
      </c>
      <c r="AZ120" t="s">
        <v>1371</v>
      </c>
      <c r="BB120" t="s">
        <v>140</v>
      </c>
    </row>
    <row r="121" spans="1:54" x14ac:dyDescent="0.35">
      <c r="A121" t="s">
        <v>1372</v>
      </c>
      <c r="B121" t="s">
        <v>107</v>
      </c>
      <c r="C121" t="s">
        <v>107</v>
      </c>
      <c r="F121" t="s">
        <v>613</v>
      </c>
      <c r="G121" t="s">
        <v>614</v>
      </c>
      <c r="H121" t="s">
        <v>615</v>
      </c>
      <c r="I121" t="s">
        <v>271</v>
      </c>
      <c r="J121" t="s">
        <v>113</v>
      </c>
      <c r="K121" t="s">
        <v>114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V121" t="s">
        <v>114</v>
      </c>
      <c r="W121" t="s">
        <v>114</v>
      </c>
      <c r="Y121" t="s">
        <v>1373</v>
      </c>
      <c r="Z121" t="s">
        <v>1373</v>
      </c>
      <c r="AA121" t="s">
        <v>1362</v>
      </c>
      <c r="AB121" t="s">
        <v>1374</v>
      </c>
      <c r="AC121" t="s">
        <v>1375</v>
      </c>
      <c r="AG121" t="s">
        <v>123</v>
      </c>
      <c r="AH121" t="s">
        <v>124</v>
      </c>
      <c r="AI121" t="s">
        <v>1376</v>
      </c>
      <c r="AJ121" t="s">
        <v>126</v>
      </c>
      <c r="AK121" t="s">
        <v>127</v>
      </c>
      <c r="AM121" t="s">
        <v>1377</v>
      </c>
      <c r="AN121" t="s">
        <v>1378</v>
      </c>
      <c r="AO121" t="s">
        <v>1379</v>
      </c>
      <c r="AP121" t="s">
        <v>131</v>
      </c>
      <c r="AQ121" t="s">
        <v>132</v>
      </c>
      <c r="AR121" t="s">
        <v>1380</v>
      </c>
      <c r="AS121" t="s">
        <v>1381</v>
      </c>
      <c r="AU121" t="s">
        <v>798</v>
      </c>
      <c r="AX121" t="s">
        <v>177</v>
      </c>
      <c r="AY121" t="s">
        <v>627</v>
      </c>
      <c r="AZ121" t="s">
        <v>1382</v>
      </c>
      <c r="BB121" t="s">
        <v>140</v>
      </c>
    </row>
    <row r="122" spans="1:54" x14ac:dyDescent="0.35">
      <c r="A122" t="s">
        <v>1383</v>
      </c>
      <c r="B122" t="s">
        <v>107</v>
      </c>
      <c r="C122" t="s">
        <v>107</v>
      </c>
      <c r="E122" t="s">
        <v>108</v>
      </c>
      <c r="F122" t="s">
        <v>158</v>
      </c>
      <c r="G122" t="s">
        <v>159</v>
      </c>
      <c r="H122" t="s">
        <v>111</v>
      </c>
      <c r="I122" t="s">
        <v>341</v>
      </c>
      <c r="J122" t="s">
        <v>113</v>
      </c>
      <c r="K122" t="s">
        <v>114</v>
      </c>
      <c r="L122" t="s">
        <v>161</v>
      </c>
      <c r="M122" t="s">
        <v>161</v>
      </c>
      <c r="N122" t="s">
        <v>994</v>
      </c>
      <c r="O122" t="s">
        <v>1110</v>
      </c>
      <c r="P122" t="s">
        <v>1151</v>
      </c>
      <c r="Q122" t="s">
        <v>114</v>
      </c>
      <c r="R122" t="s">
        <v>180</v>
      </c>
      <c r="S122" t="s">
        <v>114</v>
      </c>
      <c r="T122" t="s">
        <v>180</v>
      </c>
      <c r="V122" t="s">
        <v>114</v>
      </c>
      <c r="W122" t="s">
        <v>1151</v>
      </c>
      <c r="Y122" t="s">
        <v>1384</v>
      </c>
      <c r="Z122" t="s">
        <v>1385</v>
      </c>
      <c r="AA122" t="s">
        <v>1386</v>
      </c>
      <c r="AB122" t="s">
        <v>1387</v>
      </c>
      <c r="AC122" t="s">
        <v>1385</v>
      </c>
      <c r="AG122" t="s">
        <v>123</v>
      </c>
      <c r="AH122" t="s">
        <v>124</v>
      </c>
      <c r="AI122" t="s">
        <v>1388</v>
      </c>
      <c r="AJ122" t="s">
        <v>126</v>
      </c>
      <c r="AK122" t="s">
        <v>127</v>
      </c>
      <c r="AM122" t="s">
        <v>1389</v>
      </c>
      <c r="AN122" t="s">
        <v>1390</v>
      </c>
      <c r="AO122" t="s">
        <v>1391</v>
      </c>
      <c r="AP122" t="s">
        <v>131</v>
      </c>
      <c r="AQ122" t="s">
        <v>403</v>
      </c>
      <c r="AR122" t="s">
        <v>352</v>
      </c>
      <c r="AS122" t="s">
        <v>667</v>
      </c>
      <c r="AU122" t="s">
        <v>495</v>
      </c>
      <c r="AW122" t="s">
        <v>136</v>
      </c>
      <c r="AX122" t="s">
        <v>177</v>
      </c>
      <c r="AY122" t="s">
        <v>138</v>
      </c>
      <c r="AZ122" t="s">
        <v>1392</v>
      </c>
      <c r="BB122" t="s">
        <v>140</v>
      </c>
    </row>
    <row r="123" spans="1:54" x14ac:dyDescent="0.35">
      <c r="A123" t="s">
        <v>1393</v>
      </c>
      <c r="B123" t="s">
        <v>107</v>
      </c>
      <c r="C123" t="s">
        <v>107</v>
      </c>
      <c r="F123" t="s">
        <v>158</v>
      </c>
      <c r="G123" t="s">
        <v>159</v>
      </c>
      <c r="H123" t="s">
        <v>111</v>
      </c>
      <c r="I123" t="s">
        <v>341</v>
      </c>
      <c r="J123" t="s">
        <v>113</v>
      </c>
      <c r="K123" t="s">
        <v>114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V123" t="s">
        <v>114</v>
      </c>
      <c r="W123" t="s">
        <v>114</v>
      </c>
      <c r="Y123" t="s">
        <v>1394</v>
      </c>
      <c r="Z123" t="s">
        <v>1394</v>
      </c>
      <c r="AA123" t="s">
        <v>1395</v>
      </c>
      <c r="AB123" t="s">
        <v>1396</v>
      </c>
      <c r="AC123" t="s">
        <v>1397</v>
      </c>
      <c r="AG123" t="s">
        <v>123</v>
      </c>
      <c r="AH123" t="s">
        <v>124</v>
      </c>
      <c r="AI123" t="s">
        <v>1398</v>
      </c>
      <c r="AJ123" t="s">
        <v>126</v>
      </c>
      <c r="AK123" t="s">
        <v>127</v>
      </c>
      <c r="AM123" t="s">
        <v>1399</v>
      </c>
      <c r="AN123" t="s">
        <v>1400</v>
      </c>
      <c r="AO123" t="s">
        <v>1401</v>
      </c>
      <c r="AP123" t="s">
        <v>131</v>
      </c>
      <c r="AQ123" t="s">
        <v>132</v>
      </c>
      <c r="AR123" t="s">
        <v>720</v>
      </c>
      <c r="AS123" t="s">
        <v>1402</v>
      </c>
      <c r="AU123" t="s">
        <v>1403</v>
      </c>
      <c r="AX123" t="s">
        <v>177</v>
      </c>
      <c r="AY123" t="s">
        <v>138</v>
      </c>
      <c r="AZ123" t="s">
        <v>1404</v>
      </c>
      <c r="BB123" t="s">
        <v>140</v>
      </c>
    </row>
    <row r="124" spans="1:54" x14ac:dyDescent="0.35">
      <c r="A124" t="s">
        <v>1405</v>
      </c>
      <c r="B124" t="s">
        <v>336</v>
      </c>
      <c r="C124" t="s">
        <v>336</v>
      </c>
      <c r="D124" t="s">
        <v>337</v>
      </c>
      <c r="E124" t="s">
        <v>108</v>
      </c>
      <c r="F124" t="s">
        <v>158</v>
      </c>
      <c r="G124" t="s">
        <v>159</v>
      </c>
      <c r="H124" t="s">
        <v>111</v>
      </c>
      <c r="I124" t="s">
        <v>341</v>
      </c>
      <c r="J124" t="s">
        <v>113</v>
      </c>
      <c r="K124" t="s">
        <v>113</v>
      </c>
      <c r="L124" t="s">
        <v>161</v>
      </c>
      <c r="M124" t="s">
        <v>161</v>
      </c>
      <c r="N124" t="s">
        <v>114</v>
      </c>
      <c r="O124" t="s">
        <v>1110</v>
      </c>
      <c r="P124" t="s">
        <v>1111</v>
      </c>
      <c r="Q124" t="s">
        <v>114</v>
      </c>
      <c r="R124" t="s">
        <v>180</v>
      </c>
      <c r="S124" t="s">
        <v>114</v>
      </c>
      <c r="T124" t="s">
        <v>180</v>
      </c>
      <c r="V124" t="s">
        <v>114</v>
      </c>
      <c r="W124" t="s">
        <v>1111</v>
      </c>
      <c r="X124" t="s">
        <v>1111</v>
      </c>
      <c r="Y124" t="s">
        <v>1406</v>
      </c>
      <c r="AA124" t="s">
        <v>1395</v>
      </c>
      <c r="AD124" t="s">
        <v>1407</v>
      </c>
      <c r="AE124" t="s">
        <v>346</v>
      </c>
      <c r="AF124" t="s">
        <v>347</v>
      </c>
      <c r="AG124" t="s">
        <v>123</v>
      </c>
      <c r="AH124" t="s">
        <v>124</v>
      </c>
      <c r="AI124" t="s">
        <v>1408</v>
      </c>
      <c r="AJ124" t="s">
        <v>126</v>
      </c>
      <c r="AK124" t="s">
        <v>127</v>
      </c>
      <c r="AM124" t="s">
        <v>1409</v>
      </c>
      <c r="AN124" t="s">
        <v>1410</v>
      </c>
      <c r="AO124" t="s">
        <v>1411</v>
      </c>
      <c r="AP124" t="s">
        <v>131</v>
      </c>
      <c r="AQ124" t="s">
        <v>132</v>
      </c>
      <c r="AR124" t="s">
        <v>1380</v>
      </c>
      <c r="AS124" t="s">
        <v>1412</v>
      </c>
      <c r="AU124" t="s">
        <v>965</v>
      </c>
      <c r="AW124" t="s">
        <v>136</v>
      </c>
      <c r="AX124" t="s">
        <v>177</v>
      </c>
      <c r="AY124" t="s">
        <v>138</v>
      </c>
      <c r="AZ124" t="s">
        <v>1413</v>
      </c>
      <c r="BB124" t="s">
        <v>140</v>
      </c>
    </row>
    <row r="125" spans="1:54" x14ac:dyDescent="0.35">
      <c r="A125" t="s">
        <v>1414</v>
      </c>
      <c r="B125" t="s">
        <v>336</v>
      </c>
      <c r="C125" t="s">
        <v>336</v>
      </c>
      <c r="D125" t="s">
        <v>337</v>
      </c>
      <c r="E125" t="s">
        <v>108</v>
      </c>
      <c r="F125" t="s">
        <v>158</v>
      </c>
      <c r="G125" t="s">
        <v>159</v>
      </c>
      <c r="H125" t="s">
        <v>111</v>
      </c>
      <c r="I125" t="s">
        <v>341</v>
      </c>
      <c r="J125" t="s">
        <v>113</v>
      </c>
      <c r="K125" t="s">
        <v>113</v>
      </c>
      <c r="L125" t="s">
        <v>161</v>
      </c>
      <c r="M125" t="s">
        <v>161</v>
      </c>
      <c r="N125" t="s">
        <v>114</v>
      </c>
      <c r="O125" t="s">
        <v>1110</v>
      </c>
      <c r="P125" t="s">
        <v>1111</v>
      </c>
      <c r="Q125" t="s">
        <v>114</v>
      </c>
      <c r="R125" t="s">
        <v>180</v>
      </c>
      <c r="S125" t="s">
        <v>114</v>
      </c>
      <c r="T125" t="s">
        <v>180</v>
      </c>
      <c r="V125" t="s">
        <v>114</v>
      </c>
      <c r="W125" t="s">
        <v>1111</v>
      </c>
      <c r="X125" t="s">
        <v>1111</v>
      </c>
      <c r="Y125" t="s">
        <v>1415</v>
      </c>
      <c r="AA125" t="s">
        <v>1395</v>
      </c>
      <c r="AD125" t="s">
        <v>1416</v>
      </c>
      <c r="AE125" t="s">
        <v>346</v>
      </c>
      <c r="AF125" t="s">
        <v>347</v>
      </c>
      <c r="AG125" t="s">
        <v>123</v>
      </c>
      <c r="AH125" t="s">
        <v>124</v>
      </c>
      <c r="AI125" t="s">
        <v>1417</v>
      </c>
      <c r="AJ125" t="s">
        <v>126</v>
      </c>
      <c r="AK125" t="s">
        <v>127</v>
      </c>
      <c r="AM125" t="s">
        <v>1409</v>
      </c>
      <c r="AN125" t="s">
        <v>1410</v>
      </c>
      <c r="AO125" t="s">
        <v>1411</v>
      </c>
      <c r="AP125" t="s">
        <v>131</v>
      </c>
      <c r="AQ125" t="s">
        <v>132</v>
      </c>
      <c r="AR125" t="s">
        <v>1380</v>
      </c>
      <c r="AS125" t="s">
        <v>1412</v>
      </c>
      <c r="AU125" t="s">
        <v>965</v>
      </c>
      <c r="AW125" t="s">
        <v>136</v>
      </c>
      <c r="AX125" t="s">
        <v>177</v>
      </c>
      <c r="AY125" t="s">
        <v>138</v>
      </c>
      <c r="AZ125" t="s">
        <v>1418</v>
      </c>
      <c r="BB125" t="s">
        <v>140</v>
      </c>
    </row>
    <row r="126" spans="1:54" x14ac:dyDescent="0.35">
      <c r="A126" t="s">
        <v>1419</v>
      </c>
      <c r="B126" t="s">
        <v>107</v>
      </c>
      <c r="C126" t="s">
        <v>107</v>
      </c>
      <c r="E126" t="s">
        <v>108</v>
      </c>
      <c r="F126" t="s">
        <v>158</v>
      </c>
      <c r="G126" t="s">
        <v>159</v>
      </c>
      <c r="H126" t="s">
        <v>111</v>
      </c>
      <c r="I126" t="s">
        <v>341</v>
      </c>
      <c r="J126" t="s">
        <v>113</v>
      </c>
      <c r="K126" t="s">
        <v>114</v>
      </c>
      <c r="L126" t="s">
        <v>161</v>
      </c>
      <c r="M126" t="s">
        <v>161</v>
      </c>
      <c r="N126" t="s">
        <v>994</v>
      </c>
      <c r="O126" t="s">
        <v>1110</v>
      </c>
      <c r="P126" t="s">
        <v>1151</v>
      </c>
      <c r="Q126" t="s">
        <v>114</v>
      </c>
      <c r="R126" t="s">
        <v>180</v>
      </c>
      <c r="S126" t="s">
        <v>114</v>
      </c>
      <c r="T126" t="s">
        <v>180</v>
      </c>
      <c r="V126" t="s">
        <v>114</v>
      </c>
      <c r="W126" t="s">
        <v>1151</v>
      </c>
      <c r="Y126" t="s">
        <v>1420</v>
      </c>
      <c r="Z126" t="s">
        <v>1421</v>
      </c>
      <c r="AA126" t="s">
        <v>1422</v>
      </c>
      <c r="AB126" t="s">
        <v>1423</v>
      </c>
      <c r="AC126" t="s">
        <v>1421</v>
      </c>
      <c r="AG126" t="s">
        <v>123</v>
      </c>
      <c r="AH126" t="s">
        <v>124</v>
      </c>
      <c r="AI126" t="s">
        <v>1424</v>
      </c>
      <c r="AJ126" t="s">
        <v>126</v>
      </c>
      <c r="AK126" t="s">
        <v>127</v>
      </c>
      <c r="AM126" t="s">
        <v>1409</v>
      </c>
      <c r="AN126" t="s">
        <v>1410</v>
      </c>
      <c r="AO126" t="s">
        <v>1411</v>
      </c>
      <c r="AP126" t="s">
        <v>131</v>
      </c>
      <c r="AQ126" t="s">
        <v>132</v>
      </c>
      <c r="AR126" t="s">
        <v>1380</v>
      </c>
      <c r="AS126" t="s">
        <v>1412</v>
      </c>
      <c r="AU126" t="s">
        <v>965</v>
      </c>
      <c r="AW126" t="s">
        <v>136</v>
      </c>
      <c r="AX126" t="s">
        <v>177</v>
      </c>
      <c r="AY126" t="s">
        <v>138</v>
      </c>
      <c r="AZ126" t="s">
        <v>1425</v>
      </c>
      <c r="BB126" t="s">
        <v>140</v>
      </c>
    </row>
    <row r="127" spans="1:54" x14ac:dyDescent="0.35">
      <c r="A127" t="s">
        <v>1426</v>
      </c>
      <c r="B127" t="s">
        <v>336</v>
      </c>
      <c r="C127" t="s">
        <v>336</v>
      </c>
      <c r="D127" t="s">
        <v>337</v>
      </c>
      <c r="E127" t="s">
        <v>108</v>
      </c>
      <c r="F127" t="s">
        <v>158</v>
      </c>
      <c r="G127" t="s">
        <v>159</v>
      </c>
      <c r="H127" t="s">
        <v>111</v>
      </c>
      <c r="I127" t="s">
        <v>341</v>
      </c>
      <c r="J127" t="s">
        <v>113</v>
      </c>
      <c r="K127" t="s">
        <v>113</v>
      </c>
      <c r="L127" t="s">
        <v>161</v>
      </c>
      <c r="M127" t="s">
        <v>161</v>
      </c>
      <c r="N127" t="s">
        <v>994</v>
      </c>
      <c r="O127" t="s">
        <v>1110</v>
      </c>
      <c r="P127" t="s">
        <v>1151</v>
      </c>
      <c r="Q127" t="s">
        <v>114</v>
      </c>
      <c r="R127" t="s">
        <v>180</v>
      </c>
      <c r="S127" t="s">
        <v>114</v>
      </c>
      <c r="T127" t="s">
        <v>180</v>
      </c>
      <c r="V127" t="s">
        <v>114</v>
      </c>
      <c r="W127" t="s">
        <v>1151</v>
      </c>
      <c r="X127" t="s">
        <v>1151</v>
      </c>
      <c r="Y127" t="s">
        <v>1427</v>
      </c>
      <c r="AA127" t="s">
        <v>1395</v>
      </c>
      <c r="AD127" t="s">
        <v>1428</v>
      </c>
      <c r="AE127" t="s">
        <v>346</v>
      </c>
      <c r="AF127" t="s">
        <v>347</v>
      </c>
      <c r="AG127" t="s">
        <v>123</v>
      </c>
      <c r="AH127" t="s">
        <v>124</v>
      </c>
      <c r="AI127" t="s">
        <v>1429</v>
      </c>
      <c r="AJ127" t="s">
        <v>126</v>
      </c>
      <c r="AK127" t="s">
        <v>127</v>
      </c>
      <c r="AM127" t="s">
        <v>1409</v>
      </c>
      <c r="AN127" t="s">
        <v>1410</v>
      </c>
      <c r="AO127" t="s">
        <v>1411</v>
      </c>
      <c r="AP127" t="s">
        <v>131</v>
      </c>
      <c r="AQ127" t="s">
        <v>132</v>
      </c>
      <c r="AR127" t="s">
        <v>1380</v>
      </c>
      <c r="AS127" t="s">
        <v>1412</v>
      </c>
      <c r="AU127" t="s">
        <v>965</v>
      </c>
      <c r="AW127" t="s">
        <v>136</v>
      </c>
      <c r="AX127" t="s">
        <v>177</v>
      </c>
      <c r="AY127" t="s">
        <v>138</v>
      </c>
      <c r="AZ127" t="s">
        <v>1430</v>
      </c>
      <c r="BB127" t="s">
        <v>140</v>
      </c>
    </row>
    <row r="128" spans="1:54" x14ac:dyDescent="0.35">
      <c r="A128" t="s">
        <v>1431</v>
      </c>
      <c r="B128" t="s">
        <v>107</v>
      </c>
      <c r="C128" t="s">
        <v>107</v>
      </c>
      <c r="F128" t="s">
        <v>533</v>
      </c>
      <c r="G128" t="s">
        <v>534</v>
      </c>
      <c r="H128" t="s">
        <v>535</v>
      </c>
      <c r="I128" t="s">
        <v>536</v>
      </c>
      <c r="J128" t="s">
        <v>113</v>
      </c>
      <c r="K128" t="s">
        <v>114</v>
      </c>
      <c r="L128" t="s">
        <v>114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114</v>
      </c>
      <c r="V128" t="s">
        <v>114</v>
      </c>
      <c r="W128" t="s">
        <v>114</v>
      </c>
      <c r="Y128" t="s">
        <v>1432</v>
      </c>
      <c r="Z128" t="s">
        <v>1432</v>
      </c>
      <c r="AA128" t="s">
        <v>1433</v>
      </c>
      <c r="AB128" t="s">
        <v>1434</v>
      </c>
      <c r="AC128" t="s">
        <v>1435</v>
      </c>
      <c r="AG128" t="s">
        <v>123</v>
      </c>
      <c r="AH128" t="s">
        <v>124</v>
      </c>
      <c r="AI128" t="s">
        <v>1436</v>
      </c>
      <c r="AJ128" t="s">
        <v>126</v>
      </c>
      <c r="AK128" t="s">
        <v>127</v>
      </c>
      <c r="AM128" t="s">
        <v>1437</v>
      </c>
      <c r="AN128" t="s">
        <v>1438</v>
      </c>
      <c r="AO128" t="s">
        <v>1439</v>
      </c>
      <c r="AP128" t="s">
        <v>131</v>
      </c>
      <c r="AQ128" t="s">
        <v>132</v>
      </c>
      <c r="AR128" t="s">
        <v>1440</v>
      </c>
      <c r="AS128" t="s">
        <v>609</v>
      </c>
      <c r="AU128" t="s">
        <v>265</v>
      </c>
      <c r="AV128" t="s">
        <v>1441</v>
      </c>
      <c r="AX128" t="s">
        <v>547</v>
      </c>
      <c r="AY128" t="s">
        <v>364</v>
      </c>
      <c r="AZ128" t="s">
        <v>1442</v>
      </c>
      <c r="BB128" t="s">
        <v>140</v>
      </c>
    </row>
    <row r="129" spans="1:54" x14ac:dyDescent="0.35">
      <c r="A129" t="s">
        <v>1443</v>
      </c>
      <c r="B129" t="s">
        <v>107</v>
      </c>
      <c r="C129" t="s">
        <v>107</v>
      </c>
      <c r="F129" t="s">
        <v>613</v>
      </c>
      <c r="G129" t="s">
        <v>614</v>
      </c>
      <c r="H129" t="s">
        <v>615</v>
      </c>
      <c r="I129" t="s">
        <v>271</v>
      </c>
      <c r="J129" t="s">
        <v>113</v>
      </c>
      <c r="K129" t="s">
        <v>114</v>
      </c>
      <c r="L129" t="s">
        <v>114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114</v>
      </c>
      <c r="V129" t="s">
        <v>114</v>
      </c>
      <c r="W129" t="s">
        <v>114</v>
      </c>
      <c r="Y129" t="s">
        <v>1444</v>
      </c>
      <c r="Z129" t="s">
        <v>1444</v>
      </c>
      <c r="AA129" t="s">
        <v>1445</v>
      </c>
      <c r="AB129" t="s">
        <v>1446</v>
      </c>
      <c r="AC129" t="s">
        <v>1447</v>
      </c>
      <c r="AG129" t="s">
        <v>123</v>
      </c>
      <c r="AH129" t="s">
        <v>124</v>
      </c>
      <c r="AI129" t="s">
        <v>1448</v>
      </c>
      <c r="AJ129" t="s">
        <v>126</v>
      </c>
      <c r="AK129" t="s">
        <v>127</v>
      </c>
      <c r="AM129" t="s">
        <v>1449</v>
      </c>
      <c r="AN129" t="s">
        <v>1450</v>
      </c>
      <c r="AO129" t="s">
        <v>1451</v>
      </c>
      <c r="AP129" t="s">
        <v>131</v>
      </c>
      <c r="AQ129" t="s">
        <v>132</v>
      </c>
      <c r="AR129" t="s">
        <v>1452</v>
      </c>
      <c r="AS129" t="s">
        <v>1453</v>
      </c>
      <c r="AU129" t="s">
        <v>406</v>
      </c>
      <c r="AX129" t="s">
        <v>177</v>
      </c>
      <c r="AY129" t="s">
        <v>627</v>
      </c>
      <c r="AZ129" t="s">
        <v>1454</v>
      </c>
      <c r="BB129" t="s">
        <v>140</v>
      </c>
    </row>
    <row r="130" spans="1:54" x14ac:dyDescent="0.35">
      <c r="A130" t="s">
        <v>1455</v>
      </c>
      <c r="B130" t="s">
        <v>107</v>
      </c>
      <c r="C130" t="s">
        <v>107</v>
      </c>
      <c r="F130" t="s">
        <v>613</v>
      </c>
      <c r="G130" t="s">
        <v>614</v>
      </c>
      <c r="H130" t="s">
        <v>615</v>
      </c>
      <c r="I130" t="s">
        <v>271</v>
      </c>
      <c r="J130" t="s">
        <v>113</v>
      </c>
      <c r="K130" t="s">
        <v>114</v>
      </c>
      <c r="L130" t="s">
        <v>114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114</v>
      </c>
      <c r="V130" t="s">
        <v>114</v>
      </c>
      <c r="W130" t="s">
        <v>114</v>
      </c>
      <c r="Y130" t="s">
        <v>1456</v>
      </c>
      <c r="Z130" t="s">
        <v>1456</v>
      </c>
      <c r="AA130" t="s">
        <v>1457</v>
      </c>
      <c r="AB130" t="s">
        <v>1458</v>
      </c>
      <c r="AC130" t="s">
        <v>1459</v>
      </c>
      <c r="AG130" t="s">
        <v>123</v>
      </c>
      <c r="AH130" t="s">
        <v>124</v>
      </c>
      <c r="AI130" t="s">
        <v>1460</v>
      </c>
      <c r="AJ130" t="s">
        <v>126</v>
      </c>
      <c r="AK130" t="s">
        <v>127</v>
      </c>
      <c r="AM130" t="s">
        <v>1461</v>
      </c>
      <c r="AN130" t="s">
        <v>1462</v>
      </c>
      <c r="AO130" t="s">
        <v>1463</v>
      </c>
      <c r="AP130" t="s">
        <v>131</v>
      </c>
      <c r="AQ130" t="s">
        <v>132</v>
      </c>
      <c r="AR130" t="s">
        <v>1464</v>
      </c>
      <c r="AS130" t="s">
        <v>1465</v>
      </c>
      <c r="AU130" t="s">
        <v>1466</v>
      </c>
      <c r="AX130" t="s">
        <v>177</v>
      </c>
      <c r="AY130" t="s">
        <v>627</v>
      </c>
      <c r="AZ130" t="s">
        <v>1467</v>
      </c>
      <c r="BB130" t="s">
        <v>140</v>
      </c>
    </row>
    <row r="131" spans="1:54" x14ac:dyDescent="0.35">
      <c r="A131" t="s">
        <v>1468</v>
      </c>
      <c r="B131" t="s">
        <v>107</v>
      </c>
      <c r="C131" t="s">
        <v>107</v>
      </c>
      <c r="F131" t="s">
        <v>533</v>
      </c>
      <c r="G131" t="s">
        <v>534</v>
      </c>
      <c r="H131" t="s">
        <v>535</v>
      </c>
      <c r="I131" t="s">
        <v>536</v>
      </c>
      <c r="J131" t="s">
        <v>113</v>
      </c>
      <c r="K131" t="s">
        <v>114</v>
      </c>
      <c r="L131" t="s">
        <v>114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114</v>
      </c>
      <c r="V131" t="s">
        <v>114</v>
      </c>
      <c r="W131" t="s">
        <v>114</v>
      </c>
      <c r="Y131" t="s">
        <v>1469</v>
      </c>
      <c r="Z131" t="s">
        <v>1469</v>
      </c>
      <c r="AA131" t="s">
        <v>1470</v>
      </c>
      <c r="AB131" t="s">
        <v>1471</v>
      </c>
      <c r="AC131" t="s">
        <v>1472</v>
      </c>
      <c r="AG131" t="s">
        <v>123</v>
      </c>
      <c r="AH131" t="s">
        <v>124</v>
      </c>
      <c r="AI131" t="s">
        <v>1473</v>
      </c>
      <c r="AJ131" t="s">
        <v>126</v>
      </c>
      <c r="AK131" t="s">
        <v>127</v>
      </c>
      <c r="AM131" t="s">
        <v>1474</v>
      </c>
      <c r="AN131" t="s">
        <v>1475</v>
      </c>
      <c r="AO131" t="s">
        <v>1476</v>
      </c>
      <c r="AP131" t="s">
        <v>131</v>
      </c>
      <c r="AQ131" t="s">
        <v>132</v>
      </c>
      <c r="AR131" t="s">
        <v>152</v>
      </c>
      <c r="AS131" t="s">
        <v>1477</v>
      </c>
      <c r="AU131" t="s">
        <v>1478</v>
      </c>
      <c r="AX131" t="s">
        <v>547</v>
      </c>
      <c r="AY131" t="s">
        <v>364</v>
      </c>
      <c r="AZ131" t="s">
        <v>1479</v>
      </c>
      <c r="BB131" t="s">
        <v>140</v>
      </c>
    </row>
    <row r="132" spans="1:54" x14ac:dyDescent="0.35">
      <c r="A132" t="s">
        <v>1468</v>
      </c>
      <c r="B132" t="s">
        <v>107</v>
      </c>
      <c r="C132" t="s">
        <v>107</v>
      </c>
      <c r="F132" t="s">
        <v>158</v>
      </c>
      <c r="G132" t="s">
        <v>159</v>
      </c>
      <c r="H132" t="s">
        <v>111</v>
      </c>
      <c r="I132" t="s">
        <v>341</v>
      </c>
      <c r="J132" t="s">
        <v>113</v>
      </c>
      <c r="K132" t="s">
        <v>114</v>
      </c>
      <c r="L132" t="s">
        <v>114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114</v>
      </c>
      <c r="V132" t="s">
        <v>114</v>
      </c>
      <c r="W132" t="s">
        <v>114</v>
      </c>
      <c r="Y132" t="s">
        <v>1469</v>
      </c>
      <c r="Z132" t="s">
        <v>1469</v>
      </c>
      <c r="AA132" t="s">
        <v>1470</v>
      </c>
      <c r="AB132" t="s">
        <v>1471</v>
      </c>
      <c r="AC132" t="s">
        <v>1472</v>
      </c>
      <c r="AG132" t="s">
        <v>123</v>
      </c>
      <c r="AH132" t="s">
        <v>124</v>
      </c>
      <c r="AI132" t="s">
        <v>1473</v>
      </c>
      <c r="AJ132" t="s">
        <v>126</v>
      </c>
      <c r="AK132" t="s">
        <v>127</v>
      </c>
      <c r="AM132" t="s">
        <v>1474</v>
      </c>
      <c r="AN132" t="s">
        <v>1475</v>
      </c>
      <c r="AO132" t="s">
        <v>1476</v>
      </c>
      <c r="AP132" t="s">
        <v>131</v>
      </c>
      <c r="AQ132" t="s">
        <v>132</v>
      </c>
      <c r="AR132" t="s">
        <v>152</v>
      </c>
      <c r="AS132" t="s">
        <v>1477</v>
      </c>
      <c r="AU132" t="s">
        <v>1478</v>
      </c>
      <c r="AX132" t="s">
        <v>177</v>
      </c>
      <c r="AY132" t="s">
        <v>138</v>
      </c>
      <c r="AZ132" t="s">
        <v>1479</v>
      </c>
      <c r="BB132" t="s">
        <v>140</v>
      </c>
    </row>
    <row r="133" spans="1:54" x14ac:dyDescent="0.35">
      <c r="A133" t="s">
        <v>1480</v>
      </c>
      <c r="B133" t="s">
        <v>107</v>
      </c>
      <c r="C133" t="s">
        <v>107</v>
      </c>
      <c r="F133" t="s">
        <v>158</v>
      </c>
      <c r="G133" t="s">
        <v>159</v>
      </c>
      <c r="H133" t="s">
        <v>111</v>
      </c>
      <c r="I133" t="s">
        <v>341</v>
      </c>
      <c r="J133" t="s">
        <v>113</v>
      </c>
      <c r="K133" t="s">
        <v>114</v>
      </c>
      <c r="L133" t="s">
        <v>114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114</v>
      </c>
      <c r="V133" t="s">
        <v>114</v>
      </c>
      <c r="W133" t="s">
        <v>114</v>
      </c>
      <c r="Y133" t="s">
        <v>1481</v>
      </c>
      <c r="Z133" t="s">
        <v>1481</v>
      </c>
      <c r="AA133" t="s">
        <v>1482</v>
      </c>
      <c r="AB133" t="s">
        <v>1483</v>
      </c>
      <c r="AC133" t="s">
        <v>1484</v>
      </c>
      <c r="AG133" t="s">
        <v>123</v>
      </c>
      <c r="AH133" t="s">
        <v>124</v>
      </c>
      <c r="AI133" t="s">
        <v>1485</v>
      </c>
      <c r="AJ133" t="s">
        <v>126</v>
      </c>
      <c r="AK133" t="s">
        <v>127</v>
      </c>
      <c r="AM133" t="s">
        <v>1486</v>
      </c>
      <c r="AN133" t="s">
        <v>1487</v>
      </c>
      <c r="AO133" t="s">
        <v>1488</v>
      </c>
      <c r="AP133" t="s">
        <v>131</v>
      </c>
      <c r="AQ133" t="s">
        <v>132</v>
      </c>
      <c r="AR133" t="s">
        <v>202</v>
      </c>
      <c r="AS133" t="s">
        <v>1489</v>
      </c>
      <c r="AU133" t="s">
        <v>1490</v>
      </c>
      <c r="AV133" t="s">
        <v>1072</v>
      </c>
      <c r="AX133" t="s">
        <v>177</v>
      </c>
      <c r="AY133" t="s">
        <v>138</v>
      </c>
      <c r="AZ133" t="s">
        <v>1491</v>
      </c>
      <c r="BB133" t="s">
        <v>140</v>
      </c>
    </row>
    <row r="134" spans="1:54" x14ac:dyDescent="0.35">
      <c r="A134" t="s">
        <v>1492</v>
      </c>
      <c r="B134" t="s">
        <v>107</v>
      </c>
      <c r="C134" t="s">
        <v>107</v>
      </c>
      <c r="F134" t="s">
        <v>158</v>
      </c>
      <c r="G134" t="s">
        <v>159</v>
      </c>
      <c r="H134" t="s">
        <v>111</v>
      </c>
      <c r="I134" t="s">
        <v>341</v>
      </c>
      <c r="J134" t="s">
        <v>113</v>
      </c>
      <c r="K134" t="s">
        <v>114</v>
      </c>
      <c r="L134" t="s">
        <v>114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114</v>
      </c>
      <c r="V134" t="s">
        <v>114</v>
      </c>
      <c r="W134" t="s">
        <v>114</v>
      </c>
      <c r="Y134" t="s">
        <v>1493</v>
      </c>
      <c r="Z134" t="s">
        <v>1493</v>
      </c>
      <c r="AA134" t="s">
        <v>1494</v>
      </c>
      <c r="AB134" t="s">
        <v>1495</v>
      </c>
      <c r="AC134" t="s">
        <v>1496</v>
      </c>
      <c r="AG134" t="s">
        <v>123</v>
      </c>
      <c r="AH134" t="s">
        <v>124</v>
      </c>
      <c r="AI134" t="s">
        <v>1497</v>
      </c>
      <c r="AJ134" t="s">
        <v>126</v>
      </c>
      <c r="AK134" t="s">
        <v>127</v>
      </c>
      <c r="AM134" t="s">
        <v>1498</v>
      </c>
      <c r="AN134" t="s">
        <v>1499</v>
      </c>
      <c r="AO134" t="s">
        <v>1500</v>
      </c>
      <c r="AP134" t="s">
        <v>131</v>
      </c>
      <c r="AQ134" t="s">
        <v>132</v>
      </c>
      <c r="AR134" t="s">
        <v>1501</v>
      </c>
      <c r="AS134" t="s">
        <v>1502</v>
      </c>
      <c r="AU134" t="s">
        <v>638</v>
      </c>
      <c r="AX134" t="s">
        <v>177</v>
      </c>
      <c r="AY134" t="s">
        <v>138</v>
      </c>
      <c r="AZ134" t="s">
        <v>1503</v>
      </c>
      <c r="BB134" t="s">
        <v>140</v>
      </c>
    </row>
    <row r="135" spans="1:54" x14ac:dyDescent="0.35">
      <c r="A135" t="s">
        <v>1504</v>
      </c>
      <c r="B135" t="s">
        <v>107</v>
      </c>
      <c r="C135" t="s">
        <v>107</v>
      </c>
      <c r="F135" t="s">
        <v>158</v>
      </c>
      <c r="G135" t="s">
        <v>159</v>
      </c>
      <c r="H135" t="s">
        <v>111</v>
      </c>
      <c r="I135" t="s">
        <v>341</v>
      </c>
      <c r="J135" t="s">
        <v>113</v>
      </c>
      <c r="K135" t="s">
        <v>114</v>
      </c>
      <c r="L135" t="s">
        <v>114</v>
      </c>
      <c r="M135" t="s">
        <v>114</v>
      </c>
      <c r="N135" t="s">
        <v>114</v>
      </c>
      <c r="O135" t="s">
        <v>114</v>
      </c>
      <c r="P135" t="s">
        <v>114</v>
      </c>
      <c r="Q135" t="s">
        <v>114</v>
      </c>
      <c r="R135" t="s">
        <v>114</v>
      </c>
      <c r="S135" t="s">
        <v>114</v>
      </c>
      <c r="T135" t="s">
        <v>114</v>
      </c>
      <c r="V135" t="s">
        <v>114</v>
      </c>
      <c r="W135" t="s">
        <v>114</v>
      </c>
      <c r="Y135" t="s">
        <v>1505</v>
      </c>
      <c r="Z135" t="s">
        <v>1505</v>
      </c>
      <c r="AA135" t="s">
        <v>1506</v>
      </c>
      <c r="AB135" t="s">
        <v>1495</v>
      </c>
      <c r="AC135" t="s">
        <v>1507</v>
      </c>
      <c r="AG135" t="s">
        <v>123</v>
      </c>
      <c r="AH135" t="s">
        <v>124</v>
      </c>
      <c r="AI135" t="s">
        <v>1508</v>
      </c>
      <c r="AJ135" t="s">
        <v>126</v>
      </c>
      <c r="AK135" t="s">
        <v>127</v>
      </c>
      <c r="AM135" t="s">
        <v>1509</v>
      </c>
      <c r="AN135" t="s">
        <v>1510</v>
      </c>
      <c r="AO135" t="s">
        <v>1511</v>
      </c>
      <c r="AP135" t="s">
        <v>131</v>
      </c>
      <c r="AQ135" t="s">
        <v>132</v>
      </c>
      <c r="AR135" t="s">
        <v>387</v>
      </c>
      <c r="AS135" t="s">
        <v>1512</v>
      </c>
      <c r="AU135" t="s">
        <v>406</v>
      </c>
      <c r="AX135" t="s">
        <v>177</v>
      </c>
      <c r="AY135" t="s">
        <v>138</v>
      </c>
      <c r="AZ135" t="s">
        <v>1513</v>
      </c>
      <c r="BB135" t="s">
        <v>140</v>
      </c>
    </row>
    <row r="136" spans="1:54" x14ac:dyDescent="0.35">
      <c r="A136" t="s">
        <v>1514</v>
      </c>
      <c r="B136" t="s">
        <v>107</v>
      </c>
      <c r="C136" t="s">
        <v>107</v>
      </c>
      <c r="F136" t="s">
        <v>158</v>
      </c>
      <c r="G136" t="s">
        <v>159</v>
      </c>
      <c r="H136" t="s">
        <v>111</v>
      </c>
      <c r="I136" t="s">
        <v>341</v>
      </c>
      <c r="J136" t="s">
        <v>113</v>
      </c>
      <c r="K136" t="s">
        <v>114</v>
      </c>
      <c r="L136" t="s">
        <v>114</v>
      </c>
      <c r="M136" t="s">
        <v>114</v>
      </c>
      <c r="N136" t="s">
        <v>114</v>
      </c>
      <c r="O136" t="s">
        <v>114</v>
      </c>
      <c r="P136" t="s">
        <v>114</v>
      </c>
      <c r="Q136" t="s">
        <v>114</v>
      </c>
      <c r="R136" t="s">
        <v>114</v>
      </c>
      <c r="S136" t="s">
        <v>114</v>
      </c>
      <c r="T136" t="s">
        <v>114</v>
      </c>
      <c r="V136" t="s">
        <v>114</v>
      </c>
      <c r="W136" t="s">
        <v>114</v>
      </c>
      <c r="Y136" t="s">
        <v>1515</v>
      </c>
      <c r="Z136" t="s">
        <v>1515</v>
      </c>
      <c r="AA136" t="s">
        <v>1506</v>
      </c>
      <c r="AB136" t="s">
        <v>1516</v>
      </c>
      <c r="AC136" t="s">
        <v>1517</v>
      </c>
      <c r="AG136" t="s">
        <v>123</v>
      </c>
      <c r="AH136" t="s">
        <v>124</v>
      </c>
      <c r="AI136" t="s">
        <v>1518</v>
      </c>
      <c r="AJ136" t="s">
        <v>126</v>
      </c>
      <c r="AK136" t="s">
        <v>127</v>
      </c>
      <c r="AM136" t="s">
        <v>1519</v>
      </c>
      <c r="AN136" t="s">
        <v>1520</v>
      </c>
      <c r="AO136" t="s">
        <v>1521</v>
      </c>
      <c r="AP136" t="s">
        <v>131</v>
      </c>
      <c r="AQ136" t="s">
        <v>132</v>
      </c>
      <c r="AR136" t="s">
        <v>1440</v>
      </c>
      <c r="AS136" t="s">
        <v>1522</v>
      </c>
      <c r="AU136" t="s">
        <v>952</v>
      </c>
      <c r="AV136" t="s">
        <v>190</v>
      </c>
      <c r="AX136" t="s">
        <v>177</v>
      </c>
      <c r="AY136" t="s">
        <v>138</v>
      </c>
      <c r="AZ136" t="s">
        <v>1523</v>
      </c>
      <c r="BB136" t="s">
        <v>140</v>
      </c>
    </row>
    <row r="137" spans="1:54" x14ac:dyDescent="0.35">
      <c r="A137" t="s">
        <v>1524</v>
      </c>
      <c r="B137" t="s">
        <v>107</v>
      </c>
      <c r="C137" t="s">
        <v>107</v>
      </c>
      <c r="F137" t="s">
        <v>533</v>
      </c>
      <c r="G137" t="s">
        <v>534</v>
      </c>
      <c r="H137" t="s">
        <v>535</v>
      </c>
      <c r="I137" t="s">
        <v>536</v>
      </c>
      <c r="J137" t="s">
        <v>113</v>
      </c>
      <c r="K137" t="s">
        <v>114</v>
      </c>
      <c r="L137" t="s">
        <v>114</v>
      </c>
      <c r="M137" t="s">
        <v>114</v>
      </c>
      <c r="N137" t="s">
        <v>114</v>
      </c>
      <c r="O137" t="s">
        <v>114</v>
      </c>
      <c r="P137" t="s">
        <v>114</v>
      </c>
      <c r="Q137" t="s">
        <v>114</v>
      </c>
      <c r="R137" t="s">
        <v>114</v>
      </c>
      <c r="S137" t="s">
        <v>114</v>
      </c>
      <c r="T137" t="s">
        <v>114</v>
      </c>
      <c r="V137" t="s">
        <v>114</v>
      </c>
      <c r="W137" t="s">
        <v>114</v>
      </c>
      <c r="Y137" t="s">
        <v>1525</v>
      </c>
      <c r="Z137" t="s">
        <v>1525</v>
      </c>
      <c r="AA137" t="s">
        <v>1506</v>
      </c>
      <c r="AB137" t="s">
        <v>1526</v>
      </c>
      <c r="AC137" t="s">
        <v>1527</v>
      </c>
      <c r="AG137" t="s">
        <v>123</v>
      </c>
      <c r="AH137" t="s">
        <v>124</v>
      </c>
      <c r="AI137" t="s">
        <v>1528</v>
      </c>
      <c r="AJ137" t="s">
        <v>126</v>
      </c>
      <c r="AK137" t="s">
        <v>127</v>
      </c>
      <c r="AM137" t="s">
        <v>1529</v>
      </c>
      <c r="AN137" t="s">
        <v>1530</v>
      </c>
      <c r="AO137" t="s">
        <v>1531</v>
      </c>
      <c r="AP137" t="s">
        <v>131</v>
      </c>
      <c r="AQ137" t="s">
        <v>132</v>
      </c>
      <c r="AR137" t="s">
        <v>1532</v>
      </c>
      <c r="AS137" t="s">
        <v>1533</v>
      </c>
      <c r="AU137" t="s">
        <v>1183</v>
      </c>
      <c r="AV137" t="s">
        <v>1534</v>
      </c>
      <c r="AX137" t="s">
        <v>547</v>
      </c>
      <c r="AY137" t="s">
        <v>364</v>
      </c>
      <c r="AZ137" t="s">
        <v>1535</v>
      </c>
      <c r="BB137" t="s">
        <v>140</v>
      </c>
    </row>
    <row r="138" spans="1:54" x14ac:dyDescent="0.35">
      <c r="A138" t="s">
        <v>1536</v>
      </c>
      <c r="B138" t="s">
        <v>107</v>
      </c>
      <c r="C138" t="s">
        <v>107</v>
      </c>
      <c r="E138" t="s">
        <v>108</v>
      </c>
      <c r="F138" t="s">
        <v>158</v>
      </c>
      <c r="G138" t="s">
        <v>159</v>
      </c>
      <c r="H138" t="s">
        <v>111</v>
      </c>
      <c r="I138" t="s">
        <v>341</v>
      </c>
      <c r="J138" t="s">
        <v>113</v>
      </c>
      <c r="K138" t="s">
        <v>114</v>
      </c>
      <c r="L138" t="s">
        <v>161</v>
      </c>
      <c r="M138" t="s">
        <v>161</v>
      </c>
      <c r="N138" t="s">
        <v>994</v>
      </c>
      <c r="O138" t="s">
        <v>1110</v>
      </c>
      <c r="P138" t="s">
        <v>1151</v>
      </c>
      <c r="Q138" t="s">
        <v>114</v>
      </c>
      <c r="R138" t="s">
        <v>334</v>
      </c>
      <c r="S138" t="s">
        <v>114</v>
      </c>
      <c r="T138" t="s">
        <v>334</v>
      </c>
      <c r="V138" t="s">
        <v>114</v>
      </c>
      <c r="W138" t="s">
        <v>1151</v>
      </c>
      <c r="Y138" t="s">
        <v>1537</v>
      </c>
      <c r="Z138" t="s">
        <v>1538</v>
      </c>
      <c r="AA138" t="s">
        <v>1539</v>
      </c>
      <c r="AB138" t="s">
        <v>1540</v>
      </c>
      <c r="AC138" t="s">
        <v>1541</v>
      </c>
      <c r="AG138" t="s">
        <v>123</v>
      </c>
      <c r="AH138" t="s">
        <v>124</v>
      </c>
      <c r="AI138" t="s">
        <v>1542</v>
      </c>
      <c r="AJ138" t="s">
        <v>126</v>
      </c>
      <c r="AK138" t="s">
        <v>127</v>
      </c>
      <c r="AM138" t="s">
        <v>1543</v>
      </c>
      <c r="AN138" t="s">
        <v>1278</v>
      </c>
      <c r="AO138" t="s">
        <v>1544</v>
      </c>
      <c r="AP138" t="s">
        <v>131</v>
      </c>
      <c r="AQ138" t="s">
        <v>132</v>
      </c>
      <c r="AR138" t="s">
        <v>756</v>
      </c>
      <c r="AS138" t="s">
        <v>1545</v>
      </c>
      <c r="AU138" t="s">
        <v>434</v>
      </c>
      <c r="AV138" t="s">
        <v>219</v>
      </c>
      <c r="AW138" t="s">
        <v>155</v>
      </c>
      <c r="AX138" t="s">
        <v>177</v>
      </c>
      <c r="AY138" t="s">
        <v>138</v>
      </c>
      <c r="AZ138" t="s">
        <v>1546</v>
      </c>
      <c r="BB138" t="s">
        <v>140</v>
      </c>
    </row>
    <row r="139" spans="1:54" x14ac:dyDescent="0.35">
      <c r="A139" t="s">
        <v>1547</v>
      </c>
      <c r="B139" t="s">
        <v>107</v>
      </c>
      <c r="C139" t="s">
        <v>107</v>
      </c>
      <c r="E139" t="s">
        <v>108</v>
      </c>
      <c r="F139" t="s">
        <v>158</v>
      </c>
      <c r="G139" t="s">
        <v>159</v>
      </c>
      <c r="H139" t="s">
        <v>111</v>
      </c>
      <c r="I139" t="s">
        <v>341</v>
      </c>
      <c r="J139" t="s">
        <v>1548</v>
      </c>
      <c r="K139" t="s">
        <v>114</v>
      </c>
      <c r="L139" t="s">
        <v>161</v>
      </c>
      <c r="M139" t="s">
        <v>1549</v>
      </c>
      <c r="N139" t="s">
        <v>994</v>
      </c>
      <c r="O139" t="s">
        <v>1550</v>
      </c>
      <c r="P139" t="s">
        <v>1551</v>
      </c>
      <c r="Q139" t="s">
        <v>114</v>
      </c>
      <c r="R139" t="s">
        <v>180</v>
      </c>
      <c r="S139" t="s">
        <v>114</v>
      </c>
      <c r="T139" t="s">
        <v>180</v>
      </c>
      <c r="V139" t="s">
        <v>114</v>
      </c>
      <c r="W139" t="s">
        <v>1551</v>
      </c>
      <c r="Y139" t="s">
        <v>1552</v>
      </c>
      <c r="Z139" t="s">
        <v>1553</v>
      </c>
      <c r="AA139" t="s">
        <v>1554</v>
      </c>
      <c r="AB139" t="s">
        <v>1555</v>
      </c>
      <c r="AC139" t="s">
        <v>1553</v>
      </c>
      <c r="AG139" t="s">
        <v>123</v>
      </c>
      <c r="AH139" t="s">
        <v>124</v>
      </c>
      <c r="AI139" t="s">
        <v>1556</v>
      </c>
      <c r="AJ139" t="s">
        <v>126</v>
      </c>
      <c r="AK139" t="s">
        <v>127</v>
      </c>
      <c r="AM139" t="s">
        <v>1557</v>
      </c>
      <c r="AN139" t="s">
        <v>1558</v>
      </c>
      <c r="AO139" t="s">
        <v>1559</v>
      </c>
      <c r="AP139" t="s">
        <v>131</v>
      </c>
      <c r="AQ139" t="s">
        <v>132</v>
      </c>
      <c r="AR139" t="s">
        <v>1560</v>
      </c>
      <c r="AS139" t="s">
        <v>1561</v>
      </c>
      <c r="AU139" t="s">
        <v>1195</v>
      </c>
      <c r="AV139" t="s">
        <v>625</v>
      </c>
      <c r="AW139" t="s">
        <v>136</v>
      </c>
      <c r="AX139" t="s">
        <v>1562</v>
      </c>
      <c r="AY139" t="s">
        <v>138</v>
      </c>
      <c r="AZ139" t="s">
        <v>1563</v>
      </c>
      <c r="BB139" t="s">
        <v>140</v>
      </c>
    </row>
    <row r="140" spans="1:54" x14ac:dyDescent="0.35">
      <c r="A140" t="s">
        <v>1564</v>
      </c>
      <c r="B140" t="s">
        <v>107</v>
      </c>
      <c r="C140" t="s">
        <v>107</v>
      </c>
      <c r="E140" t="s">
        <v>108</v>
      </c>
      <c r="F140" t="s">
        <v>158</v>
      </c>
      <c r="G140" t="s">
        <v>159</v>
      </c>
      <c r="H140" t="s">
        <v>111</v>
      </c>
      <c r="I140" t="s">
        <v>341</v>
      </c>
      <c r="J140" t="s">
        <v>113</v>
      </c>
      <c r="K140" t="s">
        <v>114</v>
      </c>
      <c r="L140" t="s">
        <v>161</v>
      </c>
      <c r="M140" t="s">
        <v>161</v>
      </c>
      <c r="N140" t="s">
        <v>994</v>
      </c>
      <c r="O140" t="s">
        <v>1110</v>
      </c>
      <c r="P140" t="s">
        <v>1151</v>
      </c>
      <c r="Q140" t="s">
        <v>114</v>
      </c>
      <c r="R140" t="s">
        <v>180</v>
      </c>
      <c r="S140" t="s">
        <v>114</v>
      </c>
      <c r="T140" t="s">
        <v>180</v>
      </c>
      <c r="V140" t="s">
        <v>114</v>
      </c>
      <c r="W140" t="s">
        <v>1151</v>
      </c>
      <c r="Y140" t="s">
        <v>1565</v>
      </c>
      <c r="Z140" t="s">
        <v>1566</v>
      </c>
      <c r="AA140" t="s">
        <v>1567</v>
      </c>
      <c r="AB140" t="s">
        <v>1568</v>
      </c>
      <c r="AC140" t="s">
        <v>1566</v>
      </c>
      <c r="AG140" t="s">
        <v>123</v>
      </c>
      <c r="AH140" t="s">
        <v>124</v>
      </c>
      <c r="AI140" t="s">
        <v>1569</v>
      </c>
      <c r="AJ140" t="s">
        <v>126</v>
      </c>
      <c r="AK140" t="s">
        <v>127</v>
      </c>
      <c r="AM140" t="s">
        <v>1570</v>
      </c>
      <c r="AN140" t="s">
        <v>1571</v>
      </c>
      <c r="AO140" t="s">
        <v>1572</v>
      </c>
      <c r="AP140" t="s">
        <v>131</v>
      </c>
      <c r="AQ140" t="s">
        <v>132</v>
      </c>
      <c r="AR140" t="s">
        <v>989</v>
      </c>
      <c r="AS140" t="s">
        <v>990</v>
      </c>
      <c r="AU140" t="s">
        <v>300</v>
      </c>
      <c r="AW140" t="s">
        <v>136</v>
      </c>
      <c r="AX140" t="s">
        <v>177</v>
      </c>
      <c r="AY140" t="s">
        <v>138</v>
      </c>
      <c r="AZ140" t="s">
        <v>1573</v>
      </c>
      <c r="BB140" t="s">
        <v>140</v>
      </c>
    </row>
    <row r="141" spans="1:54" x14ac:dyDescent="0.35">
      <c r="A141" t="s">
        <v>1574</v>
      </c>
      <c r="B141" t="s">
        <v>107</v>
      </c>
      <c r="C141" t="s">
        <v>107</v>
      </c>
      <c r="E141" t="s">
        <v>108</v>
      </c>
      <c r="F141" t="s">
        <v>158</v>
      </c>
      <c r="G141" t="s">
        <v>159</v>
      </c>
      <c r="H141" t="s">
        <v>111</v>
      </c>
      <c r="I141" t="s">
        <v>341</v>
      </c>
      <c r="J141" t="s">
        <v>113</v>
      </c>
      <c r="K141" t="s">
        <v>114</v>
      </c>
      <c r="L141" t="s">
        <v>161</v>
      </c>
      <c r="M141" t="s">
        <v>161</v>
      </c>
      <c r="N141" t="s">
        <v>762</v>
      </c>
      <c r="O141" t="s">
        <v>1110</v>
      </c>
      <c r="P141" t="s">
        <v>1575</v>
      </c>
      <c r="Q141" t="s">
        <v>114</v>
      </c>
      <c r="R141" t="s">
        <v>142</v>
      </c>
      <c r="S141" t="s">
        <v>114</v>
      </c>
      <c r="T141" t="s">
        <v>142</v>
      </c>
      <c r="V141" t="s">
        <v>114</v>
      </c>
      <c r="W141" t="s">
        <v>1575</v>
      </c>
      <c r="Y141" t="s">
        <v>1576</v>
      </c>
      <c r="Z141" t="s">
        <v>1577</v>
      </c>
      <c r="AA141" t="s">
        <v>1578</v>
      </c>
      <c r="AB141" t="s">
        <v>1579</v>
      </c>
      <c r="AC141" t="s">
        <v>1577</v>
      </c>
      <c r="AG141" t="s">
        <v>123</v>
      </c>
      <c r="AH141" t="s">
        <v>124</v>
      </c>
      <c r="AI141" t="s">
        <v>1580</v>
      </c>
      <c r="AJ141" t="s">
        <v>126</v>
      </c>
      <c r="AK141" t="s">
        <v>127</v>
      </c>
      <c r="AM141" t="s">
        <v>1581</v>
      </c>
      <c r="AN141" t="s">
        <v>1582</v>
      </c>
      <c r="AO141" t="s">
        <v>1583</v>
      </c>
      <c r="AP141" t="s">
        <v>131</v>
      </c>
      <c r="AQ141" t="s">
        <v>132</v>
      </c>
      <c r="AR141" t="s">
        <v>152</v>
      </c>
      <c r="AS141" t="s">
        <v>1584</v>
      </c>
      <c r="AU141" t="s">
        <v>406</v>
      </c>
      <c r="AW141" t="s">
        <v>136</v>
      </c>
      <c r="AX141" t="s">
        <v>177</v>
      </c>
      <c r="AY141" t="s">
        <v>138</v>
      </c>
      <c r="AZ141" t="s">
        <v>1585</v>
      </c>
      <c r="BB141" t="s">
        <v>140</v>
      </c>
    </row>
    <row r="142" spans="1:54" x14ac:dyDescent="0.35">
      <c r="A142" t="s">
        <v>1586</v>
      </c>
      <c r="B142" t="s">
        <v>107</v>
      </c>
      <c r="C142" t="s">
        <v>107</v>
      </c>
      <c r="E142" t="s">
        <v>108</v>
      </c>
      <c r="F142" t="s">
        <v>499</v>
      </c>
      <c r="G142" t="s">
        <v>500</v>
      </c>
      <c r="H142" t="s">
        <v>501</v>
      </c>
      <c r="I142" t="s">
        <v>341</v>
      </c>
      <c r="J142" t="s">
        <v>113</v>
      </c>
      <c r="K142" t="s">
        <v>114</v>
      </c>
      <c r="L142" t="s">
        <v>502</v>
      </c>
      <c r="M142" t="s">
        <v>502</v>
      </c>
      <c r="N142" t="s">
        <v>114</v>
      </c>
      <c r="O142" t="s">
        <v>504</v>
      </c>
      <c r="P142" t="s">
        <v>895</v>
      </c>
      <c r="Q142" t="s">
        <v>114</v>
      </c>
      <c r="R142" t="s">
        <v>180</v>
      </c>
      <c r="S142" t="s">
        <v>114</v>
      </c>
      <c r="T142" t="s">
        <v>180</v>
      </c>
      <c r="V142" t="s">
        <v>114</v>
      </c>
      <c r="W142" t="s">
        <v>895</v>
      </c>
      <c r="Y142" t="s">
        <v>1587</v>
      </c>
      <c r="Z142" t="s">
        <v>1588</v>
      </c>
      <c r="AA142" t="s">
        <v>1589</v>
      </c>
      <c r="AB142" t="s">
        <v>1590</v>
      </c>
      <c r="AC142" t="s">
        <v>1588</v>
      </c>
      <c r="AG142" t="s">
        <v>123</v>
      </c>
      <c r="AH142" t="s">
        <v>124</v>
      </c>
      <c r="AI142" t="s">
        <v>1591</v>
      </c>
      <c r="AJ142" t="s">
        <v>126</v>
      </c>
      <c r="AK142" t="s">
        <v>127</v>
      </c>
      <c r="AM142" t="s">
        <v>1592</v>
      </c>
      <c r="AN142" t="s">
        <v>1593</v>
      </c>
      <c r="AO142" t="s">
        <v>1594</v>
      </c>
      <c r="AP142" t="s">
        <v>131</v>
      </c>
      <c r="AQ142" t="s">
        <v>132</v>
      </c>
      <c r="AR142" t="s">
        <v>432</v>
      </c>
      <c r="AS142" t="s">
        <v>433</v>
      </c>
      <c r="AU142" t="s">
        <v>668</v>
      </c>
      <c r="AW142" t="s">
        <v>136</v>
      </c>
      <c r="AX142" t="s">
        <v>177</v>
      </c>
      <c r="AY142" t="s">
        <v>517</v>
      </c>
      <c r="AZ142" t="s">
        <v>1595</v>
      </c>
      <c r="BB142" t="s">
        <v>140</v>
      </c>
    </row>
    <row r="143" spans="1:54" x14ac:dyDescent="0.35">
      <c r="A143" t="s">
        <v>1596</v>
      </c>
      <c r="B143" t="s">
        <v>107</v>
      </c>
      <c r="C143" t="s">
        <v>107</v>
      </c>
      <c r="E143" t="s">
        <v>108</v>
      </c>
      <c r="F143" t="s">
        <v>158</v>
      </c>
      <c r="G143" t="s">
        <v>159</v>
      </c>
      <c r="H143" t="s">
        <v>111</v>
      </c>
      <c r="I143" t="s">
        <v>341</v>
      </c>
      <c r="J143" t="s">
        <v>113</v>
      </c>
      <c r="K143" t="s">
        <v>114</v>
      </c>
      <c r="L143" t="s">
        <v>161</v>
      </c>
      <c r="M143" t="s">
        <v>161</v>
      </c>
      <c r="N143" t="s">
        <v>994</v>
      </c>
      <c r="O143" t="s">
        <v>1110</v>
      </c>
      <c r="P143" t="s">
        <v>1151</v>
      </c>
      <c r="Q143" t="s">
        <v>114</v>
      </c>
      <c r="R143" t="s">
        <v>180</v>
      </c>
      <c r="S143" t="s">
        <v>114</v>
      </c>
      <c r="T143" t="s">
        <v>180</v>
      </c>
      <c r="V143" t="s">
        <v>114</v>
      </c>
      <c r="W143" t="s">
        <v>1151</v>
      </c>
      <c r="Y143" t="s">
        <v>1597</v>
      </c>
      <c r="Z143" t="s">
        <v>1598</v>
      </c>
      <c r="AA143" t="s">
        <v>1599</v>
      </c>
      <c r="AB143" t="s">
        <v>1600</v>
      </c>
      <c r="AC143" t="s">
        <v>1598</v>
      </c>
      <c r="AG143" t="s">
        <v>123</v>
      </c>
      <c r="AH143" t="s">
        <v>124</v>
      </c>
      <c r="AI143" t="s">
        <v>1601</v>
      </c>
      <c r="AJ143" t="s">
        <v>126</v>
      </c>
      <c r="AK143" t="s">
        <v>127</v>
      </c>
      <c r="AM143" t="s">
        <v>1602</v>
      </c>
      <c r="AN143" t="s">
        <v>1603</v>
      </c>
      <c r="AO143" t="s">
        <v>1604</v>
      </c>
      <c r="AP143" t="s">
        <v>131</v>
      </c>
      <c r="AQ143" t="s">
        <v>132</v>
      </c>
      <c r="AR143" t="s">
        <v>1605</v>
      </c>
      <c r="AS143" t="s">
        <v>1606</v>
      </c>
      <c r="AU143" t="s">
        <v>1072</v>
      </c>
      <c r="AV143" t="s">
        <v>1607</v>
      </c>
      <c r="AW143" t="s">
        <v>136</v>
      </c>
      <c r="AX143" t="s">
        <v>177</v>
      </c>
      <c r="AY143" t="s">
        <v>138</v>
      </c>
      <c r="AZ143" t="s">
        <v>1608</v>
      </c>
      <c r="BB143" t="s">
        <v>140</v>
      </c>
    </row>
    <row r="144" spans="1:54" x14ac:dyDescent="0.35">
      <c r="A144" t="s">
        <v>1609</v>
      </c>
      <c r="B144" t="s">
        <v>107</v>
      </c>
      <c r="C144" t="s">
        <v>107</v>
      </c>
      <c r="E144" t="s">
        <v>108</v>
      </c>
      <c r="F144" t="s">
        <v>158</v>
      </c>
      <c r="G144" t="s">
        <v>159</v>
      </c>
      <c r="H144" t="s">
        <v>111</v>
      </c>
      <c r="I144" t="s">
        <v>341</v>
      </c>
      <c r="J144" t="s">
        <v>113</v>
      </c>
      <c r="K144" t="s">
        <v>114</v>
      </c>
      <c r="L144" t="s">
        <v>161</v>
      </c>
      <c r="M144" t="s">
        <v>161</v>
      </c>
      <c r="N144" t="s">
        <v>994</v>
      </c>
      <c r="O144" t="s">
        <v>1110</v>
      </c>
      <c r="P144" t="s">
        <v>1151</v>
      </c>
      <c r="Q144" t="s">
        <v>114</v>
      </c>
      <c r="R144" t="s">
        <v>180</v>
      </c>
      <c r="S144" t="s">
        <v>114</v>
      </c>
      <c r="T144" t="s">
        <v>180</v>
      </c>
      <c r="V144" t="s">
        <v>114</v>
      </c>
      <c r="W144" t="s">
        <v>1151</v>
      </c>
      <c r="Y144" t="s">
        <v>1610</v>
      </c>
      <c r="Z144" t="s">
        <v>1611</v>
      </c>
      <c r="AA144" t="s">
        <v>1612</v>
      </c>
      <c r="AB144" t="s">
        <v>1613</v>
      </c>
      <c r="AC144" t="s">
        <v>1611</v>
      </c>
      <c r="AG144" t="s">
        <v>123</v>
      </c>
      <c r="AH144" t="s">
        <v>124</v>
      </c>
      <c r="AI144" t="s">
        <v>1614</v>
      </c>
      <c r="AJ144" t="s">
        <v>126</v>
      </c>
      <c r="AK144" t="s">
        <v>127</v>
      </c>
      <c r="AM144" t="s">
        <v>1615</v>
      </c>
      <c r="AN144" t="s">
        <v>1616</v>
      </c>
      <c r="AO144" t="s">
        <v>1617</v>
      </c>
      <c r="AP144" t="s">
        <v>131</v>
      </c>
      <c r="AQ144" t="s">
        <v>132</v>
      </c>
      <c r="AR144" t="s">
        <v>880</v>
      </c>
      <c r="AS144" t="s">
        <v>881</v>
      </c>
      <c r="AU144" t="s">
        <v>219</v>
      </c>
      <c r="AW144" t="s">
        <v>136</v>
      </c>
      <c r="AX144" t="s">
        <v>177</v>
      </c>
      <c r="AY144" t="s">
        <v>138</v>
      </c>
      <c r="AZ144" t="s">
        <v>1618</v>
      </c>
      <c r="BB144" t="s">
        <v>140</v>
      </c>
    </row>
    <row r="145" spans="1:54" x14ac:dyDescent="0.35">
      <c r="A145" t="s">
        <v>1619</v>
      </c>
      <c r="B145" t="s">
        <v>336</v>
      </c>
      <c r="C145" t="s">
        <v>336</v>
      </c>
      <c r="D145" t="s">
        <v>337</v>
      </c>
      <c r="E145" t="s">
        <v>108</v>
      </c>
      <c r="F145" t="s">
        <v>158</v>
      </c>
      <c r="G145" t="s">
        <v>159</v>
      </c>
      <c r="H145" t="s">
        <v>111</v>
      </c>
      <c r="I145" t="s">
        <v>341</v>
      </c>
      <c r="J145" t="s">
        <v>113</v>
      </c>
      <c r="K145" t="s">
        <v>113</v>
      </c>
      <c r="L145" t="s">
        <v>161</v>
      </c>
      <c r="M145" t="s">
        <v>161</v>
      </c>
      <c r="N145" t="s">
        <v>994</v>
      </c>
      <c r="O145" t="s">
        <v>1110</v>
      </c>
      <c r="P145" t="s">
        <v>1151</v>
      </c>
      <c r="Q145" t="s">
        <v>996</v>
      </c>
      <c r="R145" t="s">
        <v>118</v>
      </c>
      <c r="S145" t="s">
        <v>114</v>
      </c>
      <c r="T145" t="s">
        <v>997</v>
      </c>
      <c r="V145" t="s">
        <v>114</v>
      </c>
      <c r="W145" t="s">
        <v>1620</v>
      </c>
      <c r="X145" t="s">
        <v>1151</v>
      </c>
      <c r="Y145" t="s">
        <v>1621</v>
      </c>
      <c r="AA145" t="s">
        <v>1622</v>
      </c>
      <c r="AB145" t="s">
        <v>1623</v>
      </c>
      <c r="AD145" t="s">
        <v>1624</v>
      </c>
      <c r="AE145" t="s">
        <v>474</v>
      </c>
      <c r="AF145" t="s">
        <v>475</v>
      </c>
      <c r="AG145" t="s">
        <v>123</v>
      </c>
      <c r="AH145" t="s">
        <v>124</v>
      </c>
      <c r="AI145" t="s">
        <v>1625</v>
      </c>
      <c r="AJ145" t="s">
        <v>126</v>
      </c>
      <c r="AK145" t="s">
        <v>127</v>
      </c>
      <c r="AM145" t="s">
        <v>1626</v>
      </c>
      <c r="AN145" t="s">
        <v>1627</v>
      </c>
      <c r="AO145" t="s">
        <v>1628</v>
      </c>
      <c r="AP145" t="s">
        <v>131</v>
      </c>
      <c r="AQ145" t="s">
        <v>132</v>
      </c>
      <c r="AR145" t="s">
        <v>262</v>
      </c>
      <c r="AS145" t="s">
        <v>571</v>
      </c>
      <c r="AU145" t="s">
        <v>1607</v>
      </c>
      <c r="AV145" t="s">
        <v>131</v>
      </c>
      <c r="AW145" t="s">
        <v>136</v>
      </c>
      <c r="AX145" t="s">
        <v>177</v>
      </c>
      <c r="AY145" t="s">
        <v>138</v>
      </c>
      <c r="AZ145" t="s">
        <v>1629</v>
      </c>
      <c r="BB145" t="s">
        <v>140</v>
      </c>
    </row>
    <row r="146" spans="1:54" x14ac:dyDescent="0.35">
      <c r="A146" t="s">
        <v>1630</v>
      </c>
      <c r="B146" t="s">
        <v>107</v>
      </c>
      <c r="C146" t="s">
        <v>107</v>
      </c>
      <c r="E146" t="s">
        <v>108</v>
      </c>
      <c r="F146" t="s">
        <v>158</v>
      </c>
      <c r="G146" t="s">
        <v>159</v>
      </c>
      <c r="H146" t="s">
        <v>111</v>
      </c>
      <c r="I146" t="s">
        <v>341</v>
      </c>
      <c r="J146" t="s">
        <v>113</v>
      </c>
      <c r="K146" t="s">
        <v>114</v>
      </c>
      <c r="L146" t="s">
        <v>161</v>
      </c>
      <c r="M146" t="s">
        <v>161</v>
      </c>
      <c r="N146" t="s">
        <v>994</v>
      </c>
      <c r="O146" t="s">
        <v>1110</v>
      </c>
      <c r="P146" t="s">
        <v>1151</v>
      </c>
      <c r="Q146" t="s">
        <v>114</v>
      </c>
      <c r="R146" t="s">
        <v>334</v>
      </c>
      <c r="S146" t="s">
        <v>114</v>
      </c>
      <c r="T146" t="s">
        <v>334</v>
      </c>
      <c r="V146" t="s">
        <v>114</v>
      </c>
      <c r="W146" t="s">
        <v>1151</v>
      </c>
      <c r="Y146" t="s">
        <v>1631</v>
      </c>
      <c r="Z146" t="s">
        <v>1632</v>
      </c>
      <c r="AA146" t="s">
        <v>1633</v>
      </c>
      <c r="AB146" t="s">
        <v>1634</v>
      </c>
      <c r="AC146" t="s">
        <v>1635</v>
      </c>
      <c r="AG146" t="s">
        <v>123</v>
      </c>
      <c r="AH146" t="s">
        <v>124</v>
      </c>
      <c r="AI146" t="s">
        <v>1636</v>
      </c>
      <c r="AJ146" t="s">
        <v>126</v>
      </c>
      <c r="AK146" t="s">
        <v>127</v>
      </c>
      <c r="AM146" t="s">
        <v>1637</v>
      </c>
      <c r="AN146" t="s">
        <v>1638</v>
      </c>
      <c r="AO146" t="s">
        <v>1639</v>
      </c>
      <c r="AP146" t="s">
        <v>131</v>
      </c>
      <c r="AQ146" t="s">
        <v>132</v>
      </c>
      <c r="AR146" t="s">
        <v>1640</v>
      </c>
      <c r="AS146" t="s">
        <v>1641</v>
      </c>
      <c r="AU146" t="s">
        <v>406</v>
      </c>
      <c r="AW146" t="s">
        <v>176</v>
      </c>
      <c r="AX146" t="s">
        <v>177</v>
      </c>
      <c r="AY146" t="s">
        <v>138</v>
      </c>
      <c r="AZ146" t="s">
        <v>1642</v>
      </c>
      <c r="BB146" t="s">
        <v>140</v>
      </c>
    </row>
    <row r="147" spans="1:54" x14ac:dyDescent="0.35">
      <c r="A147" t="s">
        <v>1643</v>
      </c>
      <c r="B147" t="s">
        <v>107</v>
      </c>
      <c r="C147" t="s">
        <v>107</v>
      </c>
      <c r="E147" t="s">
        <v>108</v>
      </c>
      <c r="F147" t="s">
        <v>158</v>
      </c>
      <c r="G147" t="s">
        <v>159</v>
      </c>
      <c r="H147" t="s">
        <v>111</v>
      </c>
      <c r="I147" t="s">
        <v>341</v>
      </c>
      <c r="J147" t="s">
        <v>113</v>
      </c>
      <c r="K147" t="s">
        <v>114</v>
      </c>
      <c r="L147" t="s">
        <v>161</v>
      </c>
      <c r="M147" t="s">
        <v>161</v>
      </c>
      <c r="N147" t="s">
        <v>994</v>
      </c>
      <c r="O147" t="s">
        <v>1110</v>
      </c>
      <c r="P147" t="s">
        <v>1151</v>
      </c>
      <c r="Q147" t="s">
        <v>438</v>
      </c>
      <c r="R147" t="s">
        <v>118</v>
      </c>
      <c r="S147" t="s">
        <v>114</v>
      </c>
      <c r="T147" t="s">
        <v>1644</v>
      </c>
      <c r="V147" t="s">
        <v>114</v>
      </c>
      <c r="W147" t="s">
        <v>1645</v>
      </c>
      <c r="Y147" t="s">
        <v>1646</v>
      </c>
      <c r="Z147" t="s">
        <v>1647</v>
      </c>
      <c r="AA147" t="s">
        <v>1648</v>
      </c>
      <c r="AB147" t="s">
        <v>1649</v>
      </c>
      <c r="AC147" t="s">
        <v>1647</v>
      </c>
      <c r="AG147" t="s">
        <v>123</v>
      </c>
      <c r="AH147" t="s">
        <v>124</v>
      </c>
      <c r="AI147" t="s">
        <v>1650</v>
      </c>
      <c r="AJ147" t="s">
        <v>126</v>
      </c>
      <c r="AK147" t="s">
        <v>127</v>
      </c>
      <c r="AM147" t="s">
        <v>1651</v>
      </c>
      <c r="AN147" t="s">
        <v>1652</v>
      </c>
      <c r="AO147" t="s">
        <v>1653</v>
      </c>
      <c r="AP147" t="s">
        <v>131</v>
      </c>
      <c r="AQ147" t="s">
        <v>132</v>
      </c>
      <c r="AR147" t="s">
        <v>262</v>
      </c>
      <c r="AS147" t="s">
        <v>571</v>
      </c>
      <c r="AU147" t="s">
        <v>530</v>
      </c>
      <c r="AW147" t="s">
        <v>136</v>
      </c>
      <c r="AX147" t="s">
        <v>177</v>
      </c>
      <c r="AY147" t="s">
        <v>138</v>
      </c>
      <c r="AZ147" t="s">
        <v>1654</v>
      </c>
      <c r="BB147" t="s">
        <v>140</v>
      </c>
    </row>
    <row r="148" spans="1:54" x14ac:dyDescent="0.35">
      <c r="A148" t="s">
        <v>1655</v>
      </c>
      <c r="B148" t="s">
        <v>107</v>
      </c>
      <c r="C148" t="s">
        <v>107</v>
      </c>
      <c r="E148" t="s">
        <v>108</v>
      </c>
      <c r="F148" t="s">
        <v>158</v>
      </c>
      <c r="G148" t="s">
        <v>159</v>
      </c>
      <c r="H148" t="s">
        <v>111</v>
      </c>
      <c r="I148" t="s">
        <v>341</v>
      </c>
      <c r="J148" t="s">
        <v>113</v>
      </c>
      <c r="K148" t="s">
        <v>114</v>
      </c>
      <c r="L148" t="s">
        <v>161</v>
      </c>
      <c r="M148" t="s">
        <v>161</v>
      </c>
      <c r="N148" t="s">
        <v>162</v>
      </c>
      <c r="O148" t="s">
        <v>1110</v>
      </c>
      <c r="P148" t="s">
        <v>1206</v>
      </c>
      <c r="Q148" t="s">
        <v>114</v>
      </c>
      <c r="R148" t="s">
        <v>142</v>
      </c>
      <c r="S148" t="s">
        <v>114</v>
      </c>
      <c r="T148" t="s">
        <v>142</v>
      </c>
      <c r="V148" t="s">
        <v>114</v>
      </c>
      <c r="W148" t="s">
        <v>1206</v>
      </c>
      <c r="Y148" t="s">
        <v>1656</v>
      </c>
      <c r="Z148" t="s">
        <v>1657</v>
      </c>
      <c r="AA148" t="s">
        <v>1658</v>
      </c>
      <c r="AB148" t="s">
        <v>1659</v>
      </c>
      <c r="AC148" t="s">
        <v>1657</v>
      </c>
      <c r="AG148" t="s">
        <v>123</v>
      </c>
      <c r="AH148" t="s">
        <v>124</v>
      </c>
      <c r="AI148" t="s">
        <v>1660</v>
      </c>
      <c r="AJ148" t="s">
        <v>126</v>
      </c>
      <c r="AK148" t="s">
        <v>127</v>
      </c>
      <c r="AM148" t="s">
        <v>1661</v>
      </c>
      <c r="AN148" t="s">
        <v>1662</v>
      </c>
      <c r="AO148" t="s">
        <v>1663</v>
      </c>
      <c r="AP148" t="s">
        <v>131</v>
      </c>
      <c r="AQ148" t="s">
        <v>132</v>
      </c>
      <c r="AR148" t="s">
        <v>720</v>
      </c>
      <c r="AS148" t="s">
        <v>1664</v>
      </c>
      <c r="AU148" t="s">
        <v>1665</v>
      </c>
      <c r="AW148" t="s">
        <v>136</v>
      </c>
      <c r="AX148" t="s">
        <v>177</v>
      </c>
      <c r="AY148" t="s">
        <v>138</v>
      </c>
      <c r="AZ148" t="s">
        <v>1666</v>
      </c>
      <c r="BB148" t="s">
        <v>140</v>
      </c>
    </row>
    <row r="149" spans="1:54" x14ac:dyDescent="0.35">
      <c r="A149" t="s">
        <v>1667</v>
      </c>
      <c r="B149" t="s">
        <v>107</v>
      </c>
      <c r="C149" t="s">
        <v>107</v>
      </c>
      <c r="E149" t="s">
        <v>108</v>
      </c>
      <c r="F149" t="s">
        <v>158</v>
      </c>
      <c r="G149" t="s">
        <v>159</v>
      </c>
      <c r="H149" t="s">
        <v>111</v>
      </c>
      <c r="I149" t="s">
        <v>341</v>
      </c>
      <c r="J149" t="s">
        <v>113</v>
      </c>
      <c r="K149" t="s">
        <v>114</v>
      </c>
      <c r="L149" t="s">
        <v>161</v>
      </c>
      <c r="M149" t="s">
        <v>161</v>
      </c>
      <c r="N149" t="s">
        <v>162</v>
      </c>
      <c r="O149" t="s">
        <v>1110</v>
      </c>
      <c r="P149" t="s">
        <v>1206</v>
      </c>
      <c r="Q149" t="s">
        <v>114</v>
      </c>
      <c r="R149" t="s">
        <v>180</v>
      </c>
      <c r="S149" t="s">
        <v>114</v>
      </c>
      <c r="T149" t="s">
        <v>180</v>
      </c>
      <c r="V149" t="s">
        <v>114</v>
      </c>
      <c r="W149" t="s">
        <v>1206</v>
      </c>
      <c r="Y149" t="s">
        <v>1668</v>
      </c>
      <c r="Z149" t="s">
        <v>1669</v>
      </c>
      <c r="AA149" t="s">
        <v>1670</v>
      </c>
      <c r="AB149" t="s">
        <v>1671</v>
      </c>
      <c r="AC149" t="s">
        <v>1672</v>
      </c>
      <c r="AG149" t="s">
        <v>123</v>
      </c>
      <c r="AH149" t="s">
        <v>124</v>
      </c>
      <c r="AI149" t="s">
        <v>1673</v>
      </c>
      <c r="AJ149" t="s">
        <v>126</v>
      </c>
      <c r="AK149" t="s">
        <v>127</v>
      </c>
      <c r="AM149" t="s">
        <v>1674</v>
      </c>
      <c r="AN149" t="s">
        <v>1675</v>
      </c>
      <c r="AO149" t="s">
        <v>1676</v>
      </c>
      <c r="AP149" t="s">
        <v>131</v>
      </c>
      <c r="AQ149" t="s">
        <v>403</v>
      </c>
      <c r="AR149" t="s">
        <v>404</v>
      </c>
      <c r="AS149" t="s">
        <v>405</v>
      </c>
      <c r="AU149" t="s">
        <v>375</v>
      </c>
      <c r="AW149" t="s">
        <v>155</v>
      </c>
      <c r="AX149" t="s">
        <v>177</v>
      </c>
      <c r="AY149" t="s">
        <v>138</v>
      </c>
      <c r="AZ149" t="s">
        <v>1677</v>
      </c>
      <c r="BB149" t="s">
        <v>140</v>
      </c>
    </row>
    <row r="150" spans="1:54" x14ac:dyDescent="0.35">
      <c r="A150" t="s">
        <v>1678</v>
      </c>
      <c r="B150" t="s">
        <v>107</v>
      </c>
      <c r="C150" t="s">
        <v>107</v>
      </c>
      <c r="E150" t="s">
        <v>108</v>
      </c>
      <c r="F150" t="s">
        <v>158</v>
      </c>
      <c r="G150" t="s">
        <v>159</v>
      </c>
      <c r="H150" t="s">
        <v>111</v>
      </c>
      <c r="I150" t="s">
        <v>341</v>
      </c>
      <c r="J150" t="s">
        <v>113</v>
      </c>
      <c r="K150" t="s">
        <v>114</v>
      </c>
      <c r="L150" t="s">
        <v>161</v>
      </c>
      <c r="M150" t="s">
        <v>161</v>
      </c>
      <c r="N150" t="s">
        <v>1679</v>
      </c>
      <c r="O150" t="s">
        <v>1110</v>
      </c>
      <c r="P150" t="s">
        <v>1680</v>
      </c>
      <c r="Q150" t="s">
        <v>114</v>
      </c>
      <c r="R150" t="s">
        <v>180</v>
      </c>
      <c r="S150" t="s">
        <v>114</v>
      </c>
      <c r="T150" t="s">
        <v>180</v>
      </c>
      <c r="V150" t="s">
        <v>114</v>
      </c>
      <c r="W150" t="s">
        <v>1680</v>
      </c>
      <c r="Y150" t="s">
        <v>1681</v>
      </c>
      <c r="Z150" t="s">
        <v>1682</v>
      </c>
      <c r="AA150" t="s">
        <v>1683</v>
      </c>
      <c r="AB150" t="s">
        <v>1684</v>
      </c>
      <c r="AC150" t="s">
        <v>1685</v>
      </c>
      <c r="AG150" t="s">
        <v>123</v>
      </c>
      <c r="AH150" t="s">
        <v>124</v>
      </c>
      <c r="AI150" t="s">
        <v>1686</v>
      </c>
      <c r="AJ150" t="s">
        <v>126</v>
      </c>
      <c r="AK150" t="s">
        <v>127</v>
      </c>
      <c r="AM150" t="s">
        <v>1687</v>
      </c>
      <c r="AN150" t="s">
        <v>1688</v>
      </c>
      <c r="AO150" t="s">
        <v>1689</v>
      </c>
      <c r="AP150" t="s">
        <v>131</v>
      </c>
      <c r="AQ150" t="s">
        <v>132</v>
      </c>
      <c r="AR150" t="s">
        <v>202</v>
      </c>
      <c r="AS150" t="s">
        <v>1690</v>
      </c>
      <c r="AU150" t="s">
        <v>654</v>
      </c>
      <c r="AV150" t="s">
        <v>625</v>
      </c>
      <c r="AW150" t="s">
        <v>317</v>
      </c>
      <c r="AX150" t="s">
        <v>177</v>
      </c>
      <c r="AY150" t="s">
        <v>138</v>
      </c>
      <c r="AZ150" t="s">
        <v>1691</v>
      </c>
      <c r="BB150" t="s">
        <v>140</v>
      </c>
    </row>
    <row r="151" spans="1:54" x14ac:dyDescent="0.35">
      <c r="A151" t="s">
        <v>1692</v>
      </c>
      <c r="B151" t="s">
        <v>107</v>
      </c>
      <c r="C151" t="s">
        <v>107</v>
      </c>
      <c r="E151" t="s">
        <v>108</v>
      </c>
      <c r="F151" t="s">
        <v>158</v>
      </c>
      <c r="G151" t="s">
        <v>159</v>
      </c>
      <c r="H151" t="s">
        <v>111</v>
      </c>
      <c r="I151" t="s">
        <v>341</v>
      </c>
      <c r="J151" t="s">
        <v>113</v>
      </c>
      <c r="K151" t="s">
        <v>114</v>
      </c>
      <c r="L151" t="s">
        <v>161</v>
      </c>
      <c r="M151" t="s">
        <v>161</v>
      </c>
      <c r="N151" t="s">
        <v>114</v>
      </c>
      <c r="O151" t="s">
        <v>1110</v>
      </c>
      <c r="P151" t="s">
        <v>1111</v>
      </c>
      <c r="Q151" t="s">
        <v>114</v>
      </c>
      <c r="R151" t="s">
        <v>142</v>
      </c>
      <c r="S151" t="s">
        <v>114</v>
      </c>
      <c r="T151" t="s">
        <v>142</v>
      </c>
      <c r="V151" t="s">
        <v>114</v>
      </c>
      <c r="W151" t="s">
        <v>1111</v>
      </c>
      <c r="Y151" t="s">
        <v>1693</v>
      </c>
      <c r="Z151" t="s">
        <v>1694</v>
      </c>
      <c r="AA151" t="s">
        <v>1695</v>
      </c>
      <c r="AB151" t="s">
        <v>1696</v>
      </c>
      <c r="AC151" t="s">
        <v>1697</v>
      </c>
      <c r="AG151" t="s">
        <v>123</v>
      </c>
      <c r="AH151" t="s">
        <v>124</v>
      </c>
      <c r="AI151" t="s">
        <v>1698</v>
      </c>
      <c r="AJ151" t="s">
        <v>126</v>
      </c>
      <c r="AK151" t="s">
        <v>127</v>
      </c>
      <c r="AM151" t="s">
        <v>1699</v>
      </c>
      <c r="AN151" t="s">
        <v>1700</v>
      </c>
      <c r="AO151" t="s">
        <v>1701</v>
      </c>
      <c r="AP151" t="s">
        <v>131</v>
      </c>
      <c r="AQ151" t="s">
        <v>132</v>
      </c>
      <c r="AR151" t="s">
        <v>152</v>
      </c>
      <c r="AS151" t="s">
        <v>1702</v>
      </c>
      <c r="AU151" t="s">
        <v>1703</v>
      </c>
      <c r="AW151" t="s">
        <v>655</v>
      </c>
      <c r="AX151" t="s">
        <v>177</v>
      </c>
      <c r="AY151" t="s">
        <v>138</v>
      </c>
      <c r="AZ151" t="s">
        <v>1704</v>
      </c>
      <c r="BB151" t="s">
        <v>140</v>
      </c>
    </row>
    <row r="152" spans="1:54" x14ac:dyDescent="0.35">
      <c r="A152" t="s">
        <v>1705</v>
      </c>
      <c r="B152" t="s">
        <v>336</v>
      </c>
      <c r="C152" t="s">
        <v>336</v>
      </c>
      <c r="D152" t="s">
        <v>337</v>
      </c>
      <c r="E152" t="s">
        <v>108</v>
      </c>
      <c r="F152" t="s">
        <v>158</v>
      </c>
      <c r="G152" t="s">
        <v>159</v>
      </c>
      <c r="H152" t="s">
        <v>111</v>
      </c>
      <c r="I152" t="s">
        <v>341</v>
      </c>
      <c r="J152" t="s">
        <v>113</v>
      </c>
      <c r="K152" t="s">
        <v>113</v>
      </c>
      <c r="L152" t="s">
        <v>161</v>
      </c>
      <c r="M152" t="s">
        <v>161</v>
      </c>
      <c r="N152" t="s">
        <v>114</v>
      </c>
      <c r="O152" t="s">
        <v>1110</v>
      </c>
      <c r="P152" t="s">
        <v>1111</v>
      </c>
      <c r="Q152" t="s">
        <v>114</v>
      </c>
      <c r="R152" t="s">
        <v>142</v>
      </c>
      <c r="S152" t="s">
        <v>114</v>
      </c>
      <c r="T152" t="s">
        <v>142</v>
      </c>
      <c r="V152" t="s">
        <v>114</v>
      </c>
      <c r="W152" t="s">
        <v>1111</v>
      </c>
      <c r="X152" t="s">
        <v>1111</v>
      </c>
      <c r="Y152" t="s">
        <v>1706</v>
      </c>
      <c r="Z152" t="s">
        <v>1707</v>
      </c>
      <c r="AD152" t="s">
        <v>1708</v>
      </c>
      <c r="AE152" t="s">
        <v>346</v>
      </c>
      <c r="AF152" t="s">
        <v>347</v>
      </c>
      <c r="AG152" t="s">
        <v>123</v>
      </c>
      <c r="AH152" t="s">
        <v>124</v>
      </c>
      <c r="AJ152" t="s">
        <v>126</v>
      </c>
      <c r="AM152" t="s">
        <v>1699</v>
      </c>
      <c r="AN152" t="s">
        <v>1700</v>
      </c>
      <c r="AO152" t="s">
        <v>1701</v>
      </c>
      <c r="AP152" t="s">
        <v>131</v>
      </c>
      <c r="AQ152" t="s">
        <v>132</v>
      </c>
      <c r="AR152" t="s">
        <v>152</v>
      </c>
      <c r="AS152" t="s">
        <v>1702</v>
      </c>
      <c r="AU152" t="s">
        <v>1703</v>
      </c>
      <c r="AW152" t="s">
        <v>655</v>
      </c>
      <c r="AX152" t="s">
        <v>177</v>
      </c>
      <c r="AY152" t="s">
        <v>138</v>
      </c>
      <c r="AZ152" t="s">
        <v>1709</v>
      </c>
      <c r="BB152" t="s">
        <v>140</v>
      </c>
    </row>
    <row r="153" spans="1:54" x14ac:dyDescent="0.35">
      <c r="A153" t="s">
        <v>1710</v>
      </c>
      <c r="B153" t="s">
        <v>107</v>
      </c>
      <c r="C153" t="s">
        <v>107</v>
      </c>
      <c r="E153" t="s">
        <v>108</v>
      </c>
      <c r="F153" t="s">
        <v>158</v>
      </c>
      <c r="G153" t="s">
        <v>159</v>
      </c>
      <c r="H153" t="s">
        <v>111</v>
      </c>
      <c r="I153" t="s">
        <v>341</v>
      </c>
      <c r="J153" t="s">
        <v>113</v>
      </c>
      <c r="K153" t="s">
        <v>114</v>
      </c>
      <c r="L153" t="s">
        <v>161</v>
      </c>
      <c r="M153" t="s">
        <v>161</v>
      </c>
      <c r="N153" t="s">
        <v>994</v>
      </c>
      <c r="O153" t="s">
        <v>1110</v>
      </c>
      <c r="P153" t="s">
        <v>1151</v>
      </c>
      <c r="Q153" t="s">
        <v>114</v>
      </c>
      <c r="R153" t="s">
        <v>180</v>
      </c>
      <c r="S153" t="s">
        <v>114</v>
      </c>
      <c r="T153" t="s">
        <v>180</v>
      </c>
      <c r="V153" t="s">
        <v>114</v>
      </c>
      <c r="W153" t="s">
        <v>1151</v>
      </c>
      <c r="Y153" t="s">
        <v>1711</v>
      </c>
      <c r="Z153" t="s">
        <v>1712</v>
      </c>
      <c r="AA153" t="s">
        <v>1713</v>
      </c>
      <c r="AB153" t="s">
        <v>1714</v>
      </c>
      <c r="AC153" t="s">
        <v>1712</v>
      </c>
      <c r="AG153" t="s">
        <v>123</v>
      </c>
      <c r="AH153" t="s">
        <v>124</v>
      </c>
      <c r="AI153" t="s">
        <v>1715</v>
      </c>
      <c r="AJ153" t="s">
        <v>126</v>
      </c>
      <c r="AK153" t="s">
        <v>127</v>
      </c>
      <c r="AM153" t="s">
        <v>1716</v>
      </c>
      <c r="AN153" t="s">
        <v>1717</v>
      </c>
      <c r="AO153" t="s">
        <v>1718</v>
      </c>
      <c r="AP153" t="s">
        <v>131</v>
      </c>
      <c r="AQ153" t="s">
        <v>132</v>
      </c>
      <c r="AR153" t="s">
        <v>1120</v>
      </c>
      <c r="AS153" t="s">
        <v>1719</v>
      </c>
      <c r="AU153" t="s">
        <v>773</v>
      </c>
      <c r="AW153" t="s">
        <v>136</v>
      </c>
      <c r="AX153" t="s">
        <v>177</v>
      </c>
      <c r="AY153" t="s">
        <v>138</v>
      </c>
      <c r="AZ153" t="s">
        <v>1720</v>
      </c>
      <c r="BB153" t="s">
        <v>140</v>
      </c>
    </row>
    <row r="154" spans="1:54" x14ac:dyDescent="0.35">
      <c r="A154" t="s">
        <v>1721</v>
      </c>
      <c r="B154" t="s">
        <v>107</v>
      </c>
      <c r="C154" t="s">
        <v>107</v>
      </c>
      <c r="E154" t="s">
        <v>108</v>
      </c>
      <c r="F154" t="s">
        <v>158</v>
      </c>
      <c r="G154" t="s">
        <v>159</v>
      </c>
      <c r="H154" t="s">
        <v>111</v>
      </c>
      <c r="I154" t="s">
        <v>341</v>
      </c>
      <c r="J154" t="s">
        <v>113</v>
      </c>
      <c r="K154" t="s">
        <v>114</v>
      </c>
      <c r="L154" t="s">
        <v>161</v>
      </c>
      <c r="M154" t="s">
        <v>161</v>
      </c>
      <c r="N154" t="s">
        <v>994</v>
      </c>
      <c r="O154" t="s">
        <v>1110</v>
      </c>
      <c r="P154" t="s">
        <v>1151</v>
      </c>
      <c r="Q154" t="s">
        <v>114</v>
      </c>
      <c r="R154" t="s">
        <v>142</v>
      </c>
      <c r="S154" t="s">
        <v>114</v>
      </c>
      <c r="T154" t="s">
        <v>142</v>
      </c>
      <c r="V154" t="s">
        <v>114</v>
      </c>
      <c r="W154" t="s">
        <v>1151</v>
      </c>
      <c r="Y154" t="s">
        <v>1722</v>
      </c>
      <c r="Z154" t="s">
        <v>1723</v>
      </c>
      <c r="AA154" t="s">
        <v>1724</v>
      </c>
      <c r="AB154" t="s">
        <v>1725</v>
      </c>
      <c r="AC154" t="s">
        <v>1723</v>
      </c>
      <c r="AG154" t="s">
        <v>123</v>
      </c>
      <c r="AH154" t="s">
        <v>124</v>
      </c>
      <c r="AI154" t="s">
        <v>1726</v>
      </c>
      <c r="AJ154" t="s">
        <v>126</v>
      </c>
      <c r="AK154" t="s">
        <v>127</v>
      </c>
      <c r="AM154" t="s">
        <v>1727</v>
      </c>
      <c r="AN154" t="s">
        <v>1728</v>
      </c>
      <c r="AO154" t="s">
        <v>1729</v>
      </c>
      <c r="AP154" t="s">
        <v>131</v>
      </c>
      <c r="AQ154" t="s">
        <v>132</v>
      </c>
      <c r="AR154" t="s">
        <v>152</v>
      </c>
      <c r="AS154" t="s">
        <v>1730</v>
      </c>
      <c r="AU154" t="s">
        <v>773</v>
      </c>
      <c r="AW154" t="s">
        <v>136</v>
      </c>
      <c r="AX154" t="s">
        <v>177</v>
      </c>
      <c r="AY154" t="s">
        <v>138</v>
      </c>
      <c r="AZ154" t="s">
        <v>1731</v>
      </c>
      <c r="BB154" t="s">
        <v>140</v>
      </c>
    </row>
    <row r="155" spans="1:54" x14ac:dyDescent="0.35">
      <c r="A155" t="s">
        <v>1732</v>
      </c>
      <c r="B155" t="s">
        <v>107</v>
      </c>
      <c r="C155" t="s">
        <v>107</v>
      </c>
      <c r="E155" t="s">
        <v>108</v>
      </c>
      <c r="F155" t="s">
        <v>158</v>
      </c>
      <c r="G155" t="s">
        <v>159</v>
      </c>
      <c r="H155" t="s">
        <v>111</v>
      </c>
      <c r="I155" t="s">
        <v>341</v>
      </c>
      <c r="J155" t="s">
        <v>113</v>
      </c>
      <c r="K155" t="s">
        <v>114</v>
      </c>
      <c r="L155" t="s">
        <v>161</v>
      </c>
      <c r="M155" t="s">
        <v>161</v>
      </c>
      <c r="N155" t="s">
        <v>997</v>
      </c>
      <c r="O155" t="s">
        <v>1110</v>
      </c>
      <c r="P155" t="s">
        <v>457</v>
      </c>
      <c r="Q155" t="s">
        <v>114</v>
      </c>
      <c r="R155" t="s">
        <v>142</v>
      </c>
      <c r="S155" t="s">
        <v>114</v>
      </c>
      <c r="T155" t="s">
        <v>142</v>
      </c>
      <c r="V155" t="s">
        <v>114</v>
      </c>
      <c r="W155" t="s">
        <v>457</v>
      </c>
      <c r="Y155" t="s">
        <v>1733</v>
      </c>
      <c r="Z155" t="s">
        <v>1734</v>
      </c>
      <c r="AA155" t="s">
        <v>1735</v>
      </c>
      <c r="AB155" t="s">
        <v>1736</v>
      </c>
      <c r="AC155" t="s">
        <v>1737</v>
      </c>
      <c r="AG155" t="s">
        <v>123</v>
      </c>
      <c r="AH155" t="s">
        <v>124</v>
      </c>
      <c r="AI155" t="s">
        <v>1738</v>
      </c>
      <c r="AJ155" t="s">
        <v>126</v>
      </c>
      <c r="AK155" t="s">
        <v>127</v>
      </c>
      <c r="AM155" t="s">
        <v>1739</v>
      </c>
      <c r="AN155" t="s">
        <v>1740</v>
      </c>
      <c r="AO155" t="s">
        <v>1741</v>
      </c>
      <c r="AP155" t="s">
        <v>131</v>
      </c>
      <c r="AQ155" t="s">
        <v>132</v>
      </c>
      <c r="AR155" t="s">
        <v>387</v>
      </c>
      <c r="AS155" t="s">
        <v>1742</v>
      </c>
      <c r="AU155" t="s">
        <v>516</v>
      </c>
      <c r="AW155" t="s">
        <v>155</v>
      </c>
      <c r="AX155" t="s">
        <v>177</v>
      </c>
      <c r="AY155" t="s">
        <v>138</v>
      </c>
      <c r="AZ155" t="s">
        <v>1743</v>
      </c>
      <c r="BB155" t="s">
        <v>140</v>
      </c>
    </row>
    <row r="156" spans="1:54" x14ac:dyDescent="0.35">
      <c r="A156" t="s">
        <v>1744</v>
      </c>
      <c r="B156" t="s">
        <v>107</v>
      </c>
      <c r="C156" t="s">
        <v>107</v>
      </c>
      <c r="E156" t="s">
        <v>108</v>
      </c>
      <c r="F156" t="s">
        <v>158</v>
      </c>
      <c r="G156" t="s">
        <v>159</v>
      </c>
      <c r="H156" t="s">
        <v>111</v>
      </c>
      <c r="I156" t="s">
        <v>341</v>
      </c>
      <c r="J156" t="s">
        <v>113</v>
      </c>
      <c r="K156" t="s">
        <v>114</v>
      </c>
      <c r="L156" t="s">
        <v>161</v>
      </c>
      <c r="M156" t="s">
        <v>161</v>
      </c>
      <c r="N156" t="s">
        <v>994</v>
      </c>
      <c r="O156" t="s">
        <v>1110</v>
      </c>
      <c r="P156" t="s">
        <v>1151</v>
      </c>
      <c r="Q156" t="s">
        <v>114</v>
      </c>
      <c r="R156" t="s">
        <v>180</v>
      </c>
      <c r="S156" t="s">
        <v>114</v>
      </c>
      <c r="T156" t="s">
        <v>180</v>
      </c>
      <c r="V156" t="s">
        <v>114</v>
      </c>
      <c r="W156" t="s">
        <v>1151</v>
      </c>
      <c r="Y156" t="s">
        <v>1745</v>
      </c>
      <c r="Z156" t="s">
        <v>1746</v>
      </c>
      <c r="AA156" t="s">
        <v>1747</v>
      </c>
      <c r="AB156" t="s">
        <v>1748</v>
      </c>
      <c r="AC156" t="s">
        <v>1749</v>
      </c>
      <c r="AG156" t="s">
        <v>123</v>
      </c>
      <c r="AH156" t="s">
        <v>124</v>
      </c>
      <c r="AI156" t="s">
        <v>1750</v>
      </c>
      <c r="AJ156" t="s">
        <v>126</v>
      </c>
      <c r="AK156" t="s">
        <v>127</v>
      </c>
      <c r="AM156" t="s">
        <v>1751</v>
      </c>
      <c r="AN156" t="s">
        <v>1752</v>
      </c>
      <c r="AO156" t="s">
        <v>1753</v>
      </c>
      <c r="AP156" t="s">
        <v>131</v>
      </c>
      <c r="AQ156" t="s">
        <v>132</v>
      </c>
      <c r="AR156" t="s">
        <v>1754</v>
      </c>
      <c r="AS156" t="s">
        <v>1755</v>
      </c>
      <c r="AU156" t="s">
        <v>434</v>
      </c>
      <c r="AW156" t="s">
        <v>317</v>
      </c>
      <c r="AX156" t="s">
        <v>177</v>
      </c>
      <c r="AY156" t="s">
        <v>138</v>
      </c>
      <c r="AZ156" t="s">
        <v>1756</v>
      </c>
      <c r="BB156" t="s">
        <v>140</v>
      </c>
    </row>
    <row r="157" spans="1:54" x14ac:dyDescent="0.35">
      <c r="A157" t="s">
        <v>1757</v>
      </c>
      <c r="B157" t="s">
        <v>107</v>
      </c>
      <c r="C157" t="s">
        <v>107</v>
      </c>
      <c r="E157" t="s">
        <v>108</v>
      </c>
      <c r="F157" t="s">
        <v>158</v>
      </c>
      <c r="G157" t="s">
        <v>159</v>
      </c>
      <c r="H157" t="s">
        <v>111</v>
      </c>
      <c r="I157" t="s">
        <v>341</v>
      </c>
      <c r="J157" t="s">
        <v>113</v>
      </c>
      <c r="K157" t="s">
        <v>114</v>
      </c>
      <c r="L157" t="s">
        <v>161</v>
      </c>
      <c r="M157" t="s">
        <v>161</v>
      </c>
      <c r="N157" t="s">
        <v>994</v>
      </c>
      <c r="O157" t="s">
        <v>1110</v>
      </c>
      <c r="P157" t="s">
        <v>1151</v>
      </c>
      <c r="Q157" t="s">
        <v>114</v>
      </c>
      <c r="R157" t="s">
        <v>194</v>
      </c>
      <c r="S157" t="s">
        <v>114</v>
      </c>
      <c r="T157" t="s">
        <v>194</v>
      </c>
      <c r="V157" t="s">
        <v>114</v>
      </c>
      <c r="W157" t="s">
        <v>1151</v>
      </c>
      <c r="Y157" t="s">
        <v>1758</v>
      </c>
      <c r="Z157" t="s">
        <v>1759</v>
      </c>
      <c r="AA157" t="s">
        <v>1760</v>
      </c>
      <c r="AB157" t="s">
        <v>1761</v>
      </c>
      <c r="AC157" t="s">
        <v>1759</v>
      </c>
      <c r="AG157" t="s">
        <v>123</v>
      </c>
      <c r="AH157" t="s">
        <v>124</v>
      </c>
      <c r="AI157" t="s">
        <v>1762</v>
      </c>
      <c r="AJ157" t="s">
        <v>126</v>
      </c>
      <c r="AK157" t="s">
        <v>127</v>
      </c>
      <c r="AM157" t="s">
        <v>1763</v>
      </c>
      <c r="AN157" t="s">
        <v>1764</v>
      </c>
      <c r="AO157" t="s">
        <v>1765</v>
      </c>
      <c r="AP157" t="s">
        <v>131</v>
      </c>
      <c r="AQ157" t="s">
        <v>132</v>
      </c>
      <c r="AR157" t="s">
        <v>352</v>
      </c>
      <c r="AS157" t="s">
        <v>353</v>
      </c>
      <c r="AU157" t="s">
        <v>1766</v>
      </c>
      <c r="AW157" t="s">
        <v>136</v>
      </c>
      <c r="AX157" t="s">
        <v>177</v>
      </c>
      <c r="AY157" t="s">
        <v>138</v>
      </c>
      <c r="AZ157" t="s">
        <v>1767</v>
      </c>
      <c r="BB157" t="s">
        <v>140</v>
      </c>
    </row>
    <row r="158" spans="1:54" x14ac:dyDescent="0.35">
      <c r="A158" t="s">
        <v>1768</v>
      </c>
      <c r="B158" t="s">
        <v>107</v>
      </c>
      <c r="C158" t="s">
        <v>107</v>
      </c>
      <c r="E158" t="s">
        <v>108</v>
      </c>
      <c r="F158" t="s">
        <v>158</v>
      </c>
      <c r="G158" t="s">
        <v>159</v>
      </c>
      <c r="H158" t="s">
        <v>111</v>
      </c>
      <c r="I158" t="s">
        <v>341</v>
      </c>
      <c r="J158" t="s">
        <v>113</v>
      </c>
      <c r="K158" t="s">
        <v>114</v>
      </c>
      <c r="L158" t="s">
        <v>161</v>
      </c>
      <c r="M158" t="s">
        <v>161</v>
      </c>
      <c r="N158" t="s">
        <v>994</v>
      </c>
      <c r="O158" t="s">
        <v>1110</v>
      </c>
      <c r="P158" t="s">
        <v>1151</v>
      </c>
      <c r="Q158" t="s">
        <v>114</v>
      </c>
      <c r="R158" t="s">
        <v>180</v>
      </c>
      <c r="S158" t="s">
        <v>114</v>
      </c>
      <c r="T158" t="s">
        <v>180</v>
      </c>
      <c r="V158" t="s">
        <v>114</v>
      </c>
      <c r="W158" t="s">
        <v>1151</v>
      </c>
      <c r="Y158" t="s">
        <v>1769</v>
      </c>
      <c r="Z158" t="s">
        <v>1770</v>
      </c>
      <c r="AA158" t="s">
        <v>1771</v>
      </c>
      <c r="AB158" t="s">
        <v>1772</v>
      </c>
      <c r="AC158" t="s">
        <v>1770</v>
      </c>
      <c r="AG158" t="s">
        <v>123</v>
      </c>
      <c r="AH158" t="s">
        <v>124</v>
      </c>
      <c r="AI158" t="s">
        <v>1773</v>
      </c>
      <c r="AJ158" t="s">
        <v>126</v>
      </c>
      <c r="AK158" t="s">
        <v>127</v>
      </c>
      <c r="AM158" t="s">
        <v>1774</v>
      </c>
      <c r="AN158" t="s">
        <v>1775</v>
      </c>
      <c r="AO158" t="s">
        <v>1776</v>
      </c>
      <c r="AP158" t="s">
        <v>131</v>
      </c>
      <c r="AQ158" t="s">
        <v>132</v>
      </c>
      <c r="AR158" t="s">
        <v>1777</v>
      </c>
      <c r="AS158" t="s">
        <v>1778</v>
      </c>
      <c r="AU158" t="s">
        <v>191</v>
      </c>
      <c r="AV158" t="s">
        <v>237</v>
      </c>
      <c r="AW158" t="s">
        <v>136</v>
      </c>
      <c r="AX158" t="s">
        <v>177</v>
      </c>
      <c r="AY158" t="s">
        <v>138</v>
      </c>
      <c r="AZ158" t="s">
        <v>1779</v>
      </c>
      <c r="BB158" t="s">
        <v>140</v>
      </c>
    </row>
    <row r="159" spans="1:54" x14ac:dyDescent="0.35">
      <c r="A159" t="s">
        <v>1780</v>
      </c>
      <c r="B159" t="s">
        <v>107</v>
      </c>
      <c r="C159" t="s">
        <v>107</v>
      </c>
      <c r="F159" t="s">
        <v>613</v>
      </c>
      <c r="G159" t="s">
        <v>614</v>
      </c>
      <c r="H159" t="s">
        <v>615</v>
      </c>
      <c r="I159" t="s">
        <v>271</v>
      </c>
      <c r="J159" t="s">
        <v>113</v>
      </c>
      <c r="K159" t="s">
        <v>114</v>
      </c>
      <c r="L159" t="s">
        <v>114</v>
      </c>
      <c r="M159" t="s">
        <v>114</v>
      </c>
      <c r="N159" t="s">
        <v>114</v>
      </c>
      <c r="O159" t="s">
        <v>114</v>
      </c>
      <c r="P159" t="s">
        <v>114</v>
      </c>
      <c r="Q159" t="s">
        <v>114</v>
      </c>
      <c r="R159" t="s">
        <v>114</v>
      </c>
      <c r="S159" t="s">
        <v>114</v>
      </c>
      <c r="T159" t="s">
        <v>114</v>
      </c>
      <c r="V159" t="s">
        <v>114</v>
      </c>
      <c r="W159" t="s">
        <v>114</v>
      </c>
      <c r="Y159" t="s">
        <v>1781</v>
      </c>
      <c r="Z159" t="s">
        <v>1781</v>
      </c>
      <c r="AA159" t="s">
        <v>1782</v>
      </c>
      <c r="AB159" t="s">
        <v>1783</v>
      </c>
      <c r="AC159" t="s">
        <v>1784</v>
      </c>
      <c r="AG159" t="s">
        <v>123</v>
      </c>
      <c r="AH159" t="s">
        <v>124</v>
      </c>
      <c r="AI159" t="s">
        <v>1785</v>
      </c>
      <c r="AJ159" t="s">
        <v>126</v>
      </c>
      <c r="AK159" t="s">
        <v>127</v>
      </c>
      <c r="AM159" t="s">
        <v>1786</v>
      </c>
      <c r="AN159" t="s">
        <v>1787</v>
      </c>
      <c r="AO159" t="s">
        <v>1788</v>
      </c>
      <c r="AP159" t="s">
        <v>131</v>
      </c>
      <c r="AQ159" t="s">
        <v>403</v>
      </c>
      <c r="AR159" t="s">
        <v>1789</v>
      </c>
      <c r="AS159" t="s">
        <v>559</v>
      </c>
      <c r="AU159" t="s">
        <v>516</v>
      </c>
      <c r="AV159" t="s">
        <v>135</v>
      </c>
      <c r="AX159" t="s">
        <v>177</v>
      </c>
      <c r="AY159" t="s">
        <v>627</v>
      </c>
      <c r="AZ159" t="s">
        <v>1790</v>
      </c>
      <c r="BB159" t="s">
        <v>140</v>
      </c>
    </row>
    <row r="160" spans="1:54" x14ac:dyDescent="0.35">
      <c r="A160" t="s">
        <v>1791</v>
      </c>
      <c r="B160" t="s">
        <v>107</v>
      </c>
      <c r="C160" t="s">
        <v>107</v>
      </c>
      <c r="E160" t="s">
        <v>108</v>
      </c>
      <c r="F160" t="s">
        <v>158</v>
      </c>
      <c r="G160" t="s">
        <v>159</v>
      </c>
      <c r="H160" t="s">
        <v>111</v>
      </c>
      <c r="I160" t="s">
        <v>341</v>
      </c>
      <c r="J160" t="s">
        <v>113</v>
      </c>
      <c r="K160" t="s">
        <v>114</v>
      </c>
      <c r="L160" t="s">
        <v>161</v>
      </c>
      <c r="M160" t="s">
        <v>161</v>
      </c>
      <c r="N160" t="s">
        <v>994</v>
      </c>
      <c r="O160" t="s">
        <v>1110</v>
      </c>
      <c r="P160" t="s">
        <v>1151</v>
      </c>
      <c r="Q160" t="s">
        <v>114</v>
      </c>
      <c r="R160" t="s">
        <v>180</v>
      </c>
      <c r="S160" t="s">
        <v>114</v>
      </c>
      <c r="T160" t="s">
        <v>180</v>
      </c>
      <c r="V160" t="s">
        <v>114</v>
      </c>
      <c r="W160" t="s">
        <v>1151</v>
      </c>
      <c r="Y160" t="s">
        <v>1792</v>
      </c>
      <c r="Z160" t="s">
        <v>1793</v>
      </c>
      <c r="AA160" t="s">
        <v>1794</v>
      </c>
      <c r="AB160" t="s">
        <v>1795</v>
      </c>
      <c r="AC160" t="s">
        <v>1793</v>
      </c>
      <c r="AG160" t="s">
        <v>123</v>
      </c>
      <c r="AH160" t="s">
        <v>124</v>
      </c>
      <c r="AI160" t="s">
        <v>1796</v>
      </c>
      <c r="AJ160" t="s">
        <v>126</v>
      </c>
      <c r="AK160" t="s">
        <v>127</v>
      </c>
      <c r="AM160" t="s">
        <v>1797</v>
      </c>
      <c r="AN160" t="s">
        <v>1616</v>
      </c>
      <c r="AO160" t="s">
        <v>1798</v>
      </c>
      <c r="AP160" t="s">
        <v>131</v>
      </c>
      <c r="AQ160" t="s">
        <v>132</v>
      </c>
      <c r="AR160" t="s">
        <v>1799</v>
      </c>
      <c r="AS160" t="s">
        <v>1800</v>
      </c>
      <c r="AU160" t="s">
        <v>690</v>
      </c>
      <c r="AW160" t="s">
        <v>136</v>
      </c>
      <c r="AX160" t="s">
        <v>177</v>
      </c>
      <c r="AY160" t="s">
        <v>138</v>
      </c>
      <c r="AZ160" t="s">
        <v>1801</v>
      </c>
      <c r="BB160" t="s">
        <v>140</v>
      </c>
    </row>
    <row r="161" spans="1:54" x14ac:dyDescent="0.35">
      <c r="A161" t="s">
        <v>1802</v>
      </c>
      <c r="B161" t="s">
        <v>107</v>
      </c>
      <c r="C161" t="s">
        <v>107</v>
      </c>
      <c r="E161" t="s">
        <v>108</v>
      </c>
      <c r="F161" t="s">
        <v>158</v>
      </c>
      <c r="G161" t="s">
        <v>159</v>
      </c>
      <c r="H161" t="s">
        <v>111</v>
      </c>
      <c r="I161" t="s">
        <v>341</v>
      </c>
      <c r="J161" t="s">
        <v>113</v>
      </c>
      <c r="K161" t="s">
        <v>114</v>
      </c>
      <c r="L161" t="s">
        <v>161</v>
      </c>
      <c r="M161" t="s">
        <v>161</v>
      </c>
      <c r="N161" t="s">
        <v>994</v>
      </c>
      <c r="O161" t="s">
        <v>1110</v>
      </c>
      <c r="P161" t="s">
        <v>1151</v>
      </c>
      <c r="Q161" t="s">
        <v>114</v>
      </c>
      <c r="R161" t="s">
        <v>180</v>
      </c>
      <c r="S161" t="s">
        <v>114</v>
      </c>
      <c r="T161" t="s">
        <v>180</v>
      </c>
      <c r="V161" t="s">
        <v>114</v>
      </c>
      <c r="W161" t="s">
        <v>1151</v>
      </c>
      <c r="Y161" t="s">
        <v>1803</v>
      </c>
      <c r="Z161" t="s">
        <v>1804</v>
      </c>
      <c r="AA161" t="s">
        <v>1805</v>
      </c>
      <c r="AB161" t="s">
        <v>1806</v>
      </c>
      <c r="AC161" t="s">
        <v>1804</v>
      </c>
      <c r="AG161" t="s">
        <v>123</v>
      </c>
      <c r="AH161" t="s">
        <v>124</v>
      </c>
      <c r="AI161" t="s">
        <v>1807</v>
      </c>
      <c r="AJ161" t="s">
        <v>126</v>
      </c>
      <c r="AK161" t="s">
        <v>127</v>
      </c>
      <c r="AM161" t="s">
        <v>1808</v>
      </c>
      <c r="AN161" t="s">
        <v>1809</v>
      </c>
      <c r="AO161" t="s">
        <v>1810</v>
      </c>
      <c r="AP161" t="s">
        <v>131</v>
      </c>
      <c r="AQ161" t="s">
        <v>132</v>
      </c>
      <c r="AR161" t="s">
        <v>880</v>
      </c>
      <c r="AS161" t="s">
        <v>1811</v>
      </c>
      <c r="AU161" t="s">
        <v>1183</v>
      </c>
      <c r="AW161" t="s">
        <v>136</v>
      </c>
      <c r="AX161" t="s">
        <v>177</v>
      </c>
      <c r="AY161" t="s">
        <v>138</v>
      </c>
      <c r="AZ161" t="s">
        <v>1812</v>
      </c>
      <c r="BB161" t="s">
        <v>140</v>
      </c>
    </row>
    <row r="162" spans="1:54" x14ac:dyDescent="0.35">
      <c r="A162" t="s">
        <v>1813</v>
      </c>
      <c r="B162" t="s">
        <v>336</v>
      </c>
      <c r="C162" t="s">
        <v>336</v>
      </c>
      <c r="D162" t="s">
        <v>337</v>
      </c>
      <c r="E162" t="s">
        <v>108</v>
      </c>
      <c r="F162" t="s">
        <v>158</v>
      </c>
      <c r="G162" t="s">
        <v>159</v>
      </c>
      <c r="H162" t="s">
        <v>111</v>
      </c>
      <c r="I162" t="s">
        <v>341</v>
      </c>
      <c r="J162" t="s">
        <v>113</v>
      </c>
      <c r="K162" t="s">
        <v>113</v>
      </c>
      <c r="L162" t="s">
        <v>161</v>
      </c>
      <c r="M162" t="s">
        <v>161</v>
      </c>
      <c r="N162" t="s">
        <v>994</v>
      </c>
      <c r="O162" t="s">
        <v>1110</v>
      </c>
      <c r="P162" t="s">
        <v>1151</v>
      </c>
      <c r="Q162" t="s">
        <v>114</v>
      </c>
      <c r="R162" t="s">
        <v>180</v>
      </c>
      <c r="S162" t="s">
        <v>114</v>
      </c>
      <c r="T162" t="s">
        <v>180</v>
      </c>
      <c r="V162" t="s">
        <v>114</v>
      </c>
      <c r="W162" t="s">
        <v>1151</v>
      </c>
      <c r="X162" t="s">
        <v>1151</v>
      </c>
      <c r="Y162" t="s">
        <v>1814</v>
      </c>
      <c r="AD162" t="s">
        <v>1815</v>
      </c>
      <c r="AE162" t="s">
        <v>346</v>
      </c>
      <c r="AF162" t="s">
        <v>347</v>
      </c>
      <c r="AG162" t="s">
        <v>123</v>
      </c>
      <c r="AH162" t="s">
        <v>124</v>
      </c>
      <c r="AJ162" t="s">
        <v>126</v>
      </c>
      <c r="AM162" t="s">
        <v>1816</v>
      </c>
      <c r="AN162" t="s">
        <v>1817</v>
      </c>
      <c r="AO162" t="s">
        <v>1818</v>
      </c>
      <c r="AP162" t="s">
        <v>131</v>
      </c>
      <c r="AQ162" t="s">
        <v>403</v>
      </c>
      <c r="AR162" t="s">
        <v>1819</v>
      </c>
      <c r="AS162" t="s">
        <v>1820</v>
      </c>
      <c r="AU162" t="s">
        <v>1821</v>
      </c>
      <c r="AV162" t="s">
        <v>1821</v>
      </c>
      <c r="AW162" t="s">
        <v>136</v>
      </c>
      <c r="AX162" t="s">
        <v>177</v>
      </c>
      <c r="AY162" t="s">
        <v>138</v>
      </c>
      <c r="AZ162" t="s">
        <v>1822</v>
      </c>
      <c r="BB162" t="s">
        <v>140</v>
      </c>
    </row>
    <row r="163" spans="1:54" x14ac:dyDescent="0.35">
      <c r="A163" t="s">
        <v>1823</v>
      </c>
      <c r="B163" t="s">
        <v>107</v>
      </c>
      <c r="C163" t="s">
        <v>107</v>
      </c>
      <c r="F163" t="s">
        <v>158</v>
      </c>
      <c r="G163" t="s">
        <v>159</v>
      </c>
      <c r="H163" t="s">
        <v>111</v>
      </c>
      <c r="I163" t="s">
        <v>341</v>
      </c>
      <c r="J163" t="s">
        <v>113</v>
      </c>
      <c r="K163" t="s">
        <v>114</v>
      </c>
      <c r="L163" t="s">
        <v>114</v>
      </c>
      <c r="M163" t="s">
        <v>114</v>
      </c>
      <c r="N163" t="s">
        <v>114</v>
      </c>
      <c r="O163" t="s">
        <v>114</v>
      </c>
      <c r="P163" t="s">
        <v>114</v>
      </c>
      <c r="Q163" t="s">
        <v>114</v>
      </c>
      <c r="R163" t="s">
        <v>114</v>
      </c>
      <c r="S163" t="s">
        <v>114</v>
      </c>
      <c r="T163" t="s">
        <v>114</v>
      </c>
      <c r="V163" t="s">
        <v>114</v>
      </c>
      <c r="W163" t="s">
        <v>114</v>
      </c>
      <c r="Y163" t="s">
        <v>1824</v>
      </c>
      <c r="Z163" t="s">
        <v>1824</v>
      </c>
      <c r="AA163" t="s">
        <v>1825</v>
      </c>
      <c r="AB163" t="s">
        <v>1826</v>
      </c>
      <c r="AC163" t="s">
        <v>1827</v>
      </c>
      <c r="AG163" t="s">
        <v>123</v>
      </c>
      <c r="AH163" t="s">
        <v>124</v>
      </c>
      <c r="AI163" t="s">
        <v>1828</v>
      </c>
      <c r="AJ163" t="s">
        <v>126</v>
      </c>
      <c r="AK163" t="s">
        <v>127</v>
      </c>
      <c r="AM163" t="s">
        <v>1829</v>
      </c>
      <c r="AN163" t="s">
        <v>1830</v>
      </c>
      <c r="AO163" t="s">
        <v>1831</v>
      </c>
      <c r="AP163" t="s">
        <v>131</v>
      </c>
      <c r="AQ163" t="s">
        <v>132</v>
      </c>
      <c r="AR163" t="s">
        <v>756</v>
      </c>
      <c r="AS163" t="s">
        <v>1832</v>
      </c>
      <c r="AU163" t="s">
        <v>375</v>
      </c>
      <c r="AV163" t="s">
        <v>1195</v>
      </c>
      <c r="AX163" t="s">
        <v>177</v>
      </c>
      <c r="AY163" t="s">
        <v>138</v>
      </c>
      <c r="AZ163" t="s">
        <v>1833</v>
      </c>
      <c r="BB163" t="s">
        <v>140</v>
      </c>
    </row>
    <row r="164" spans="1:54" x14ac:dyDescent="0.35">
      <c r="A164" t="s">
        <v>1823</v>
      </c>
      <c r="B164" t="s">
        <v>107</v>
      </c>
      <c r="C164" t="s">
        <v>107</v>
      </c>
      <c r="F164" t="s">
        <v>358</v>
      </c>
      <c r="G164" t="s">
        <v>359</v>
      </c>
      <c r="H164" t="s">
        <v>360</v>
      </c>
      <c r="I164" t="s">
        <v>341</v>
      </c>
      <c r="J164" t="s">
        <v>113</v>
      </c>
      <c r="K164" t="s">
        <v>114</v>
      </c>
      <c r="L164" t="s">
        <v>114</v>
      </c>
      <c r="M164" t="s">
        <v>114</v>
      </c>
      <c r="N164" t="s">
        <v>114</v>
      </c>
      <c r="O164" t="s">
        <v>114</v>
      </c>
      <c r="P164" t="s">
        <v>114</v>
      </c>
      <c r="Q164" t="s">
        <v>114</v>
      </c>
      <c r="R164" t="s">
        <v>114</v>
      </c>
      <c r="S164" t="s">
        <v>114</v>
      </c>
      <c r="T164" t="s">
        <v>114</v>
      </c>
      <c r="V164" t="s">
        <v>114</v>
      </c>
      <c r="W164" t="s">
        <v>114</v>
      </c>
      <c r="Y164" t="s">
        <v>1824</v>
      </c>
      <c r="Z164" t="s">
        <v>1824</v>
      </c>
      <c r="AA164" t="s">
        <v>1825</v>
      </c>
      <c r="AB164" t="s">
        <v>1826</v>
      </c>
      <c r="AC164" t="s">
        <v>1827</v>
      </c>
      <c r="AG164" t="s">
        <v>123</v>
      </c>
      <c r="AH164" t="s">
        <v>124</v>
      </c>
      <c r="AI164" t="s">
        <v>1828</v>
      </c>
      <c r="AJ164" t="s">
        <v>126</v>
      </c>
      <c r="AK164" t="s">
        <v>127</v>
      </c>
      <c r="AM164" t="s">
        <v>1829</v>
      </c>
      <c r="AN164" t="s">
        <v>1830</v>
      </c>
      <c r="AO164" t="s">
        <v>1831</v>
      </c>
      <c r="AP164" t="s">
        <v>131</v>
      </c>
      <c r="AQ164" t="s">
        <v>132</v>
      </c>
      <c r="AR164" t="s">
        <v>756</v>
      </c>
      <c r="AS164" t="s">
        <v>1832</v>
      </c>
      <c r="AU164" t="s">
        <v>375</v>
      </c>
      <c r="AV164" t="s">
        <v>1195</v>
      </c>
      <c r="AX164" t="s">
        <v>177</v>
      </c>
      <c r="AY164" t="s">
        <v>364</v>
      </c>
      <c r="AZ164" t="s">
        <v>1833</v>
      </c>
      <c r="BB164" t="s">
        <v>140</v>
      </c>
    </row>
    <row r="165" spans="1:54" x14ac:dyDescent="0.35">
      <c r="A165" t="s">
        <v>1834</v>
      </c>
      <c r="B165" t="s">
        <v>107</v>
      </c>
      <c r="C165" t="s">
        <v>107</v>
      </c>
      <c r="E165" t="s">
        <v>108</v>
      </c>
      <c r="F165" t="s">
        <v>158</v>
      </c>
      <c r="G165" t="s">
        <v>159</v>
      </c>
      <c r="H165" t="s">
        <v>111</v>
      </c>
      <c r="I165" t="s">
        <v>341</v>
      </c>
      <c r="J165" t="s">
        <v>113</v>
      </c>
      <c r="K165" t="s">
        <v>114</v>
      </c>
      <c r="L165" t="s">
        <v>161</v>
      </c>
      <c r="M165" t="s">
        <v>161</v>
      </c>
      <c r="N165" t="s">
        <v>162</v>
      </c>
      <c r="O165" t="s">
        <v>1110</v>
      </c>
      <c r="P165" t="s">
        <v>1206</v>
      </c>
      <c r="Q165" t="s">
        <v>114</v>
      </c>
      <c r="R165" t="s">
        <v>180</v>
      </c>
      <c r="S165" t="s">
        <v>114</v>
      </c>
      <c r="T165" t="s">
        <v>180</v>
      </c>
      <c r="V165" t="s">
        <v>114</v>
      </c>
      <c r="W165" t="s">
        <v>1206</v>
      </c>
      <c r="Y165" t="s">
        <v>1835</v>
      </c>
      <c r="Z165" t="s">
        <v>1836</v>
      </c>
      <c r="AA165" t="s">
        <v>1837</v>
      </c>
      <c r="AB165" t="s">
        <v>1838</v>
      </c>
      <c r="AC165" t="s">
        <v>1836</v>
      </c>
      <c r="AG165" t="s">
        <v>123</v>
      </c>
      <c r="AH165" t="s">
        <v>124</v>
      </c>
      <c r="AI165" t="s">
        <v>1839</v>
      </c>
      <c r="AJ165" t="s">
        <v>126</v>
      </c>
      <c r="AK165" t="s">
        <v>127</v>
      </c>
      <c r="AM165" t="s">
        <v>1840</v>
      </c>
      <c r="AN165" t="s">
        <v>1841</v>
      </c>
      <c r="AO165" t="s">
        <v>1842</v>
      </c>
      <c r="AP165" t="s">
        <v>131</v>
      </c>
      <c r="AQ165" t="s">
        <v>132</v>
      </c>
      <c r="AR165" t="s">
        <v>331</v>
      </c>
      <c r="AS165" t="s">
        <v>1843</v>
      </c>
      <c r="AU165" t="s">
        <v>516</v>
      </c>
      <c r="AW165" t="s">
        <v>136</v>
      </c>
      <c r="AX165" t="s">
        <v>177</v>
      </c>
      <c r="AY165" t="s">
        <v>138</v>
      </c>
      <c r="AZ165" t="s">
        <v>1844</v>
      </c>
      <c r="BB165" t="s">
        <v>140</v>
      </c>
    </row>
    <row r="166" spans="1:54" x14ac:dyDescent="0.35">
      <c r="A166" t="s">
        <v>1845</v>
      </c>
      <c r="B166" t="s">
        <v>107</v>
      </c>
      <c r="C166" t="s">
        <v>107</v>
      </c>
      <c r="E166" t="s">
        <v>108</v>
      </c>
      <c r="F166" t="s">
        <v>158</v>
      </c>
      <c r="G166" t="s">
        <v>159</v>
      </c>
      <c r="H166" t="s">
        <v>111</v>
      </c>
      <c r="I166" t="s">
        <v>341</v>
      </c>
      <c r="J166" t="s">
        <v>113</v>
      </c>
      <c r="K166" t="s">
        <v>114</v>
      </c>
      <c r="L166" t="s">
        <v>161</v>
      </c>
      <c r="M166" t="s">
        <v>161</v>
      </c>
      <c r="N166" t="s">
        <v>672</v>
      </c>
      <c r="O166" t="s">
        <v>1110</v>
      </c>
      <c r="P166" t="s">
        <v>117</v>
      </c>
      <c r="Q166" t="s">
        <v>114</v>
      </c>
      <c r="R166" t="s">
        <v>142</v>
      </c>
      <c r="S166" t="s">
        <v>114</v>
      </c>
      <c r="T166" t="s">
        <v>142</v>
      </c>
      <c r="V166" t="s">
        <v>114</v>
      </c>
      <c r="W166" t="s">
        <v>117</v>
      </c>
      <c r="Y166" t="s">
        <v>1846</v>
      </c>
      <c r="Z166" t="s">
        <v>1847</v>
      </c>
      <c r="AA166" t="s">
        <v>1848</v>
      </c>
      <c r="AB166" t="s">
        <v>1849</v>
      </c>
      <c r="AC166" t="s">
        <v>1850</v>
      </c>
      <c r="AG166" t="s">
        <v>123</v>
      </c>
      <c r="AH166" t="s">
        <v>124</v>
      </c>
      <c r="AI166" t="s">
        <v>1851</v>
      </c>
      <c r="AJ166" t="s">
        <v>126</v>
      </c>
      <c r="AK166" t="s">
        <v>127</v>
      </c>
      <c r="AM166" t="s">
        <v>230</v>
      </c>
      <c r="AN166" t="s">
        <v>231</v>
      </c>
      <c r="AO166" t="s">
        <v>232</v>
      </c>
      <c r="AP166" t="s">
        <v>131</v>
      </c>
      <c r="AQ166" t="s">
        <v>233</v>
      </c>
      <c r="AR166" t="s">
        <v>234</v>
      </c>
      <c r="AS166" t="s">
        <v>235</v>
      </c>
      <c r="AU166" t="s">
        <v>236</v>
      </c>
      <c r="AV166" t="s">
        <v>237</v>
      </c>
      <c r="AW166" t="s">
        <v>176</v>
      </c>
      <c r="AX166" t="s">
        <v>177</v>
      </c>
      <c r="AY166" t="s">
        <v>138</v>
      </c>
      <c r="AZ166" t="s">
        <v>1852</v>
      </c>
      <c r="BB166" t="s">
        <v>140</v>
      </c>
    </row>
    <row r="167" spans="1:54" x14ac:dyDescent="0.35">
      <c r="A167" t="s">
        <v>1853</v>
      </c>
      <c r="B167" t="s">
        <v>107</v>
      </c>
      <c r="C167" t="s">
        <v>107</v>
      </c>
      <c r="F167" t="s">
        <v>533</v>
      </c>
      <c r="G167" t="s">
        <v>534</v>
      </c>
      <c r="H167" t="s">
        <v>535</v>
      </c>
      <c r="I167" t="s">
        <v>536</v>
      </c>
      <c r="J167" t="s">
        <v>113</v>
      </c>
      <c r="K167" t="s">
        <v>114</v>
      </c>
      <c r="L167" t="s">
        <v>114</v>
      </c>
      <c r="M167" t="s">
        <v>114</v>
      </c>
      <c r="N167" t="s">
        <v>114</v>
      </c>
      <c r="O167" t="s">
        <v>114</v>
      </c>
      <c r="P167" t="s">
        <v>114</v>
      </c>
      <c r="Q167" t="s">
        <v>114</v>
      </c>
      <c r="R167" t="s">
        <v>114</v>
      </c>
      <c r="S167" t="s">
        <v>114</v>
      </c>
      <c r="T167" t="s">
        <v>114</v>
      </c>
      <c r="V167" t="s">
        <v>114</v>
      </c>
      <c r="W167" t="s">
        <v>114</v>
      </c>
      <c r="Y167" t="s">
        <v>1854</v>
      </c>
      <c r="Z167" t="s">
        <v>1854</v>
      </c>
      <c r="AA167" t="s">
        <v>1855</v>
      </c>
      <c r="AB167" t="s">
        <v>1856</v>
      </c>
      <c r="AC167" t="s">
        <v>1857</v>
      </c>
      <c r="AG167" t="s">
        <v>123</v>
      </c>
      <c r="AH167" t="s">
        <v>124</v>
      </c>
      <c r="AI167" t="s">
        <v>1858</v>
      </c>
      <c r="AJ167" t="s">
        <v>126</v>
      </c>
      <c r="AK167" t="s">
        <v>127</v>
      </c>
      <c r="AM167" t="s">
        <v>1859</v>
      </c>
      <c r="AN167" t="s">
        <v>1860</v>
      </c>
      <c r="AO167" t="s">
        <v>1861</v>
      </c>
      <c r="AP167" t="s">
        <v>131</v>
      </c>
      <c r="AQ167" t="s">
        <v>132</v>
      </c>
      <c r="AR167" t="s">
        <v>1862</v>
      </c>
      <c r="AS167" t="s">
        <v>1863</v>
      </c>
      <c r="AU167" t="s">
        <v>1183</v>
      </c>
      <c r="AX167" t="s">
        <v>547</v>
      </c>
      <c r="AY167" t="s">
        <v>364</v>
      </c>
      <c r="AZ167" t="s">
        <v>1864</v>
      </c>
      <c r="BB167" t="s">
        <v>140</v>
      </c>
    </row>
    <row r="168" spans="1:54" x14ac:dyDescent="0.35">
      <c r="A168" t="s">
        <v>1865</v>
      </c>
      <c r="B168" t="s">
        <v>107</v>
      </c>
      <c r="C168" t="s">
        <v>107</v>
      </c>
      <c r="F168" t="s">
        <v>158</v>
      </c>
      <c r="G168" t="s">
        <v>159</v>
      </c>
      <c r="H168" t="s">
        <v>111</v>
      </c>
      <c r="I168" t="s">
        <v>341</v>
      </c>
      <c r="J168" t="s">
        <v>113</v>
      </c>
      <c r="K168" t="s">
        <v>114</v>
      </c>
      <c r="L168" t="s">
        <v>114</v>
      </c>
      <c r="M168" t="s">
        <v>114</v>
      </c>
      <c r="N168" t="s">
        <v>114</v>
      </c>
      <c r="O168" t="s">
        <v>114</v>
      </c>
      <c r="P168" t="s">
        <v>114</v>
      </c>
      <c r="Q168" t="s">
        <v>114</v>
      </c>
      <c r="R168" t="s">
        <v>114</v>
      </c>
      <c r="S168" t="s">
        <v>114</v>
      </c>
      <c r="T168" t="s">
        <v>114</v>
      </c>
      <c r="V168" t="s">
        <v>114</v>
      </c>
      <c r="W168" t="s">
        <v>114</v>
      </c>
      <c r="Y168" t="s">
        <v>1866</v>
      </c>
      <c r="Z168" t="s">
        <v>1866</v>
      </c>
      <c r="AA168" t="s">
        <v>1855</v>
      </c>
      <c r="AB168" t="s">
        <v>1867</v>
      </c>
      <c r="AC168" t="s">
        <v>1868</v>
      </c>
      <c r="AG168" t="s">
        <v>123</v>
      </c>
      <c r="AH168" t="s">
        <v>124</v>
      </c>
      <c r="AI168" t="s">
        <v>1869</v>
      </c>
      <c r="AJ168" t="s">
        <v>126</v>
      </c>
      <c r="AK168" t="s">
        <v>127</v>
      </c>
      <c r="AM168" t="s">
        <v>1870</v>
      </c>
      <c r="AN168" t="s">
        <v>1871</v>
      </c>
      <c r="AO168" t="s">
        <v>1872</v>
      </c>
      <c r="AP168" t="s">
        <v>131</v>
      </c>
      <c r="AQ168" t="s">
        <v>132</v>
      </c>
      <c r="AR168" t="s">
        <v>1862</v>
      </c>
      <c r="AS168" t="s">
        <v>1873</v>
      </c>
      <c r="AU168" t="s">
        <v>1490</v>
      </c>
      <c r="AX168" t="s">
        <v>177</v>
      </c>
      <c r="AY168" t="s">
        <v>138</v>
      </c>
      <c r="AZ168" t="s">
        <v>1874</v>
      </c>
      <c r="BB168" t="s">
        <v>140</v>
      </c>
    </row>
    <row r="169" spans="1:54" x14ac:dyDescent="0.35">
      <c r="A169" t="s">
        <v>1875</v>
      </c>
      <c r="B169" t="s">
        <v>336</v>
      </c>
      <c r="C169" t="s">
        <v>336</v>
      </c>
      <c r="D169" t="s">
        <v>337</v>
      </c>
      <c r="E169" t="s">
        <v>108</v>
      </c>
      <c r="F169" t="s">
        <v>158</v>
      </c>
      <c r="G169" t="s">
        <v>159</v>
      </c>
      <c r="H169" t="s">
        <v>111</v>
      </c>
      <c r="I169" t="s">
        <v>341</v>
      </c>
      <c r="J169" t="s">
        <v>113</v>
      </c>
      <c r="K169" t="s">
        <v>113</v>
      </c>
      <c r="L169" t="s">
        <v>161</v>
      </c>
      <c r="M169" t="s">
        <v>161</v>
      </c>
      <c r="N169" t="s">
        <v>436</v>
      </c>
      <c r="O169" t="s">
        <v>1110</v>
      </c>
      <c r="P169" t="s">
        <v>1876</v>
      </c>
      <c r="Q169" t="s">
        <v>114</v>
      </c>
      <c r="R169" t="s">
        <v>142</v>
      </c>
      <c r="S169" t="s">
        <v>114</v>
      </c>
      <c r="T169" t="s">
        <v>142</v>
      </c>
      <c r="V169" t="s">
        <v>114</v>
      </c>
      <c r="W169" t="s">
        <v>1876</v>
      </c>
      <c r="X169" t="s">
        <v>1876</v>
      </c>
      <c r="Y169" t="s">
        <v>1877</v>
      </c>
      <c r="Z169" t="s">
        <v>1878</v>
      </c>
      <c r="AA169" t="s">
        <v>1879</v>
      </c>
      <c r="AD169" t="s">
        <v>1880</v>
      </c>
      <c r="AE169" t="s">
        <v>346</v>
      </c>
      <c r="AF169" t="s">
        <v>1881</v>
      </c>
      <c r="AG169" t="s">
        <v>123</v>
      </c>
      <c r="AH169" t="s">
        <v>124</v>
      </c>
      <c r="AI169" t="s">
        <v>1882</v>
      </c>
      <c r="AJ169" t="s">
        <v>126</v>
      </c>
      <c r="AK169" t="s">
        <v>127</v>
      </c>
      <c r="AM169" t="s">
        <v>230</v>
      </c>
      <c r="AN169" t="s">
        <v>1883</v>
      </c>
      <c r="AO169" t="s">
        <v>232</v>
      </c>
      <c r="AP169" t="s">
        <v>131</v>
      </c>
      <c r="AQ169" t="s">
        <v>233</v>
      </c>
      <c r="AR169" t="s">
        <v>234</v>
      </c>
      <c r="AS169" t="s">
        <v>1884</v>
      </c>
      <c r="AU169" t="s">
        <v>1885</v>
      </c>
      <c r="AV169" t="s">
        <v>668</v>
      </c>
      <c r="AW169" t="s">
        <v>176</v>
      </c>
      <c r="AX169" t="s">
        <v>177</v>
      </c>
      <c r="AY169" t="s">
        <v>138</v>
      </c>
      <c r="AZ169" t="s">
        <v>1886</v>
      </c>
      <c r="BB169" t="s">
        <v>140</v>
      </c>
    </row>
    <row r="170" spans="1:54" x14ac:dyDescent="0.35">
      <c r="A170" t="s">
        <v>1887</v>
      </c>
      <c r="B170" t="s">
        <v>107</v>
      </c>
      <c r="C170" t="s">
        <v>107</v>
      </c>
      <c r="F170" t="s">
        <v>158</v>
      </c>
      <c r="G170" t="s">
        <v>159</v>
      </c>
      <c r="H170" t="s">
        <v>111</v>
      </c>
      <c r="I170" t="s">
        <v>341</v>
      </c>
      <c r="J170" t="s">
        <v>113</v>
      </c>
      <c r="K170" t="s">
        <v>114</v>
      </c>
      <c r="L170" t="s">
        <v>114</v>
      </c>
      <c r="M170" t="s">
        <v>114</v>
      </c>
      <c r="N170" t="s">
        <v>114</v>
      </c>
      <c r="O170" t="s">
        <v>114</v>
      </c>
      <c r="P170" t="s">
        <v>114</v>
      </c>
      <c r="Q170" t="s">
        <v>114</v>
      </c>
      <c r="R170" t="s">
        <v>114</v>
      </c>
      <c r="S170" t="s">
        <v>114</v>
      </c>
      <c r="T170" t="s">
        <v>114</v>
      </c>
      <c r="V170" t="s">
        <v>114</v>
      </c>
      <c r="W170" t="s">
        <v>114</v>
      </c>
      <c r="Y170" t="s">
        <v>1888</v>
      </c>
      <c r="Z170" t="s">
        <v>1888</v>
      </c>
      <c r="AA170" t="s">
        <v>1889</v>
      </c>
      <c r="AB170" t="s">
        <v>1890</v>
      </c>
      <c r="AC170" t="s">
        <v>1891</v>
      </c>
      <c r="AG170" t="s">
        <v>123</v>
      </c>
      <c r="AH170" t="s">
        <v>124</v>
      </c>
      <c r="AI170" t="s">
        <v>1892</v>
      </c>
      <c r="AJ170" t="s">
        <v>126</v>
      </c>
      <c r="AK170" t="s">
        <v>127</v>
      </c>
      <c r="AM170" t="s">
        <v>1893</v>
      </c>
      <c r="AN170" t="s">
        <v>1894</v>
      </c>
      <c r="AO170" t="s">
        <v>1895</v>
      </c>
      <c r="AP170" t="s">
        <v>131</v>
      </c>
      <c r="AQ170" t="s">
        <v>132</v>
      </c>
      <c r="AR170" t="s">
        <v>466</v>
      </c>
      <c r="AS170" t="s">
        <v>584</v>
      </c>
      <c r="AU170" t="s">
        <v>1896</v>
      </c>
      <c r="AX170" t="s">
        <v>177</v>
      </c>
      <c r="AY170" t="s">
        <v>138</v>
      </c>
      <c r="AZ170" t="s">
        <v>1897</v>
      </c>
      <c r="BB170" t="s">
        <v>140</v>
      </c>
    </row>
    <row r="171" spans="1:54" x14ac:dyDescent="0.35">
      <c r="A171" t="s">
        <v>1898</v>
      </c>
      <c r="B171" t="s">
        <v>107</v>
      </c>
      <c r="C171" t="s">
        <v>107</v>
      </c>
      <c r="F171" t="s">
        <v>613</v>
      </c>
      <c r="G171" t="s">
        <v>614</v>
      </c>
      <c r="H171" t="s">
        <v>615</v>
      </c>
      <c r="I171" t="s">
        <v>271</v>
      </c>
      <c r="J171" t="s">
        <v>113</v>
      </c>
      <c r="K171" t="s">
        <v>114</v>
      </c>
      <c r="L171" t="s">
        <v>114</v>
      </c>
      <c r="M171" t="s">
        <v>114</v>
      </c>
      <c r="N171" t="s">
        <v>114</v>
      </c>
      <c r="O171" t="s">
        <v>114</v>
      </c>
      <c r="P171" t="s">
        <v>114</v>
      </c>
      <c r="Q171" t="s">
        <v>114</v>
      </c>
      <c r="R171" t="s">
        <v>114</v>
      </c>
      <c r="S171" t="s">
        <v>114</v>
      </c>
      <c r="T171" t="s">
        <v>114</v>
      </c>
      <c r="V171" t="s">
        <v>114</v>
      </c>
      <c r="W171" t="s">
        <v>114</v>
      </c>
      <c r="Y171" t="s">
        <v>1899</v>
      </c>
      <c r="Z171" t="s">
        <v>1899</v>
      </c>
      <c r="AA171" t="s">
        <v>1900</v>
      </c>
      <c r="AB171" t="s">
        <v>1901</v>
      </c>
      <c r="AC171" t="s">
        <v>1902</v>
      </c>
      <c r="AG171" t="s">
        <v>123</v>
      </c>
      <c r="AH171" t="s">
        <v>124</v>
      </c>
      <c r="AI171" t="s">
        <v>1903</v>
      </c>
      <c r="AJ171" t="s">
        <v>126</v>
      </c>
      <c r="AK171" t="s">
        <v>127</v>
      </c>
      <c r="AM171" t="s">
        <v>1904</v>
      </c>
      <c r="AN171" t="s">
        <v>569</v>
      </c>
      <c r="AO171" t="s">
        <v>1905</v>
      </c>
      <c r="AP171" t="s">
        <v>131</v>
      </c>
      <c r="AQ171" t="s">
        <v>132</v>
      </c>
      <c r="AR171" t="s">
        <v>756</v>
      </c>
      <c r="AS171" t="s">
        <v>1906</v>
      </c>
      <c r="AU171" t="s">
        <v>965</v>
      </c>
      <c r="AV171" t="s">
        <v>918</v>
      </c>
      <c r="AX171" t="s">
        <v>177</v>
      </c>
      <c r="AY171" t="s">
        <v>627</v>
      </c>
      <c r="AZ171" t="s">
        <v>1907</v>
      </c>
      <c r="BB171" t="s">
        <v>140</v>
      </c>
    </row>
    <row r="172" spans="1:54" x14ac:dyDescent="0.35">
      <c r="A172" t="s">
        <v>1908</v>
      </c>
      <c r="B172" t="s">
        <v>107</v>
      </c>
      <c r="C172" t="s">
        <v>107</v>
      </c>
      <c r="F172" t="s">
        <v>613</v>
      </c>
      <c r="G172" t="s">
        <v>614</v>
      </c>
      <c r="H172" t="s">
        <v>615</v>
      </c>
      <c r="I172" t="s">
        <v>271</v>
      </c>
      <c r="J172" t="s">
        <v>113</v>
      </c>
      <c r="K172" t="s">
        <v>114</v>
      </c>
      <c r="L172" t="s">
        <v>114</v>
      </c>
      <c r="M172" t="s">
        <v>114</v>
      </c>
      <c r="N172" t="s">
        <v>114</v>
      </c>
      <c r="O172" t="s">
        <v>114</v>
      </c>
      <c r="P172" t="s">
        <v>114</v>
      </c>
      <c r="Q172" t="s">
        <v>114</v>
      </c>
      <c r="R172" t="s">
        <v>114</v>
      </c>
      <c r="S172" t="s">
        <v>114</v>
      </c>
      <c r="T172" t="s">
        <v>114</v>
      </c>
      <c r="V172" t="s">
        <v>114</v>
      </c>
      <c r="W172" t="s">
        <v>114</v>
      </c>
      <c r="Y172" t="s">
        <v>1909</v>
      </c>
      <c r="Z172" t="s">
        <v>1909</v>
      </c>
      <c r="AA172" t="s">
        <v>1910</v>
      </c>
      <c r="AB172" t="s">
        <v>1911</v>
      </c>
      <c r="AC172" t="s">
        <v>1912</v>
      </c>
      <c r="AG172" t="s">
        <v>123</v>
      </c>
      <c r="AH172" t="s">
        <v>124</v>
      </c>
      <c r="AI172" t="s">
        <v>1913</v>
      </c>
      <c r="AJ172" t="s">
        <v>126</v>
      </c>
      <c r="AK172" t="s">
        <v>127</v>
      </c>
      <c r="AM172" t="s">
        <v>1914</v>
      </c>
      <c r="AN172" t="s">
        <v>1915</v>
      </c>
      <c r="AO172" t="s">
        <v>1916</v>
      </c>
      <c r="AP172" t="s">
        <v>131</v>
      </c>
      <c r="AQ172" t="s">
        <v>403</v>
      </c>
      <c r="AR172" t="s">
        <v>720</v>
      </c>
      <c r="AS172" t="s">
        <v>1664</v>
      </c>
      <c r="AU172" t="s">
        <v>654</v>
      </c>
      <c r="AX172" t="s">
        <v>177</v>
      </c>
      <c r="AY172" t="s">
        <v>627</v>
      </c>
      <c r="AZ172" t="s">
        <v>1917</v>
      </c>
      <c r="BB172" t="s">
        <v>140</v>
      </c>
    </row>
    <row r="173" spans="1:54" x14ac:dyDescent="0.35">
      <c r="A173" t="s">
        <v>1918</v>
      </c>
      <c r="B173" t="s">
        <v>107</v>
      </c>
      <c r="C173" t="s">
        <v>107</v>
      </c>
      <c r="F173" t="s">
        <v>158</v>
      </c>
      <c r="G173" t="s">
        <v>159</v>
      </c>
      <c r="H173" t="s">
        <v>111</v>
      </c>
      <c r="I173" t="s">
        <v>341</v>
      </c>
      <c r="J173" t="s">
        <v>113</v>
      </c>
      <c r="K173" t="s">
        <v>114</v>
      </c>
      <c r="L173" t="s">
        <v>114</v>
      </c>
      <c r="M173" t="s">
        <v>114</v>
      </c>
      <c r="N173" t="s">
        <v>114</v>
      </c>
      <c r="O173" t="s">
        <v>114</v>
      </c>
      <c r="P173" t="s">
        <v>114</v>
      </c>
      <c r="Q173" t="s">
        <v>114</v>
      </c>
      <c r="R173" t="s">
        <v>114</v>
      </c>
      <c r="S173" t="s">
        <v>114</v>
      </c>
      <c r="T173" t="s">
        <v>114</v>
      </c>
      <c r="V173" t="s">
        <v>114</v>
      </c>
      <c r="W173" t="s">
        <v>114</v>
      </c>
      <c r="Y173" t="s">
        <v>1919</v>
      </c>
      <c r="Z173" t="s">
        <v>1919</v>
      </c>
      <c r="AA173" t="s">
        <v>1920</v>
      </c>
      <c r="AB173" t="s">
        <v>1921</v>
      </c>
      <c r="AC173" t="s">
        <v>1922</v>
      </c>
      <c r="AG173" t="s">
        <v>123</v>
      </c>
      <c r="AH173" t="s">
        <v>124</v>
      </c>
      <c r="AI173" t="s">
        <v>1923</v>
      </c>
      <c r="AJ173" t="s">
        <v>126</v>
      </c>
      <c r="AK173" t="s">
        <v>127</v>
      </c>
      <c r="AM173" t="s">
        <v>1924</v>
      </c>
      <c r="AN173" t="s">
        <v>1925</v>
      </c>
      <c r="AO173" t="s">
        <v>1926</v>
      </c>
      <c r="AP173" t="s">
        <v>131</v>
      </c>
      <c r="AQ173" t="s">
        <v>132</v>
      </c>
      <c r="AR173" t="s">
        <v>1440</v>
      </c>
      <c r="AS173" t="s">
        <v>1927</v>
      </c>
      <c r="AU173" t="s">
        <v>546</v>
      </c>
      <c r="AV173" t="s">
        <v>1928</v>
      </c>
      <c r="AX173" t="s">
        <v>177</v>
      </c>
      <c r="AY173" t="s">
        <v>138</v>
      </c>
      <c r="AZ173" t="s">
        <v>1929</v>
      </c>
      <c r="BB173" t="s">
        <v>140</v>
      </c>
    </row>
    <row r="174" spans="1:54" x14ac:dyDescent="0.35">
      <c r="A174" t="s">
        <v>1930</v>
      </c>
      <c r="B174" t="s">
        <v>107</v>
      </c>
      <c r="C174" t="s">
        <v>107</v>
      </c>
      <c r="F174" t="s">
        <v>533</v>
      </c>
      <c r="G174" t="s">
        <v>534</v>
      </c>
      <c r="H174" t="s">
        <v>535</v>
      </c>
      <c r="I174" t="s">
        <v>536</v>
      </c>
      <c r="J174" t="s">
        <v>113</v>
      </c>
      <c r="K174" t="s">
        <v>114</v>
      </c>
      <c r="L174" t="s">
        <v>114</v>
      </c>
      <c r="M174" t="s">
        <v>114</v>
      </c>
      <c r="N174" t="s">
        <v>114</v>
      </c>
      <c r="O174" t="s">
        <v>114</v>
      </c>
      <c r="P174" t="s">
        <v>114</v>
      </c>
      <c r="Q174" t="s">
        <v>114</v>
      </c>
      <c r="R174" t="s">
        <v>114</v>
      </c>
      <c r="S174" t="s">
        <v>114</v>
      </c>
      <c r="T174" t="s">
        <v>114</v>
      </c>
      <c r="V174" t="s">
        <v>114</v>
      </c>
      <c r="W174" t="s">
        <v>114</v>
      </c>
      <c r="Y174" t="s">
        <v>1931</v>
      </c>
      <c r="Z174" t="s">
        <v>1932</v>
      </c>
      <c r="AA174" t="s">
        <v>1920</v>
      </c>
      <c r="AB174" t="s">
        <v>1933</v>
      </c>
      <c r="AC174" t="s">
        <v>1934</v>
      </c>
      <c r="AG174" t="s">
        <v>123</v>
      </c>
      <c r="AH174" t="s">
        <v>124</v>
      </c>
      <c r="AI174" t="s">
        <v>1935</v>
      </c>
      <c r="AJ174" t="s">
        <v>126</v>
      </c>
      <c r="AK174" t="s">
        <v>127</v>
      </c>
      <c r="AM174" t="s">
        <v>1936</v>
      </c>
      <c r="AN174" t="s">
        <v>1937</v>
      </c>
      <c r="AO174" t="s">
        <v>1938</v>
      </c>
      <c r="AP174" t="s">
        <v>131</v>
      </c>
      <c r="AQ174" t="s">
        <v>132</v>
      </c>
      <c r="AR174" t="s">
        <v>152</v>
      </c>
      <c r="AS174" t="s">
        <v>494</v>
      </c>
      <c r="AU174" t="s">
        <v>1821</v>
      </c>
      <c r="AX174" t="s">
        <v>547</v>
      </c>
      <c r="AY174" t="s">
        <v>364</v>
      </c>
      <c r="AZ174" t="s">
        <v>1939</v>
      </c>
      <c r="BB174" t="s">
        <v>140</v>
      </c>
    </row>
    <row r="175" spans="1:54" x14ac:dyDescent="0.35">
      <c r="A175" t="s">
        <v>1930</v>
      </c>
      <c r="B175" t="s">
        <v>107</v>
      </c>
      <c r="C175" t="s">
        <v>107</v>
      </c>
      <c r="F175" t="s">
        <v>158</v>
      </c>
      <c r="G175" t="s">
        <v>159</v>
      </c>
      <c r="H175" t="s">
        <v>111</v>
      </c>
      <c r="I175" t="s">
        <v>341</v>
      </c>
      <c r="J175" t="s">
        <v>113</v>
      </c>
      <c r="K175" t="s">
        <v>114</v>
      </c>
      <c r="L175" t="s">
        <v>114</v>
      </c>
      <c r="M175" t="s">
        <v>114</v>
      </c>
      <c r="N175" t="s">
        <v>114</v>
      </c>
      <c r="O175" t="s">
        <v>114</v>
      </c>
      <c r="P175" t="s">
        <v>114</v>
      </c>
      <c r="Q175" t="s">
        <v>114</v>
      </c>
      <c r="R175" t="s">
        <v>114</v>
      </c>
      <c r="S175" t="s">
        <v>114</v>
      </c>
      <c r="T175" t="s">
        <v>114</v>
      </c>
      <c r="V175" t="s">
        <v>114</v>
      </c>
      <c r="W175" t="s">
        <v>114</v>
      </c>
      <c r="Y175" t="s">
        <v>1931</v>
      </c>
      <c r="Z175" t="s">
        <v>1932</v>
      </c>
      <c r="AA175" t="s">
        <v>1920</v>
      </c>
      <c r="AB175" t="s">
        <v>1933</v>
      </c>
      <c r="AC175" t="s">
        <v>1934</v>
      </c>
      <c r="AG175" t="s">
        <v>123</v>
      </c>
      <c r="AH175" t="s">
        <v>124</v>
      </c>
      <c r="AI175" t="s">
        <v>1935</v>
      </c>
      <c r="AJ175" t="s">
        <v>126</v>
      </c>
      <c r="AK175" t="s">
        <v>127</v>
      </c>
      <c r="AM175" t="s">
        <v>1936</v>
      </c>
      <c r="AN175" t="s">
        <v>1937</v>
      </c>
      <c r="AO175" t="s">
        <v>1938</v>
      </c>
      <c r="AP175" t="s">
        <v>131</v>
      </c>
      <c r="AQ175" t="s">
        <v>132</v>
      </c>
      <c r="AR175" t="s">
        <v>152</v>
      </c>
      <c r="AS175" t="s">
        <v>494</v>
      </c>
      <c r="AU175" t="s">
        <v>1821</v>
      </c>
      <c r="AX175" t="s">
        <v>177</v>
      </c>
      <c r="AY175" t="s">
        <v>138</v>
      </c>
      <c r="AZ175" t="s">
        <v>1939</v>
      </c>
      <c r="BB175" t="s">
        <v>140</v>
      </c>
    </row>
    <row r="176" spans="1:54" x14ac:dyDescent="0.35">
      <c r="A176" t="s">
        <v>1940</v>
      </c>
      <c r="B176" t="s">
        <v>107</v>
      </c>
      <c r="C176" t="s">
        <v>107</v>
      </c>
      <c r="F176" t="s">
        <v>613</v>
      </c>
      <c r="G176" t="s">
        <v>614</v>
      </c>
      <c r="H176" t="s">
        <v>615</v>
      </c>
      <c r="I176" t="s">
        <v>271</v>
      </c>
      <c r="J176" t="s">
        <v>113</v>
      </c>
      <c r="K176" t="s">
        <v>114</v>
      </c>
      <c r="L176" t="s">
        <v>114</v>
      </c>
      <c r="M176" t="s">
        <v>114</v>
      </c>
      <c r="N176" t="s">
        <v>114</v>
      </c>
      <c r="O176" t="s">
        <v>114</v>
      </c>
      <c r="P176" t="s">
        <v>114</v>
      </c>
      <c r="Q176" t="s">
        <v>114</v>
      </c>
      <c r="R176" t="s">
        <v>114</v>
      </c>
      <c r="S176" t="s">
        <v>114</v>
      </c>
      <c r="T176" t="s">
        <v>114</v>
      </c>
      <c r="V176" t="s">
        <v>114</v>
      </c>
      <c r="W176" t="s">
        <v>114</v>
      </c>
      <c r="Y176" t="s">
        <v>1941</v>
      </c>
      <c r="Z176" t="s">
        <v>1941</v>
      </c>
      <c r="AA176" t="s">
        <v>1942</v>
      </c>
      <c r="AB176" t="s">
        <v>1943</v>
      </c>
      <c r="AC176" t="s">
        <v>1944</v>
      </c>
      <c r="AG176" t="s">
        <v>123</v>
      </c>
      <c r="AH176" t="s">
        <v>124</v>
      </c>
      <c r="AI176" t="s">
        <v>1945</v>
      </c>
      <c r="AJ176" t="s">
        <v>126</v>
      </c>
      <c r="AK176" t="s">
        <v>127</v>
      </c>
      <c r="AM176" t="s">
        <v>1946</v>
      </c>
      <c r="AN176" t="s">
        <v>1947</v>
      </c>
      <c r="AO176" t="s">
        <v>1948</v>
      </c>
      <c r="AP176" t="s">
        <v>131</v>
      </c>
      <c r="AQ176" t="s">
        <v>132</v>
      </c>
      <c r="AR176" t="s">
        <v>152</v>
      </c>
      <c r="AS176" t="s">
        <v>1949</v>
      </c>
      <c r="AU176" t="s">
        <v>668</v>
      </c>
      <c r="AX176" t="s">
        <v>177</v>
      </c>
      <c r="AY176" t="s">
        <v>627</v>
      </c>
      <c r="AZ176" t="s">
        <v>1950</v>
      </c>
      <c r="BB176" t="s">
        <v>140</v>
      </c>
    </row>
    <row r="177" spans="1:54" x14ac:dyDescent="0.35">
      <c r="A177" t="s">
        <v>1951</v>
      </c>
      <c r="B177" t="s">
        <v>107</v>
      </c>
      <c r="C177" t="s">
        <v>107</v>
      </c>
      <c r="F177" t="s">
        <v>158</v>
      </c>
      <c r="G177" t="s">
        <v>159</v>
      </c>
      <c r="H177" t="s">
        <v>111</v>
      </c>
      <c r="I177" t="s">
        <v>341</v>
      </c>
      <c r="J177" t="s">
        <v>113</v>
      </c>
      <c r="K177" t="s">
        <v>114</v>
      </c>
      <c r="L177" t="s">
        <v>114</v>
      </c>
      <c r="M177" t="s">
        <v>114</v>
      </c>
      <c r="N177" t="s">
        <v>114</v>
      </c>
      <c r="O177" t="s">
        <v>114</v>
      </c>
      <c r="P177" t="s">
        <v>114</v>
      </c>
      <c r="Q177" t="s">
        <v>114</v>
      </c>
      <c r="R177" t="s">
        <v>114</v>
      </c>
      <c r="S177" t="s">
        <v>114</v>
      </c>
      <c r="T177" t="s">
        <v>114</v>
      </c>
      <c r="V177" t="s">
        <v>114</v>
      </c>
      <c r="W177" t="s">
        <v>114</v>
      </c>
      <c r="Y177" t="s">
        <v>1952</v>
      </c>
      <c r="Z177" t="s">
        <v>1952</v>
      </c>
      <c r="AA177" t="s">
        <v>1953</v>
      </c>
      <c r="AB177" t="s">
        <v>1954</v>
      </c>
      <c r="AC177" t="s">
        <v>1955</v>
      </c>
      <c r="AG177" t="s">
        <v>123</v>
      </c>
      <c r="AH177" t="s">
        <v>124</v>
      </c>
      <c r="AI177" t="s">
        <v>1956</v>
      </c>
      <c r="AJ177" t="s">
        <v>126</v>
      </c>
      <c r="AK177" t="s">
        <v>127</v>
      </c>
      <c r="AM177" t="s">
        <v>1957</v>
      </c>
      <c r="AN177" t="s">
        <v>1958</v>
      </c>
      <c r="AO177" t="s">
        <v>1959</v>
      </c>
      <c r="AP177" t="s">
        <v>131</v>
      </c>
      <c r="AQ177" t="s">
        <v>132</v>
      </c>
      <c r="AR177" t="s">
        <v>558</v>
      </c>
      <c r="AS177" t="s">
        <v>1960</v>
      </c>
      <c r="AU177" t="s">
        <v>316</v>
      </c>
      <c r="AV177" t="s">
        <v>918</v>
      </c>
      <c r="AX177" t="s">
        <v>177</v>
      </c>
      <c r="AY177" t="s">
        <v>138</v>
      </c>
      <c r="AZ177" t="s">
        <v>1961</v>
      </c>
      <c r="BB177" t="s">
        <v>140</v>
      </c>
    </row>
    <row r="178" spans="1:54" x14ac:dyDescent="0.35">
      <c r="A178" t="s">
        <v>1962</v>
      </c>
      <c r="B178" t="s">
        <v>107</v>
      </c>
      <c r="C178" t="s">
        <v>107</v>
      </c>
      <c r="F178" t="s">
        <v>158</v>
      </c>
      <c r="G178" t="s">
        <v>159</v>
      </c>
      <c r="H178" t="s">
        <v>111</v>
      </c>
      <c r="I178" t="s">
        <v>341</v>
      </c>
      <c r="J178" t="s">
        <v>113</v>
      </c>
      <c r="K178" t="s">
        <v>114</v>
      </c>
      <c r="L178" t="s">
        <v>114</v>
      </c>
      <c r="M178" t="s">
        <v>114</v>
      </c>
      <c r="N178" t="s">
        <v>114</v>
      </c>
      <c r="O178" t="s">
        <v>114</v>
      </c>
      <c r="P178" t="s">
        <v>114</v>
      </c>
      <c r="Q178" t="s">
        <v>114</v>
      </c>
      <c r="R178" t="s">
        <v>114</v>
      </c>
      <c r="S178" t="s">
        <v>114</v>
      </c>
      <c r="T178" t="s">
        <v>114</v>
      </c>
      <c r="V178" t="s">
        <v>114</v>
      </c>
      <c r="W178" t="s">
        <v>114</v>
      </c>
      <c r="Y178" t="s">
        <v>1963</v>
      </c>
      <c r="Z178" t="s">
        <v>1963</v>
      </c>
      <c r="AA178" t="s">
        <v>1964</v>
      </c>
      <c r="AB178" t="s">
        <v>1965</v>
      </c>
      <c r="AC178" t="s">
        <v>1966</v>
      </c>
      <c r="AG178" t="s">
        <v>123</v>
      </c>
      <c r="AH178" t="s">
        <v>124</v>
      </c>
      <c r="AI178" t="s">
        <v>1967</v>
      </c>
      <c r="AJ178" t="s">
        <v>126</v>
      </c>
      <c r="AK178" t="s">
        <v>127</v>
      </c>
      <c r="AM178" t="s">
        <v>1968</v>
      </c>
      <c r="AN178" t="s">
        <v>1969</v>
      </c>
      <c r="AO178" t="s">
        <v>1970</v>
      </c>
      <c r="AP178" t="s">
        <v>131</v>
      </c>
      <c r="AQ178" t="s">
        <v>132</v>
      </c>
      <c r="AR178" t="s">
        <v>152</v>
      </c>
      <c r="AS178" t="s">
        <v>1971</v>
      </c>
      <c r="AU178" t="s">
        <v>1766</v>
      </c>
      <c r="AV178" t="s">
        <v>810</v>
      </c>
      <c r="AX178" t="s">
        <v>177</v>
      </c>
      <c r="AY178" t="s">
        <v>138</v>
      </c>
      <c r="AZ178" t="s">
        <v>1972</v>
      </c>
      <c r="BB178" t="s">
        <v>140</v>
      </c>
    </row>
    <row r="179" spans="1:54" x14ac:dyDescent="0.35">
      <c r="A179" t="s">
        <v>1973</v>
      </c>
      <c r="B179" t="s">
        <v>107</v>
      </c>
      <c r="C179" t="s">
        <v>107</v>
      </c>
      <c r="F179" t="s">
        <v>533</v>
      </c>
      <c r="G179" t="s">
        <v>534</v>
      </c>
      <c r="H179" t="s">
        <v>535</v>
      </c>
      <c r="I179" t="s">
        <v>536</v>
      </c>
      <c r="J179" t="s">
        <v>113</v>
      </c>
      <c r="K179" t="s">
        <v>114</v>
      </c>
      <c r="L179" t="s">
        <v>114</v>
      </c>
      <c r="M179" t="s">
        <v>114</v>
      </c>
      <c r="N179" t="s">
        <v>114</v>
      </c>
      <c r="O179" t="s">
        <v>114</v>
      </c>
      <c r="P179" t="s">
        <v>114</v>
      </c>
      <c r="Q179" t="s">
        <v>114</v>
      </c>
      <c r="R179" t="s">
        <v>114</v>
      </c>
      <c r="S179" t="s">
        <v>114</v>
      </c>
      <c r="T179" t="s">
        <v>114</v>
      </c>
      <c r="V179" t="s">
        <v>114</v>
      </c>
      <c r="W179" t="s">
        <v>114</v>
      </c>
      <c r="Y179" t="s">
        <v>1974</v>
      </c>
      <c r="Z179" t="s">
        <v>1974</v>
      </c>
      <c r="AA179" t="s">
        <v>1975</v>
      </c>
      <c r="AB179" t="s">
        <v>1976</v>
      </c>
      <c r="AC179" t="s">
        <v>1977</v>
      </c>
      <c r="AG179" t="s">
        <v>123</v>
      </c>
      <c r="AH179" t="s">
        <v>124</v>
      </c>
      <c r="AI179" t="s">
        <v>1978</v>
      </c>
      <c r="AJ179" t="s">
        <v>126</v>
      </c>
      <c r="AK179" t="s">
        <v>127</v>
      </c>
      <c r="AM179" t="s">
        <v>1979</v>
      </c>
      <c r="AN179" t="s">
        <v>1980</v>
      </c>
      <c r="AO179" t="s">
        <v>1981</v>
      </c>
      <c r="AP179" t="s">
        <v>131</v>
      </c>
      <c r="AQ179" t="s">
        <v>132</v>
      </c>
      <c r="AR179" t="s">
        <v>152</v>
      </c>
      <c r="AS179" t="s">
        <v>1982</v>
      </c>
      <c r="AU179" t="s">
        <v>991</v>
      </c>
      <c r="AX179" t="s">
        <v>547</v>
      </c>
      <c r="AY179" t="s">
        <v>364</v>
      </c>
      <c r="AZ179" t="s">
        <v>1983</v>
      </c>
      <c r="BB179" t="s">
        <v>140</v>
      </c>
    </row>
    <row r="180" spans="1:54" x14ac:dyDescent="0.35">
      <c r="A180" t="s">
        <v>1984</v>
      </c>
      <c r="B180" t="s">
        <v>107</v>
      </c>
      <c r="C180" t="s">
        <v>107</v>
      </c>
      <c r="E180" t="s">
        <v>108</v>
      </c>
      <c r="F180" t="s">
        <v>484</v>
      </c>
      <c r="G180" t="s">
        <v>159</v>
      </c>
      <c r="H180" t="s">
        <v>485</v>
      </c>
      <c r="I180" t="s">
        <v>341</v>
      </c>
      <c r="J180" t="s">
        <v>113</v>
      </c>
      <c r="K180" t="s">
        <v>114</v>
      </c>
      <c r="L180" t="s">
        <v>1985</v>
      </c>
      <c r="M180" t="s">
        <v>1985</v>
      </c>
      <c r="N180" t="s">
        <v>162</v>
      </c>
      <c r="O180" t="s">
        <v>1986</v>
      </c>
      <c r="P180" t="s">
        <v>1206</v>
      </c>
      <c r="Q180" t="s">
        <v>114</v>
      </c>
      <c r="R180" t="s">
        <v>180</v>
      </c>
      <c r="S180" t="s">
        <v>114</v>
      </c>
      <c r="T180" t="s">
        <v>180</v>
      </c>
      <c r="V180" t="s">
        <v>114</v>
      </c>
      <c r="W180" t="s">
        <v>1206</v>
      </c>
      <c r="Y180" t="s">
        <v>1987</v>
      </c>
      <c r="Z180" t="s">
        <v>1988</v>
      </c>
      <c r="AA180" t="s">
        <v>1989</v>
      </c>
      <c r="AB180" t="s">
        <v>1990</v>
      </c>
      <c r="AC180" t="s">
        <v>1991</v>
      </c>
      <c r="AG180" t="s">
        <v>123</v>
      </c>
      <c r="AH180" t="s">
        <v>124</v>
      </c>
      <c r="AI180" t="s">
        <v>1992</v>
      </c>
      <c r="AJ180" t="s">
        <v>126</v>
      </c>
      <c r="AK180" t="s">
        <v>127</v>
      </c>
      <c r="AM180" t="s">
        <v>1993</v>
      </c>
      <c r="AN180" t="s">
        <v>1994</v>
      </c>
      <c r="AO180" t="s">
        <v>1995</v>
      </c>
      <c r="AP180" t="s">
        <v>131</v>
      </c>
      <c r="AQ180" t="s">
        <v>132</v>
      </c>
      <c r="AR180" t="s">
        <v>756</v>
      </c>
      <c r="AS180" t="s">
        <v>1832</v>
      </c>
      <c r="AU180" t="s">
        <v>1996</v>
      </c>
      <c r="AW180" t="s">
        <v>1997</v>
      </c>
      <c r="AX180" t="s">
        <v>177</v>
      </c>
      <c r="AY180" t="s">
        <v>356</v>
      </c>
      <c r="AZ180" t="s">
        <v>1998</v>
      </c>
      <c r="BB180" t="s">
        <v>140</v>
      </c>
    </row>
    <row r="181" spans="1:54" x14ac:dyDescent="0.35">
      <c r="A181" t="s">
        <v>1999</v>
      </c>
      <c r="B181" t="s">
        <v>107</v>
      </c>
      <c r="C181" t="s">
        <v>107</v>
      </c>
      <c r="F181" t="s">
        <v>158</v>
      </c>
      <c r="G181" t="s">
        <v>159</v>
      </c>
      <c r="H181" t="s">
        <v>111</v>
      </c>
      <c r="I181" t="s">
        <v>341</v>
      </c>
      <c r="J181" t="s">
        <v>113</v>
      </c>
      <c r="K181" t="s">
        <v>114</v>
      </c>
      <c r="L181" t="s">
        <v>114</v>
      </c>
      <c r="M181" t="s">
        <v>114</v>
      </c>
      <c r="N181" t="s">
        <v>114</v>
      </c>
      <c r="O181" t="s">
        <v>114</v>
      </c>
      <c r="P181" t="s">
        <v>114</v>
      </c>
      <c r="Q181" t="s">
        <v>114</v>
      </c>
      <c r="R181" t="s">
        <v>114</v>
      </c>
      <c r="S181" t="s">
        <v>114</v>
      </c>
      <c r="T181" t="s">
        <v>114</v>
      </c>
      <c r="V181" t="s">
        <v>114</v>
      </c>
      <c r="W181" t="s">
        <v>114</v>
      </c>
      <c r="Y181" t="s">
        <v>2000</v>
      </c>
      <c r="Z181" t="s">
        <v>2000</v>
      </c>
      <c r="AA181" t="s">
        <v>2001</v>
      </c>
      <c r="AB181" t="s">
        <v>2002</v>
      </c>
      <c r="AC181" t="s">
        <v>2003</v>
      </c>
      <c r="AG181" t="s">
        <v>123</v>
      </c>
      <c r="AH181" t="s">
        <v>124</v>
      </c>
      <c r="AI181" t="s">
        <v>2004</v>
      </c>
      <c r="AJ181" t="s">
        <v>126</v>
      </c>
      <c r="AK181" t="s">
        <v>127</v>
      </c>
      <c r="AM181" t="s">
        <v>2005</v>
      </c>
      <c r="AN181" t="s">
        <v>2006</v>
      </c>
      <c r="AO181" t="s">
        <v>2007</v>
      </c>
      <c r="AP181" t="s">
        <v>131</v>
      </c>
      <c r="AQ181" t="s">
        <v>132</v>
      </c>
      <c r="AR181" t="s">
        <v>202</v>
      </c>
      <c r="AS181" t="s">
        <v>1489</v>
      </c>
      <c r="AU181" t="s">
        <v>2008</v>
      </c>
      <c r="AX181" t="s">
        <v>177</v>
      </c>
      <c r="AY181" t="s">
        <v>138</v>
      </c>
      <c r="AZ181" t="s">
        <v>2009</v>
      </c>
      <c r="BB181" t="s">
        <v>140</v>
      </c>
    </row>
    <row r="182" spans="1:54" x14ac:dyDescent="0.35">
      <c r="A182" t="s">
        <v>1999</v>
      </c>
      <c r="B182" t="s">
        <v>107</v>
      </c>
      <c r="C182" t="s">
        <v>107</v>
      </c>
      <c r="F182" t="s">
        <v>533</v>
      </c>
      <c r="G182" t="s">
        <v>534</v>
      </c>
      <c r="H182" t="s">
        <v>535</v>
      </c>
      <c r="I182" t="s">
        <v>536</v>
      </c>
      <c r="J182" t="s">
        <v>113</v>
      </c>
      <c r="K182" t="s">
        <v>114</v>
      </c>
      <c r="L182" t="s">
        <v>114</v>
      </c>
      <c r="M182" t="s">
        <v>114</v>
      </c>
      <c r="N182" t="s">
        <v>114</v>
      </c>
      <c r="O182" t="s">
        <v>114</v>
      </c>
      <c r="P182" t="s">
        <v>114</v>
      </c>
      <c r="Q182" t="s">
        <v>114</v>
      </c>
      <c r="R182" t="s">
        <v>114</v>
      </c>
      <c r="S182" t="s">
        <v>114</v>
      </c>
      <c r="T182" t="s">
        <v>114</v>
      </c>
      <c r="V182" t="s">
        <v>114</v>
      </c>
      <c r="W182" t="s">
        <v>114</v>
      </c>
      <c r="Y182" t="s">
        <v>2000</v>
      </c>
      <c r="Z182" t="s">
        <v>2000</v>
      </c>
      <c r="AA182" t="s">
        <v>2001</v>
      </c>
      <c r="AB182" t="s">
        <v>2002</v>
      </c>
      <c r="AC182" t="s">
        <v>2003</v>
      </c>
      <c r="AG182" t="s">
        <v>123</v>
      </c>
      <c r="AH182" t="s">
        <v>124</v>
      </c>
      <c r="AI182" t="s">
        <v>2004</v>
      </c>
      <c r="AJ182" t="s">
        <v>126</v>
      </c>
      <c r="AK182" t="s">
        <v>127</v>
      </c>
      <c r="AM182" t="s">
        <v>2005</v>
      </c>
      <c r="AN182" t="s">
        <v>2006</v>
      </c>
      <c r="AO182" t="s">
        <v>2007</v>
      </c>
      <c r="AP182" t="s">
        <v>131</v>
      </c>
      <c r="AQ182" t="s">
        <v>132</v>
      </c>
      <c r="AR182" t="s">
        <v>202</v>
      </c>
      <c r="AS182" t="s">
        <v>1489</v>
      </c>
      <c r="AU182" t="s">
        <v>2008</v>
      </c>
      <c r="AX182" t="s">
        <v>547</v>
      </c>
      <c r="AY182" t="s">
        <v>364</v>
      </c>
      <c r="AZ182" t="s">
        <v>2009</v>
      </c>
      <c r="BB182" t="s">
        <v>140</v>
      </c>
    </row>
    <row r="183" spans="1:54" x14ac:dyDescent="0.35">
      <c r="A183" t="s">
        <v>2010</v>
      </c>
      <c r="B183" t="s">
        <v>107</v>
      </c>
      <c r="C183" t="s">
        <v>107</v>
      </c>
      <c r="F183" t="s">
        <v>158</v>
      </c>
      <c r="G183" t="s">
        <v>159</v>
      </c>
      <c r="H183" t="s">
        <v>111</v>
      </c>
      <c r="I183" t="s">
        <v>341</v>
      </c>
      <c r="J183" t="s">
        <v>113</v>
      </c>
      <c r="K183" t="s">
        <v>114</v>
      </c>
      <c r="L183" t="s">
        <v>114</v>
      </c>
      <c r="M183" t="s">
        <v>114</v>
      </c>
      <c r="N183" t="s">
        <v>114</v>
      </c>
      <c r="O183" t="s">
        <v>114</v>
      </c>
      <c r="P183" t="s">
        <v>114</v>
      </c>
      <c r="Q183" t="s">
        <v>114</v>
      </c>
      <c r="R183" t="s">
        <v>114</v>
      </c>
      <c r="S183" t="s">
        <v>114</v>
      </c>
      <c r="T183" t="s">
        <v>114</v>
      </c>
      <c r="V183" t="s">
        <v>114</v>
      </c>
      <c r="W183" t="s">
        <v>114</v>
      </c>
      <c r="Y183" t="s">
        <v>2011</v>
      </c>
      <c r="Z183" t="s">
        <v>2011</v>
      </c>
      <c r="AA183" t="s">
        <v>2012</v>
      </c>
      <c r="AB183" t="s">
        <v>2013</v>
      </c>
      <c r="AC183" t="s">
        <v>2014</v>
      </c>
      <c r="AG183" t="s">
        <v>123</v>
      </c>
      <c r="AH183" t="s">
        <v>124</v>
      </c>
      <c r="AI183" t="s">
        <v>2015</v>
      </c>
      <c r="AJ183" t="s">
        <v>126</v>
      </c>
      <c r="AK183" t="s">
        <v>127</v>
      </c>
      <c r="AM183" t="s">
        <v>2016</v>
      </c>
      <c r="AN183" t="s">
        <v>2017</v>
      </c>
      <c r="AO183" t="s">
        <v>2018</v>
      </c>
      <c r="AP183" t="s">
        <v>131</v>
      </c>
      <c r="AQ183" t="s">
        <v>132</v>
      </c>
      <c r="AR183" t="s">
        <v>387</v>
      </c>
      <c r="AS183" t="s">
        <v>2019</v>
      </c>
      <c r="AU183" t="s">
        <v>375</v>
      </c>
      <c r="AV183" t="s">
        <v>316</v>
      </c>
      <c r="AX183" t="s">
        <v>177</v>
      </c>
      <c r="AY183" t="s">
        <v>138</v>
      </c>
      <c r="AZ183" t="s">
        <v>2020</v>
      </c>
      <c r="BB183" t="s">
        <v>140</v>
      </c>
    </row>
    <row r="184" spans="1:54" x14ac:dyDescent="0.35">
      <c r="A184" t="s">
        <v>2010</v>
      </c>
      <c r="B184" t="s">
        <v>107</v>
      </c>
      <c r="C184" t="s">
        <v>107</v>
      </c>
      <c r="F184" t="s">
        <v>533</v>
      </c>
      <c r="G184" t="s">
        <v>534</v>
      </c>
      <c r="H184" t="s">
        <v>535</v>
      </c>
      <c r="I184" t="s">
        <v>536</v>
      </c>
      <c r="J184" t="s">
        <v>113</v>
      </c>
      <c r="K184" t="s">
        <v>114</v>
      </c>
      <c r="L184" t="s">
        <v>114</v>
      </c>
      <c r="M184" t="s">
        <v>114</v>
      </c>
      <c r="N184" t="s">
        <v>114</v>
      </c>
      <c r="O184" t="s">
        <v>114</v>
      </c>
      <c r="P184" t="s">
        <v>114</v>
      </c>
      <c r="Q184" t="s">
        <v>114</v>
      </c>
      <c r="R184" t="s">
        <v>114</v>
      </c>
      <c r="S184" t="s">
        <v>114</v>
      </c>
      <c r="T184" t="s">
        <v>114</v>
      </c>
      <c r="V184" t="s">
        <v>114</v>
      </c>
      <c r="W184" t="s">
        <v>114</v>
      </c>
      <c r="Y184" t="s">
        <v>2011</v>
      </c>
      <c r="Z184" t="s">
        <v>2011</v>
      </c>
      <c r="AA184" t="s">
        <v>2012</v>
      </c>
      <c r="AB184" t="s">
        <v>2013</v>
      </c>
      <c r="AC184" t="s">
        <v>2014</v>
      </c>
      <c r="AG184" t="s">
        <v>123</v>
      </c>
      <c r="AH184" t="s">
        <v>124</v>
      </c>
      <c r="AI184" t="s">
        <v>2015</v>
      </c>
      <c r="AJ184" t="s">
        <v>126</v>
      </c>
      <c r="AK184" t="s">
        <v>127</v>
      </c>
      <c r="AM184" t="s">
        <v>2016</v>
      </c>
      <c r="AN184" t="s">
        <v>2017</v>
      </c>
      <c r="AO184" t="s">
        <v>2018</v>
      </c>
      <c r="AP184" t="s">
        <v>131</v>
      </c>
      <c r="AQ184" t="s">
        <v>132</v>
      </c>
      <c r="AR184" t="s">
        <v>387</v>
      </c>
      <c r="AS184" t="s">
        <v>2019</v>
      </c>
      <c r="AU184" t="s">
        <v>375</v>
      </c>
      <c r="AV184" t="s">
        <v>316</v>
      </c>
      <c r="AX184" t="s">
        <v>547</v>
      </c>
      <c r="AY184" t="s">
        <v>364</v>
      </c>
      <c r="AZ184" t="s">
        <v>2020</v>
      </c>
      <c r="BB184" t="s">
        <v>140</v>
      </c>
    </row>
    <row r="185" spans="1:54" x14ac:dyDescent="0.35">
      <c r="A185" t="s">
        <v>2021</v>
      </c>
      <c r="B185" t="s">
        <v>107</v>
      </c>
      <c r="C185" t="s">
        <v>107</v>
      </c>
      <c r="E185" t="s">
        <v>108</v>
      </c>
      <c r="F185" t="s">
        <v>358</v>
      </c>
      <c r="G185" t="s">
        <v>359</v>
      </c>
      <c r="H185" t="s">
        <v>360</v>
      </c>
      <c r="I185" t="s">
        <v>341</v>
      </c>
      <c r="J185" t="s">
        <v>113</v>
      </c>
      <c r="K185" t="s">
        <v>114</v>
      </c>
      <c r="L185" t="s">
        <v>361</v>
      </c>
      <c r="M185" t="s">
        <v>361</v>
      </c>
      <c r="N185" t="s">
        <v>113</v>
      </c>
      <c r="O185" t="s">
        <v>363</v>
      </c>
      <c r="P185" t="s">
        <v>562</v>
      </c>
      <c r="Q185" t="s">
        <v>114</v>
      </c>
      <c r="R185" t="s">
        <v>180</v>
      </c>
      <c r="S185" t="s">
        <v>114</v>
      </c>
      <c r="T185" t="s">
        <v>180</v>
      </c>
      <c r="V185" t="s">
        <v>114</v>
      </c>
      <c r="W185" t="s">
        <v>562</v>
      </c>
      <c r="Y185" t="s">
        <v>2022</v>
      </c>
      <c r="Z185" t="s">
        <v>2023</v>
      </c>
      <c r="AA185" t="s">
        <v>2024</v>
      </c>
      <c r="AB185" t="s">
        <v>2025</v>
      </c>
      <c r="AC185" t="s">
        <v>2026</v>
      </c>
      <c r="AG185" t="s">
        <v>123</v>
      </c>
      <c r="AH185" t="s">
        <v>124</v>
      </c>
      <c r="AI185" t="s">
        <v>2027</v>
      </c>
      <c r="AJ185" t="s">
        <v>126</v>
      </c>
      <c r="AK185" t="s">
        <v>127</v>
      </c>
      <c r="AM185" t="s">
        <v>2028</v>
      </c>
      <c r="AN185" t="s">
        <v>2029</v>
      </c>
      <c r="AO185" t="s">
        <v>2030</v>
      </c>
      <c r="AP185" t="s">
        <v>131</v>
      </c>
      <c r="AQ185" t="s">
        <v>403</v>
      </c>
      <c r="AR185" t="s">
        <v>839</v>
      </c>
      <c r="AS185" t="s">
        <v>840</v>
      </c>
      <c r="AU185" t="s">
        <v>495</v>
      </c>
      <c r="AW185" t="s">
        <v>155</v>
      </c>
      <c r="AX185" t="s">
        <v>177</v>
      </c>
      <c r="AY185" t="s">
        <v>364</v>
      </c>
      <c r="AZ185" t="s">
        <v>2031</v>
      </c>
      <c r="BB185" t="s">
        <v>140</v>
      </c>
    </row>
    <row r="186" spans="1:54" x14ac:dyDescent="0.35">
      <c r="A186" t="s">
        <v>2021</v>
      </c>
      <c r="B186" t="s">
        <v>107</v>
      </c>
      <c r="C186" t="s">
        <v>107</v>
      </c>
      <c r="E186" t="s">
        <v>108</v>
      </c>
      <c r="F186" t="s">
        <v>338</v>
      </c>
      <c r="G186" t="s">
        <v>339</v>
      </c>
      <c r="H186" t="s">
        <v>340</v>
      </c>
      <c r="I186" t="s">
        <v>341</v>
      </c>
      <c r="J186" t="s">
        <v>113</v>
      </c>
      <c r="K186" t="s">
        <v>114</v>
      </c>
      <c r="L186" t="s">
        <v>114</v>
      </c>
      <c r="M186" t="s">
        <v>114</v>
      </c>
      <c r="N186" t="s">
        <v>114</v>
      </c>
      <c r="O186" t="s">
        <v>114</v>
      </c>
      <c r="P186" t="s">
        <v>114</v>
      </c>
      <c r="Q186" t="s">
        <v>114</v>
      </c>
      <c r="R186" t="s">
        <v>180</v>
      </c>
      <c r="S186" t="s">
        <v>114</v>
      </c>
      <c r="T186" t="s">
        <v>180</v>
      </c>
      <c r="V186" t="s">
        <v>114</v>
      </c>
      <c r="W186" t="s">
        <v>562</v>
      </c>
      <c r="Y186" t="s">
        <v>2022</v>
      </c>
      <c r="Z186" t="s">
        <v>2023</v>
      </c>
      <c r="AA186" t="s">
        <v>2024</v>
      </c>
      <c r="AB186" t="s">
        <v>2025</v>
      </c>
      <c r="AC186" t="s">
        <v>2026</v>
      </c>
      <c r="AG186" t="s">
        <v>123</v>
      </c>
      <c r="AH186" t="s">
        <v>124</v>
      </c>
      <c r="AI186" t="s">
        <v>2027</v>
      </c>
      <c r="AJ186" t="s">
        <v>126</v>
      </c>
      <c r="AK186" t="s">
        <v>127</v>
      </c>
      <c r="AM186" t="s">
        <v>2028</v>
      </c>
      <c r="AN186" t="s">
        <v>2029</v>
      </c>
      <c r="AO186" t="s">
        <v>2030</v>
      </c>
      <c r="AP186" t="s">
        <v>131</v>
      </c>
      <c r="AQ186" t="s">
        <v>403</v>
      </c>
      <c r="AR186" t="s">
        <v>839</v>
      </c>
      <c r="AS186" t="s">
        <v>840</v>
      </c>
      <c r="AU186" t="s">
        <v>495</v>
      </c>
      <c r="AW186" t="s">
        <v>155</v>
      </c>
      <c r="AX186" t="s">
        <v>177</v>
      </c>
      <c r="AY186" t="s">
        <v>356</v>
      </c>
      <c r="AZ186" t="s">
        <v>2031</v>
      </c>
      <c r="BB186" t="s">
        <v>140</v>
      </c>
    </row>
    <row r="187" spans="1:54" x14ac:dyDescent="0.35">
      <c r="A187" t="s">
        <v>2032</v>
      </c>
      <c r="B187" t="s">
        <v>107</v>
      </c>
      <c r="C187" t="s">
        <v>107</v>
      </c>
      <c r="F187" t="s">
        <v>158</v>
      </c>
      <c r="G187" t="s">
        <v>159</v>
      </c>
      <c r="H187" t="s">
        <v>111</v>
      </c>
      <c r="I187" t="s">
        <v>341</v>
      </c>
      <c r="J187" t="s">
        <v>113</v>
      </c>
      <c r="K187" t="s">
        <v>114</v>
      </c>
      <c r="L187" t="s">
        <v>114</v>
      </c>
      <c r="M187" t="s">
        <v>114</v>
      </c>
      <c r="N187" t="s">
        <v>114</v>
      </c>
      <c r="O187" t="s">
        <v>114</v>
      </c>
      <c r="P187" t="s">
        <v>114</v>
      </c>
      <c r="Q187" t="s">
        <v>114</v>
      </c>
      <c r="R187" t="s">
        <v>114</v>
      </c>
      <c r="S187" t="s">
        <v>114</v>
      </c>
      <c r="T187" t="s">
        <v>114</v>
      </c>
      <c r="V187" t="s">
        <v>114</v>
      </c>
      <c r="W187" t="s">
        <v>114</v>
      </c>
      <c r="Y187" t="s">
        <v>2033</v>
      </c>
      <c r="Z187" t="s">
        <v>2033</v>
      </c>
      <c r="AA187" t="s">
        <v>2034</v>
      </c>
      <c r="AB187" t="s">
        <v>2035</v>
      </c>
      <c r="AC187" t="s">
        <v>2036</v>
      </c>
      <c r="AG187" t="s">
        <v>123</v>
      </c>
      <c r="AH187" t="s">
        <v>124</v>
      </c>
      <c r="AI187" t="s">
        <v>2037</v>
      </c>
      <c r="AJ187" t="s">
        <v>126</v>
      </c>
      <c r="AK187" t="s">
        <v>127</v>
      </c>
      <c r="AM187" t="s">
        <v>2038</v>
      </c>
      <c r="AN187" t="s">
        <v>2039</v>
      </c>
      <c r="AO187" t="s">
        <v>2040</v>
      </c>
      <c r="AP187" t="s">
        <v>131</v>
      </c>
      <c r="AQ187" t="s">
        <v>132</v>
      </c>
      <c r="AR187" t="s">
        <v>297</v>
      </c>
      <c r="AS187" t="s">
        <v>2041</v>
      </c>
      <c r="AU187" t="s">
        <v>918</v>
      </c>
      <c r="AV187" t="s">
        <v>585</v>
      </c>
      <c r="AX187" t="s">
        <v>177</v>
      </c>
      <c r="AY187" t="s">
        <v>138</v>
      </c>
      <c r="AZ187" t="s">
        <v>2042</v>
      </c>
      <c r="BB187" t="s">
        <v>140</v>
      </c>
    </row>
    <row r="188" spans="1:54" x14ac:dyDescent="0.35">
      <c r="A188" t="s">
        <v>2032</v>
      </c>
      <c r="B188" t="s">
        <v>107</v>
      </c>
      <c r="C188" t="s">
        <v>107</v>
      </c>
      <c r="F188" t="s">
        <v>533</v>
      </c>
      <c r="G188" t="s">
        <v>534</v>
      </c>
      <c r="H188" t="s">
        <v>535</v>
      </c>
      <c r="I188" t="s">
        <v>536</v>
      </c>
      <c r="J188" t="s">
        <v>113</v>
      </c>
      <c r="K188" t="s">
        <v>114</v>
      </c>
      <c r="L188" t="s">
        <v>114</v>
      </c>
      <c r="M188" t="s">
        <v>114</v>
      </c>
      <c r="N188" t="s">
        <v>114</v>
      </c>
      <c r="O188" t="s">
        <v>114</v>
      </c>
      <c r="P188" t="s">
        <v>114</v>
      </c>
      <c r="Q188" t="s">
        <v>114</v>
      </c>
      <c r="R188" t="s">
        <v>114</v>
      </c>
      <c r="S188" t="s">
        <v>114</v>
      </c>
      <c r="T188" t="s">
        <v>114</v>
      </c>
      <c r="V188" t="s">
        <v>114</v>
      </c>
      <c r="W188" t="s">
        <v>114</v>
      </c>
      <c r="Y188" t="s">
        <v>2033</v>
      </c>
      <c r="Z188" t="s">
        <v>2033</v>
      </c>
      <c r="AA188" t="s">
        <v>2034</v>
      </c>
      <c r="AB188" t="s">
        <v>2035</v>
      </c>
      <c r="AC188" t="s">
        <v>2036</v>
      </c>
      <c r="AG188" t="s">
        <v>123</v>
      </c>
      <c r="AH188" t="s">
        <v>124</v>
      </c>
      <c r="AI188" t="s">
        <v>2037</v>
      </c>
      <c r="AJ188" t="s">
        <v>126</v>
      </c>
      <c r="AK188" t="s">
        <v>127</v>
      </c>
      <c r="AM188" t="s">
        <v>2038</v>
      </c>
      <c r="AN188" t="s">
        <v>2039</v>
      </c>
      <c r="AO188" t="s">
        <v>2040</v>
      </c>
      <c r="AP188" t="s">
        <v>131</v>
      </c>
      <c r="AQ188" t="s">
        <v>132</v>
      </c>
      <c r="AR188" t="s">
        <v>297</v>
      </c>
      <c r="AS188" t="s">
        <v>2041</v>
      </c>
      <c r="AU188" t="s">
        <v>918</v>
      </c>
      <c r="AV188" t="s">
        <v>585</v>
      </c>
      <c r="AX188" t="s">
        <v>547</v>
      </c>
      <c r="AY188" t="s">
        <v>364</v>
      </c>
      <c r="AZ188" t="s">
        <v>2042</v>
      </c>
      <c r="BB188" t="s">
        <v>140</v>
      </c>
    </row>
    <row r="189" spans="1:54" x14ac:dyDescent="0.35">
      <c r="A189" t="s">
        <v>2043</v>
      </c>
      <c r="B189" t="s">
        <v>107</v>
      </c>
      <c r="C189" t="s">
        <v>107</v>
      </c>
      <c r="F189" t="s">
        <v>613</v>
      </c>
      <c r="G189" t="s">
        <v>614</v>
      </c>
      <c r="H189" t="s">
        <v>615</v>
      </c>
      <c r="I189" t="s">
        <v>271</v>
      </c>
      <c r="J189" t="s">
        <v>113</v>
      </c>
      <c r="K189" t="s">
        <v>114</v>
      </c>
      <c r="L189" t="s">
        <v>114</v>
      </c>
      <c r="M189" t="s">
        <v>114</v>
      </c>
      <c r="N189" t="s">
        <v>114</v>
      </c>
      <c r="O189" t="s">
        <v>114</v>
      </c>
      <c r="P189" t="s">
        <v>114</v>
      </c>
      <c r="Q189" t="s">
        <v>114</v>
      </c>
      <c r="R189" t="s">
        <v>114</v>
      </c>
      <c r="S189" t="s">
        <v>114</v>
      </c>
      <c r="T189" t="s">
        <v>114</v>
      </c>
      <c r="V189" t="s">
        <v>114</v>
      </c>
      <c r="W189" t="s">
        <v>114</v>
      </c>
      <c r="Y189" t="s">
        <v>2044</v>
      </c>
      <c r="Z189" t="s">
        <v>2044</v>
      </c>
      <c r="AA189" t="s">
        <v>2045</v>
      </c>
      <c r="AB189" t="s">
        <v>2046</v>
      </c>
      <c r="AC189" t="s">
        <v>2047</v>
      </c>
      <c r="AG189" t="s">
        <v>123</v>
      </c>
      <c r="AH189" t="s">
        <v>124</v>
      </c>
      <c r="AI189" t="s">
        <v>2048</v>
      </c>
      <c r="AJ189" t="s">
        <v>126</v>
      </c>
      <c r="AK189" t="s">
        <v>127</v>
      </c>
      <c r="AM189" t="s">
        <v>2049</v>
      </c>
      <c r="AN189" t="s">
        <v>2050</v>
      </c>
      <c r="AO189" t="s">
        <v>2051</v>
      </c>
      <c r="AP189" t="s">
        <v>131</v>
      </c>
      <c r="AQ189" t="s">
        <v>233</v>
      </c>
      <c r="AR189" t="s">
        <v>2052</v>
      </c>
      <c r="AS189" t="s">
        <v>2053</v>
      </c>
      <c r="AU189" t="s">
        <v>406</v>
      </c>
      <c r="AV189" t="s">
        <v>299</v>
      </c>
      <c r="AX189" t="s">
        <v>177</v>
      </c>
      <c r="AY189" t="s">
        <v>627</v>
      </c>
      <c r="AZ189" t="s">
        <v>2054</v>
      </c>
      <c r="BB189" t="s">
        <v>140</v>
      </c>
    </row>
    <row r="190" spans="1:54" x14ac:dyDescent="0.35">
      <c r="A190" t="s">
        <v>2055</v>
      </c>
      <c r="B190" t="s">
        <v>107</v>
      </c>
      <c r="C190" t="s">
        <v>107</v>
      </c>
      <c r="F190" t="s">
        <v>158</v>
      </c>
      <c r="G190" t="s">
        <v>159</v>
      </c>
      <c r="H190" t="s">
        <v>111</v>
      </c>
      <c r="I190" t="s">
        <v>341</v>
      </c>
      <c r="J190" t="s">
        <v>113</v>
      </c>
      <c r="K190" t="s">
        <v>114</v>
      </c>
      <c r="L190" t="s">
        <v>114</v>
      </c>
      <c r="M190" t="s">
        <v>114</v>
      </c>
      <c r="N190" t="s">
        <v>114</v>
      </c>
      <c r="O190" t="s">
        <v>114</v>
      </c>
      <c r="P190" t="s">
        <v>114</v>
      </c>
      <c r="Q190" t="s">
        <v>114</v>
      </c>
      <c r="R190" t="s">
        <v>114</v>
      </c>
      <c r="S190" t="s">
        <v>114</v>
      </c>
      <c r="T190" t="s">
        <v>114</v>
      </c>
      <c r="V190" t="s">
        <v>114</v>
      </c>
      <c r="W190" t="s">
        <v>114</v>
      </c>
      <c r="Y190" t="s">
        <v>2056</v>
      </c>
      <c r="Z190" t="s">
        <v>2057</v>
      </c>
      <c r="AA190" t="s">
        <v>2058</v>
      </c>
      <c r="AB190" t="s">
        <v>2059</v>
      </c>
      <c r="AC190" t="s">
        <v>2060</v>
      </c>
      <c r="AG190" t="s">
        <v>123</v>
      </c>
      <c r="AH190" t="s">
        <v>124</v>
      </c>
      <c r="AI190" t="s">
        <v>2061</v>
      </c>
      <c r="AJ190" t="s">
        <v>126</v>
      </c>
      <c r="AK190" t="s">
        <v>127</v>
      </c>
      <c r="AM190" t="s">
        <v>2062</v>
      </c>
      <c r="AN190" t="s">
        <v>2063</v>
      </c>
      <c r="AO190" t="s">
        <v>2064</v>
      </c>
      <c r="AP190" t="s">
        <v>131</v>
      </c>
      <c r="AQ190" t="s">
        <v>132</v>
      </c>
      <c r="AR190" t="s">
        <v>2065</v>
      </c>
      <c r="AS190" t="s">
        <v>2066</v>
      </c>
      <c r="AU190" t="s">
        <v>1665</v>
      </c>
      <c r="AV190" t="s">
        <v>918</v>
      </c>
      <c r="AX190" t="s">
        <v>177</v>
      </c>
      <c r="AY190" t="s">
        <v>138</v>
      </c>
      <c r="AZ190" t="s">
        <v>2067</v>
      </c>
      <c r="BB190" t="s">
        <v>140</v>
      </c>
    </row>
    <row r="191" spans="1:54" x14ac:dyDescent="0.35">
      <c r="A191" t="s">
        <v>2068</v>
      </c>
      <c r="B191" t="s">
        <v>107</v>
      </c>
      <c r="C191" t="s">
        <v>107</v>
      </c>
      <c r="F191" t="s">
        <v>158</v>
      </c>
      <c r="G191" t="s">
        <v>159</v>
      </c>
      <c r="H191" t="s">
        <v>111</v>
      </c>
      <c r="I191" t="s">
        <v>341</v>
      </c>
      <c r="J191" t="s">
        <v>113</v>
      </c>
      <c r="K191" t="s">
        <v>114</v>
      </c>
      <c r="L191" t="s">
        <v>114</v>
      </c>
      <c r="M191" t="s">
        <v>114</v>
      </c>
      <c r="N191" t="s">
        <v>114</v>
      </c>
      <c r="O191" t="s">
        <v>114</v>
      </c>
      <c r="P191" t="s">
        <v>114</v>
      </c>
      <c r="Q191" t="s">
        <v>114</v>
      </c>
      <c r="R191" t="s">
        <v>114</v>
      </c>
      <c r="S191" t="s">
        <v>114</v>
      </c>
      <c r="T191" t="s">
        <v>114</v>
      </c>
      <c r="V191" t="s">
        <v>114</v>
      </c>
      <c r="W191" t="s">
        <v>114</v>
      </c>
      <c r="Y191" t="s">
        <v>2069</v>
      </c>
      <c r="Z191" t="s">
        <v>2069</v>
      </c>
      <c r="AA191" t="s">
        <v>2070</v>
      </c>
      <c r="AB191" t="s">
        <v>2071</v>
      </c>
      <c r="AC191" t="s">
        <v>2072</v>
      </c>
      <c r="AG191" t="s">
        <v>123</v>
      </c>
      <c r="AH191" t="s">
        <v>124</v>
      </c>
      <c r="AI191" t="s">
        <v>2073</v>
      </c>
      <c r="AJ191" t="s">
        <v>126</v>
      </c>
      <c r="AK191" t="s">
        <v>127</v>
      </c>
      <c r="AM191" t="s">
        <v>2074</v>
      </c>
      <c r="AN191" t="s">
        <v>1520</v>
      </c>
      <c r="AO191" t="s">
        <v>2075</v>
      </c>
      <c r="AP191" t="s">
        <v>131</v>
      </c>
      <c r="AQ191" t="s">
        <v>132</v>
      </c>
      <c r="AR191" t="s">
        <v>2076</v>
      </c>
      <c r="AS191" t="s">
        <v>2077</v>
      </c>
      <c r="AU191" t="s">
        <v>516</v>
      </c>
      <c r="AV191" t="s">
        <v>1045</v>
      </c>
      <c r="AX191" t="s">
        <v>177</v>
      </c>
      <c r="AY191" t="s">
        <v>138</v>
      </c>
      <c r="AZ191" t="s">
        <v>2078</v>
      </c>
      <c r="BB191" t="s">
        <v>140</v>
      </c>
    </row>
    <row r="192" spans="1:54" x14ac:dyDescent="0.35">
      <c r="A192" t="s">
        <v>2079</v>
      </c>
      <c r="B192" t="s">
        <v>107</v>
      </c>
      <c r="C192" t="s">
        <v>107</v>
      </c>
      <c r="E192" t="s">
        <v>108</v>
      </c>
      <c r="F192" t="s">
        <v>158</v>
      </c>
      <c r="G192" t="s">
        <v>159</v>
      </c>
      <c r="H192" t="s">
        <v>111</v>
      </c>
      <c r="I192" t="s">
        <v>341</v>
      </c>
      <c r="J192" t="s">
        <v>113</v>
      </c>
      <c r="K192" t="s">
        <v>114</v>
      </c>
      <c r="L192" t="s">
        <v>161</v>
      </c>
      <c r="M192" t="s">
        <v>161</v>
      </c>
      <c r="N192" t="s">
        <v>436</v>
      </c>
      <c r="O192" t="s">
        <v>1110</v>
      </c>
      <c r="P192" t="s">
        <v>1876</v>
      </c>
      <c r="Q192" t="s">
        <v>113</v>
      </c>
      <c r="R192" t="s">
        <v>142</v>
      </c>
      <c r="S192" t="s">
        <v>114</v>
      </c>
      <c r="T192" t="s">
        <v>1644</v>
      </c>
      <c r="V192" t="s">
        <v>114</v>
      </c>
      <c r="W192" t="s">
        <v>2080</v>
      </c>
      <c r="Y192" t="s">
        <v>2081</v>
      </c>
      <c r="Z192" t="s">
        <v>2082</v>
      </c>
      <c r="AA192" t="s">
        <v>2083</v>
      </c>
      <c r="AB192" t="s">
        <v>2084</v>
      </c>
      <c r="AC192" t="s">
        <v>2082</v>
      </c>
      <c r="AG192" t="s">
        <v>123</v>
      </c>
      <c r="AH192" t="s">
        <v>124</v>
      </c>
      <c r="AI192" t="s">
        <v>2085</v>
      </c>
      <c r="AJ192" t="s">
        <v>126</v>
      </c>
      <c r="AK192" t="s">
        <v>127</v>
      </c>
      <c r="AM192" t="s">
        <v>2086</v>
      </c>
      <c r="AN192" t="s">
        <v>2017</v>
      </c>
      <c r="AO192" t="s">
        <v>2087</v>
      </c>
      <c r="AP192" t="s">
        <v>131</v>
      </c>
      <c r="AQ192" t="s">
        <v>132</v>
      </c>
      <c r="AR192" t="s">
        <v>152</v>
      </c>
      <c r="AS192" t="s">
        <v>637</v>
      </c>
      <c r="AU192" t="s">
        <v>759</v>
      </c>
      <c r="AW192" t="s">
        <v>136</v>
      </c>
      <c r="AX192" t="s">
        <v>177</v>
      </c>
      <c r="AY192" t="s">
        <v>138</v>
      </c>
      <c r="AZ192" t="s">
        <v>2088</v>
      </c>
      <c r="BB192" t="s">
        <v>140</v>
      </c>
    </row>
    <row r="193" spans="1:54" x14ac:dyDescent="0.35">
      <c r="A193" t="s">
        <v>2089</v>
      </c>
      <c r="B193" t="s">
        <v>107</v>
      </c>
      <c r="C193" t="s">
        <v>107</v>
      </c>
      <c r="E193" t="s">
        <v>108</v>
      </c>
      <c r="F193" t="s">
        <v>158</v>
      </c>
      <c r="G193" t="s">
        <v>159</v>
      </c>
      <c r="H193" t="s">
        <v>111</v>
      </c>
      <c r="I193" t="s">
        <v>341</v>
      </c>
      <c r="J193" t="s">
        <v>113</v>
      </c>
      <c r="K193" t="s">
        <v>114</v>
      </c>
      <c r="L193" t="s">
        <v>161</v>
      </c>
      <c r="M193" t="s">
        <v>161</v>
      </c>
      <c r="N193" t="s">
        <v>994</v>
      </c>
      <c r="O193" t="s">
        <v>1110</v>
      </c>
      <c r="P193" t="s">
        <v>1151</v>
      </c>
      <c r="Q193" t="s">
        <v>114</v>
      </c>
      <c r="R193" t="s">
        <v>142</v>
      </c>
      <c r="S193" t="s">
        <v>114</v>
      </c>
      <c r="T193" t="s">
        <v>142</v>
      </c>
      <c r="V193" t="s">
        <v>114</v>
      </c>
      <c r="W193" t="s">
        <v>1151</v>
      </c>
      <c r="Y193" t="s">
        <v>2090</v>
      </c>
      <c r="Z193" t="s">
        <v>2091</v>
      </c>
      <c r="AA193" t="s">
        <v>2092</v>
      </c>
      <c r="AB193" t="s">
        <v>2093</v>
      </c>
      <c r="AC193" t="s">
        <v>2091</v>
      </c>
      <c r="AG193" t="s">
        <v>123</v>
      </c>
      <c r="AH193" t="s">
        <v>124</v>
      </c>
      <c r="AI193" t="s">
        <v>2094</v>
      </c>
      <c r="AJ193" t="s">
        <v>126</v>
      </c>
      <c r="AK193" t="s">
        <v>127</v>
      </c>
      <c r="AM193" t="s">
        <v>2095</v>
      </c>
      <c r="AN193" t="s">
        <v>1305</v>
      </c>
      <c r="AO193" t="s">
        <v>2096</v>
      </c>
      <c r="AP193" t="s">
        <v>131</v>
      </c>
      <c r="AQ193" t="s">
        <v>132</v>
      </c>
      <c r="AR193" t="s">
        <v>387</v>
      </c>
      <c r="AS193" t="s">
        <v>2019</v>
      </c>
      <c r="AU193" t="s">
        <v>1107</v>
      </c>
      <c r="AV193" t="s">
        <v>798</v>
      </c>
      <c r="AW193" t="s">
        <v>136</v>
      </c>
      <c r="AX193" t="s">
        <v>177</v>
      </c>
      <c r="AY193" t="s">
        <v>138</v>
      </c>
      <c r="AZ193" t="s">
        <v>2097</v>
      </c>
      <c r="BB193" t="s">
        <v>140</v>
      </c>
    </row>
    <row r="194" spans="1:54" x14ac:dyDescent="0.35">
      <c r="A194" t="s">
        <v>2098</v>
      </c>
      <c r="B194" t="s">
        <v>107</v>
      </c>
      <c r="C194" t="s">
        <v>107</v>
      </c>
      <c r="E194" t="s">
        <v>108</v>
      </c>
      <c r="F194" t="s">
        <v>158</v>
      </c>
      <c r="G194" t="s">
        <v>159</v>
      </c>
      <c r="H194" t="s">
        <v>111</v>
      </c>
      <c r="I194" t="s">
        <v>341</v>
      </c>
      <c r="J194" t="s">
        <v>113</v>
      </c>
      <c r="K194" t="s">
        <v>114</v>
      </c>
      <c r="L194" t="s">
        <v>161</v>
      </c>
      <c r="M194" t="s">
        <v>161</v>
      </c>
      <c r="N194" t="s">
        <v>994</v>
      </c>
      <c r="O194" t="s">
        <v>1110</v>
      </c>
      <c r="P194" t="s">
        <v>1151</v>
      </c>
      <c r="Q194" t="s">
        <v>114</v>
      </c>
      <c r="R194" t="s">
        <v>180</v>
      </c>
      <c r="S194" t="s">
        <v>114</v>
      </c>
      <c r="T194" t="s">
        <v>180</v>
      </c>
      <c r="V194" t="s">
        <v>114</v>
      </c>
      <c r="W194" t="s">
        <v>1151</v>
      </c>
      <c r="Y194" t="s">
        <v>2099</v>
      </c>
      <c r="Z194" t="s">
        <v>2100</v>
      </c>
      <c r="AA194" t="s">
        <v>2101</v>
      </c>
      <c r="AB194" t="s">
        <v>2102</v>
      </c>
      <c r="AC194" t="s">
        <v>2100</v>
      </c>
      <c r="AG194" t="s">
        <v>123</v>
      </c>
      <c r="AH194" t="s">
        <v>124</v>
      </c>
      <c r="AI194" t="s">
        <v>2103</v>
      </c>
      <c r="AJ194" t="s">
        <v>126</v>
      </c>
      <c r="AK194" t="s">
        <v>127</v>
      </c>
      <c r="AM194" t="s">
        <v>2104</v>
      </c>
      <c r="AN194" t="s">
        <v>2105</v>
      </c>
      <c r="AO194" t="s">
        <v>2106</v>
      </c>
      <c r="AP194" t="s">
        <v>131</v>
      </c>
      <c r="AQ194" t="s">
        <v>132</v>
      </c>
      <c r="AR194" t="s">
        <v>2107</v>
      </c>
      <c r="AS194" t="s">
        <v>2108</v>
      </c>
      <c r="AU194" t="s">
        <v>219</v>
      </c>
      <c r="AW194" t="s">
        <v>136</v>
      </c>
      <c r="AX194" t="s">
        <v>177</v>
      </c>
      <c r="AY194" t="s">
        <v>138</v>
      </c>
      <c r="AZ194" t="s">
        <v>2109</v>
      </c>
      <c r="BB194" t="s">
        <v>140</v>
      </c>
    </row>
    <row r="195" spans="1:54" x14ac:dyDescent="0.35">
      <c r="A195" t="s">
        <v>2110</v>
      </c>
      <c r="B195" t="s">
        <v>107</v>
      </c>
      <c r="C195" t="s">
        <v>107</v>
      </c>
      <c r="E195" t="s">
        <v>108</v>
      </c>
      <c r="F195" t="s">
        <v>158</v>
      </c>
      <c r="G195" t="s">
        <v>159</v>
      </c>
      <c r="H195" t="s">
        <v>111</v>
      </c>
      <c r="I195" t="s">
        <v>341</v>
      </c>
      <c r="J195" t="s">
        <v>113</v>
      </c>
      <c r="K195" t="s">
        <v>114</v>
      </c>
      <c r="L195" t="s">
        <v>161</v>
      </c>
      <c r="M195" t="s">
        <v>161</v>
      </c>
      <c r="N195" t="s">
        <v>762</v>
      </c>
      <c r="O195" t="s">
        <v>1110</v>
      </c>
      <c r="P195" t="s">
        <v>1575</v>
      </c>
      <c r="Q195" t="s">
        <v>114</v>
      </c>
      <c r="R195" t="s">
        <v>142</v>
      </c>
      <c r="S195" t="s">
        <v>114</v>
      </c>
      <c r="T195" t="s">
        <v>142</v>
      </c>
      <c r="V195" t="s">
        <v>114</v>
      </c>
      <c r="W195" t="s">
        <v>1575</v>
      </c>
      <c r="Y195" t="s">
        <v>2111</v>
      </c>
      <c r="Z195" t="s">
        <v>2112</v>
      </c>
      <c r="AA195" t="s">
        <v>2113</v>
      </c>
      <c r="AB195" t="s">
        <v>2114</v>
      </c>
      <c r="AC195" t="s">
        <v>2115</v>
      </c>
      <c r="AG195" t="s">
        <v>123</v>
      </c>
      <c r="AH195" t="s">
        <v>124</v>
      </c>
      <c r="AI195" t="s">
        <v>2116</v>
      </c>
      <c r="AJ195" t="s">
        <v>126</v>
      </c>
      <c r="AK195" t="s">
        <v>127</v>
      </c>
      <c r="AM195" t="s">
        <v>2117</v>
      </c>
      <c r="AN195" t="s">
        <v>2118</v>
      </c>
      <c r="AO195" t="s">
        <v>2119</v>
      </c>
      <c r="AP195" t="s">
        <v>131</v>
      </c>
      <c r="AQ195" t="s">
        <v>132</v>
      </c>
      <c r="AR195" t="s">
        <v>152</v>
      </c>
      <c r="AS195" t="s">
        <v>2120</v>
      </c>
      <c r="AU195" t="s">
        <v>406</v>
      </c>
      <c r="AW195" t="s">
        <v>176</v>
      </c>
      <c r="AX195" t="s">
        <v>177</v>
      </c>
      <c r="AY195" t="s">
        <v>138</v>
      </c>
      <c r="AZ195" t="s">
        <v>2121</v>
      </c>
      <c r="BB195" t="s">
        <v>140</v>
      </c>
    </row>
    <row r="196" spans="1:54" x14ac:dyDescent="0.35">
      <c r="A196" t="s">
        <v>2122</v>
      </c>
      <c r="B196" t="s">
        <v>107</v>
      </c>
      <c r="C196" t="s">
        <v>107</v>
      </c>
      <c r="E196" t="s">
        <v>108</v>
      </c>
      <c r="F196" t="s">
        <v>499</v>
      </c>
      <c r="G196" t="s">
        <v>500</v>
      </c>
      <c r="H196" t="s">
        <v>501</v>
      </c>
      <c r="I196" t="s">
        <v>341</v>
      </c>
      <c r="J196" t="s">
        <v>1548</v>
      </c>
      <c r="K196" t="s">
        <v>114</v>
      </c>
      <c r="L196" t="s">
        <v>502</v>
      </c>
      <c r="M196" t="s">
        <v>2123</v>
      </c>
      <c r="N196" t="s">
        <v>1548</v>
      </c>
      <c r="O196" t="s">
        <v>2124</v>
      </c>
      <c r="P196" t="s">
        <v>2125</v>
      </c>
      <c r="Q196" t="s">
        <v>114</v>
      </c>
      <c r="R196" t="s">
        <v>118</v>
      </c>
      <c r="S196" t="s">
        <v>114</v>
      </c>
      <c r="T196" t="s">
        <v>118</v>
      </c>
      <c r="V196" t="s">
        <v>114</v>
      </c>
      <c r="W196" t="s">
        <v>2125</v>
      </c>
      <c r="Y196" t="s">
        <v>2126</v>
      </c>
      <c r="Z196" t="s">
        <v>2127</v>
      </c>
      <c r="AA196" t="s">
        <v>2128</v>
      </c>
      <c r="AB196" t="s">
        <v>2129</v>
      </c>
      <c r="AC196" t="s">
        <v>2127</v>
      </c>
      <c r="AG196" t="s">
        <v>123</v>
      </c>
      <c r="AH196" t="s">
        <v>124</v>
      </c>
      <c r="AI196" t="s">
        <v>2130</v>
      </c>
      <c r="AJ196" t="s">
        <v>126</v>
      </c>
      <c r="AK196" t="s">
        <v>127</v>
      </c>
      <c r="AM196" t="s">
        <v>2131</v>
      </c>
      <c r="AN196" t="s">
        <v>2132</v>
      </c>
      <c r="AO196" t="s">
        <v>2133</v>
      </c>
      <c r="AP196" t="s">
        <v>131</v>
      </c>
      <c r="AQ196" t="s">
        <v>403</v>
      </c>
      <c r="AR196" t="s">
        <v>2134</v>
      </c>
      <c r="AS196" t="s">
        <v>2135</v>
      </c>
      <c r="AU196" t="s">
        <v>1135</v>
      </c>
      <c r="AW196" t="s">
        <v>136</v>
      </c>
      <c r="AX196" t="s">
        <v>1562</v>
      </c>
      <c r="AY196" t="s">
        <v>517</v>
      </c>
      <c r="AZ196" t="s">
        <v>2136</v>
      </c>
      <c r="BB196" t="s">
        <v>140</v>
      </c>
    </row>
    <row r="197" spans="1:54" x14ac:dyDescent="0.35">
      <c r="A197" t="s">
        <v>2137</v>
      </c>
      <c r="B197" t="s">
        <v>107</v>
      </c>
      <c r="C197" t="s">
        <v>107</v>
      </c>
      <c r="E197" t="s">
        <v>108</v>
      </c>
      <c r="F197" t="s">
        <v>158</v>
      </c>
      <c r="G197" t="s">
        <v>159</v>
      </c>
      <c r="H197" t="s">
        <v>111</v>
      </c>
      <c r="I197" t="s">
        <v>341</v>
      </c>
      <c r="J197" t="s">
        <v>113</v>
      </c>
      <c r="K197" t="s">
        <v>114</v>
      </c>
      <c r="L197" t="s">
        <v>161</v>
      </c>
      <c r="M197" t="s">
        <v>161</v>
      </c>
      <c r="N197" t="s">
        <v>1219</v>
      </c>
      <c r="O197" t="s">
        <v>1110</v>
      </c>
      <c r="P197" t="s">
        <v>1220</v>
      </c>
      <c r="Q197" t="s">
        <v>114</v>
      </c>
      <c r="R197" t="s">
        <v>180</v>
      </c>
      <c r="S197" t="s">
        <v>114</v>
      </c>
      <c r="T197" t="s">
        <v>180</v>
      </c>
      <c r="V197" t="s">
        <v>114</v>
      </c>
      <c r="W197" t="s">
        <v>1220</v>
      </c>
      <c r="Y197" t="s">
        <v>2138</v>
      </c>
      <c r="Z197" t="s">
        <v>2139</v>
      </c>
      <c r="AA197" t="s">
        <v>2140</v>
      </c>
      <c r="AB197" t="s">
        <v>2141</v>
      </c>
      <c r="AC197" t="s">
        <v>2139</v>
      </c>
      <c r="AG197" t="s">
        <v>123</v>
      </c>
      <c r="AH197" t="s">
        <v>124</v>
      </c>
      <c r="AI197" t="s">
        <v>2142</v>
      </c>
      <c r="AJ197" t="s">
        <v>126</v>
      </c>
      <c r="AK197" t="s">
        <v>127</v>
      </c>
      <c r="AM197" t="s">
        <v>2143</v>
      </c>
      <c r="AN197" t="s">
        <v>2144</v>
      </c>
      <c r="AO197" t="s">
        <v>2145</v>
      </c>
      <c r="AP197" t="s">
        <v>131</v>
      </c>
      <c r="AQ197" t="s">
        <v>132</v>
      </c>
      <c r="AR197" t="s">
        <v>2146</v>
      </c>
      <c r="AS197" t="s">
        <v>2147</v>
      </c>
      <c r="AU197" t="s">
        <v>316</v>
      </c>
      <c r="AW197" t="s">
        <v>136</v>
      </c>
      <c r="AX197" t="s">
        <v>177</v>
      </c>
      <c r="AY197" t="s">
        <v>138</v>
      </c>
      <c r="AZ197" t="s">
        <v>2148</v>
      </c>
      <c r="BB197" t="s">
        <v>140</v>
      </c>
    </row>
    <row r="198" spans="1:54" x14ac:dyDescent="0.35">
      <c r="A198" t="s">
        <v>2149</v>
      </c>
      <c r="B198" t="s">
        <v>107</v>
      </c>
      <c r="C198" t="s">
        <v>107</v>
      </c>
      <c r="E198" t="s">
        <v>108</v>
      </c>
      <c r="F198" t="s">
        <v>499</v>
      </c>
      <c r="G198" t="s">
        <v>500</v>
      </c>
      <c r="H198" t="s">
        <v>501</v>
      </c>
      <c r="I198" t="s">
        <v>341</v>
      </c>
      <c r="J198" t="s">
        <v>113</v>
      </c>
      <c r="K198" t="s">
        <v>114</v>
      </c>
      <c r="L198" t="s">
        <v>502</v>
      </c>
      <c r="M198" t="s">
        <v>502</v>
      </c>
      <c r="N198" t="s">
        <v>2150</v>
      </c>
      <c r="O198" t="s">
        <v>504</v>
      </c>
      <c r="P198" t="s">
        <v>2151</v>
      </c>
      <c r="Q198" t="s">
        <v>114</v>
      </c>
      <c r="R198" t="s">
        <v>142</v>
      </c>
      <c r="S198" t="s">
        <v>114</v>
      </c>
      <c r="T198" t="s">
        <v>142</v>
      </c>
      <c r="V198" t="s">
        <v>114</v>
      </c>
      <c r="W198" t="s">
        <v>2151</v>
      </c>
      <c r="Y198" t="s">
        <v>2152</v>
      </c>
      <c r="Z198" t="s">
        <v>2153</v>
      </c>
      <c r="AA198" t="s">
        <v>2154</v>
      </c>
      <c r="AB198" t="s">
        <v>2155</v>
      </c>
      <c r="AC198" t="s">
        <v>2156</v>
      </c>
      <c r="AG198" t="s">
        <v>123</v>
      </c>
      <c r="AH198" t="s">
        <v>124</v>
      </c>
      <c r="AI198" t="s">
        <v>2157</v>
      </c>
      <c r="AJ198" t="s">
        <v>126</v>
      </c>
      <c r="AK198" t="s">
        <v>127</v>
      </c>
      <c r="AM198" t="s">
        <v>2158</v>
      </c>
      <c r="AN198" t="s">
        <v>2159</v>
      </c>
      <c r="AO198" t="s">
        <v>2160</v>
      </c>
      <c r="AP198" t="s">
        <v>131</v>
      </c>
      <c r="AQ198" t="s">
        <v>132</v>
      </c>
      <c r="AR198" t="s">
        <v>152</v>
      </c>
      <c r="AS198" t="s">
        <v>1730</v>
      </c>
      <c r="AU198" t="s">
        <v>434</v>
      </c>
      <c r="AW198" t="s">
        <v>155</v>
      </c>
      <c r="AX198" t="s">
        <v>177</v>
      </c>
      <c r="AY198" t="s">
        <v>517</v>
      </c>
      <c r="AZ198" t="s">
        <v>2161</v>
      </c>
      <c r="BB198" t="s">
        <v>140</v>
      </c>
    </row>
    <row r="199" spans="1:54" x14ac:dyDescent="0.35">
      <c r="A199" t="s">
        <v>2162</v>
      </c>
      <c r="B199" t="s">
        <v>107</v>
      </c>
      <c r="C199" t="s">
        <v>107</v>
      </c>
      <c r="F199" t="s">
        <v>158</v>
      </c>
      <c r="G199" t="s">
        <v>159</v>
      </c>
      <c r="H199" t="s">
        <v>111</v>
      </c>
      <c r="I199" t="s">
        <v>341</v>
      </c>
      <c r="J199" t="s">
        <v>113</v>
      </c>
      <c r="K199" t="s">
        <v>114</v>
      </c>
      <c r="L199" t="s">
        <v>114</v>
      </c>
      <c r="M199" t="s">
        <v>114</v>
      </c>
      <c r="N199" t="s">
        <v>114</v>
      </c>
      <c r="O199" t="s">
        <v>114</v>
      </c>
      <c r="P199" t="s">
        <v>114</v>
      </c>
      <c r="Q199" t="s">
        <v>114</v>
      </c>
      <c r="R199" t="s">
        <v>114</v>
      </c>
      <c r="S199" t="s">
        <v>114</v>
      </c>
      <c r="T199" t="s">
        <v>114</v>
      </c>
      <c r="V199" t="s">
        <v>114</v>
      </c>
      <c r="W199" t="s">
        <v>114</v>
      </c>
      <c r="Y199" t="s">
        <v>2163</v>
      </c>
      <c r="Z199" t="s">
        <v>2163</v>
      </c>
      <c r="AA199" t="s">
        <v>2164</v>
      </c>
      <c r="AB199" t="s">
        <v>2165</v>
      </c>
      <c r="AC199" t="s">
        <v>2166</v>
      </c>
      <c r="AG199" t="s">
        <v>123</v>
      </c>
      <c r="AH199" t="s">
        <v>124</v>
      </c>
      <c r="AI199" t="s">
        <v>2167</v>
      </c>
      <c r="AJ199" t="s">
        <v>126</v>
      </c>
      <c r="AK199" t="s">
        <v>127</v>
      </c>
      <c r="AM199" t="s">
        <v>2168</v>
      </c>
      <c r="AN199" t="s">
        <v>2169</v>
      </c>
      <c r="AO199" t="s">
        <v>2170</v>
      </c>
      <c r="AP199" t="s">
        <v>131</v>
      </c>
      <c r="AQ199" t="s">
        <v>132</v>
      </c>
      <c r="AR199" t="s">
        <v>867</v>
      </c>
      <c r="AS199" t="s">
        <v>868</v>
      </c>
      <c r="AU199" t="s">
        <v>1183</v>
      </c>
      <c r="AX199" t="s">
        <v>177</v>
      </c>
      <c r="AY199" t="s">
        <v>138</v>
      </c>
      <c r="AZ199" t="s">
        <v>2171</v>
      </c>
      <c r="BB199" t="s">
        <v>140</v>
      </c>
    </row>
    <row r="200" spans="1:54" x14ac:dyDescent="0.35">
      <c r="A200" t="s">
        <v>2172</v>
      </c>
      <c r="B200" t="s">
        <v>107</v>
      </c>
      <c r="C200" t="s">
        <v>107</v>
      </c>
      <c r="E200" t="s">
        <v>108</v>
      </c>
      <c r="F200" t="s">
        <v>158</v>
      </c>
      <c r="G200" t="s">
        <v>159</v>
      </c>
      <c r="H200" t="s">
        <v>111</v>
      </c>
      <c r="I200" t="s">
        <v>341</v>
      </c>
      <c r="J200" t="s">
        <v>113</v>
      </c>
      <c r="K200" t="s">
        <v>114</v>
      </c>
      <c r="L200" t="s">
        <v>161</v>
      </c>
      <c r="M200" t="s">
        <v>161</v>
      </c>
      <c r="N200" t="s">
        <v>162</v>
      </c>
      <c r="O200" t="s">
        <v>1110</v>
      </c>
      <c r="P200" t="s">
        <v>1206</v>
      </c>
      <c r="Q200" t="s">
        <v>114</v>
      </c>
      <c r="R200" t="s">
        <v>142</v>
      </c>
      <c r="S200" t="s">
        <v>114</v>
      </c>
      <c r="T200" t="s">
        <v>142</v>
      </c>
      <c r="V200" t="s">
        <v>114</v>
      </c>
      <c r="W200" t="s">
        <v>1206</v>
      </c>
      <c r="Y200" t="s">
        <v>2173</v>
      </c>
      <c r="Z200" t="s">
        <v>2174</v>
      </c>
      <c r="AA200" t="s">
        <v>2175</v>
      </c>
      <c r="AB200" t="s">
        <v>2176</v>
      </c>
      <c r="AC200" t="s">
        <v>2177</v>
      </c>
      <c r="AG200" t="s">
        <v>123</v>
      </c>
      <c r="AH200" t="s">
        <v>124</v>
      </c>
      <c r="AI200" t="s">
        <v>2178</v>
      </c>
      <c r="AJ200" t="s">
        <v>126</v>
      </c>
      <c r="AK200" t="s">
        <v>127</v>
      </c>
      <c r="AM200" t="s">
        <v>2179</v>
      </c>
      <c r="AN200" t="s">
        <v>2180</v>
      </c>
      <c r="AO200" t="s">
        <v>2181</v>
      </c>
      <c r="AP200" t="s">
        <v>131</v>
      </c>
      <c r="AQ200" t="s">
        <v>2182</v>
      </c>
      <c r="AR200" t="s">
        <v>234</v>
      </c>
      <c r="AS200" t="s">
        <v>2183</v>
      </c>
      <c r="AU200" t="s">
        <v>516</v>
      </c>
      <c r="AV200" t="s">
        <v>286</v>
      </c>
      <c r="AW200" t="s">
        <v>176</v>
      </c>
      <c r="AX200" t="s">
        <v>177</v>
      </c>
      <c r="AY200" t="s">
        <v>138</v>
      </c>
      <c r="AZ200" t="s">
        <v>2184</v>
      </c>
      <c r="BB200" t="s">
        <v>140</v>
      </c>
    </row>
    <row r="201" spans="1:54" x14ac:dyDescent="0.35">
      <c r="A201" t="s">
        <v>2185</v>
      </c>
      <c r="B201" t="s">
        <v>107</v>
      </c>
      <c r="C201" t="s">
        <v>107</v>
      </c>
      <c r="F201" t="s">
        <v>158</v>
      </c>
      <c r="G201" t="s">
        <v>159</v>
      </c>
      <c r="H201" t="s">
        <v>111</v>
      </c>
      <c r="I201" t="s">
        <v>341</v>
      </c>
      <c r="J201" t="s">
        <v>113</v>
      </c>
      <c r="K201" t="s">
        <v>114</v>
      </c>
      <c r="L201" t="s">
        <v>114</v>
      </c>
      <c r="M201" t="s">
        <v>114</v>
      </c>
      <c r="N201" t="s">
        <v>114</v>
      </c>
      <c r="O201" t="s">
        <v>114</v>
      </c>
      <c r="P201" t="s">
        <v>114</v>
      </c>
      <c r="Q201" t="s">
        <v>114</v>
      </c>
      <c r="R201" t="s">
        <v>114</v>
      </c>
      <c r="S201" t="s">
        <v>114</v>
      </c>
      <c r="T201" t="s">
        <v>114</v>
      </c>
      <c r="V201" t="s">
        <v>114</v>
      </c>
      <c r="W201" t="s">
        <v>114</v>
      </c>
      <c r="Y201" t="s">
        <v>2186</v>
      </c>
      <c r="Z201" t="s">
        <v>2186</v>
      </c>
      <c r="AA201" t="s">
        <v>2187</v>
      </c>
      <c r="AB201" t="s">
        <v>2188</v>
      </c>
      <c r="AC201" t="s">
        <v>2189</v>
      </c>
      <c r="AG201" t="s">
        <v>123</v>
      </c>
      <c r="AH201" t="s">
        <v>124</v>
      </c>
      <c r="AI201" t="s">
        <v>2190</v>
      </c>
      <c r="AJ201" t="s">
        <v>126</v>
      </c>
      <c r="AK201" t="s">
        <v>127</v>
      </c>
      <c r="AM201" t="s">
        <v>2191</v>
      </c>
      <c r="AN201" t="s">
        <v>2192</v>
      </c>
      <c r="AO201" t="s">
        <v>2193</v>
      </c>
      <c r="AP201" t="s">
        <v>131</v>
      </c>
      <c r="AQ201" t="s">
        <v>132</v>
      </c>
      <c r="AR201" t="s">
        <v>297</v>
      </c>
      <c r="AS201" t="s">
        <v>2194</v>
      </c>
      <c r="AU201" t="s">
        <v>639</v>
      </c>
      <c r="AV201" t="s">
        <v>2195</v>
      </c>
      <c r="AX201" t="s">
        <v>177</v>
      </c>
      <c r="AY201" t="s">
        <v>138</v>
      </c>
      <c r="AZ201" t="s">
        <v>2196</v>
      </c>
      <c r="BB201" t="s">
        <v>140</v>
      </c>
    </row>
    <row r="202" spans="1:54" x14ac:dyDescent="0.35">
      <c r="A202" t="s">
        <v>2197</v>
      </c>
      <c r="B202" t="s">
        <v>336</v>
      </c>
      <c r="C202" t="s">
        <v>336</v>
      </c>
      <c r="D202" t="s">
        <v>337</v>
      </c>
      <c r="E202" t="s">
        <v>108</v>
      </c>
      <c r="F202" t="s">
        <v>158</v>
      </c>
      <c r="G202" t="s">
        <v>159</v>
      </c>
      <c r="H202" t="s">
        <v>111</v>
      </c>
      <c r="I202" t="s">
        <v>341</v>
      </c>
      <c r="J202" t="s">
        <v>113</v>
      </c>
      <c r="K202" t="s">
        <v>113</v>
      </c>
      <c r="L202" t="s">
        <v>161</v>
      </c>
      <c r="M202" t="s">
        <v>161</v>
      </c>
      <c r="N202" t="s">
        <v>994</v>
      </c>
      <c r="O202" t="s">
        <v>1110</v>
      </c>
      <c r="P202" t="s">
        <v>1151</v>
      </c>
      <c r="Q202" t="s">
        <v>114</v>
      </c>
      <c r="R202" t="s">
        <v>180</v>
      </c>
      <c r="S202" t="s">
        <v>114</v>
      </c>
      <c r="T202" t="s">
        <v>180</v>
      </c>
      <c r="V202" t="s">
        <v>114</v>
      </c>
      <c r="W202" t="s">
        <v>1151</v>
      </c>
      <c r="X202" t="s">
        <v>1151</v>
      </c>
      <c r="Y202" t="s">
        <v>2198</v>
      </c>
      <c r="AD202" t="s">
        <v>2199</v>
      </c>
      <c r="AE202" t="s">
        <v>346</v>
      </c>
      <c r="AF202" t="s">
        <v>347</v>
      </c>
      <c r="AG202" t="s">
        <v>123</v>
      </c>
      <c r="AH202" t="s">
        <v>124</v>
      </c>
      <c r="AJ202" t="s">
        <v>126</v>
      </c>
      <c r="AM202" t="s">
        <v>2200</v>
      </c>
      <c r="AN202" t="s">
        <v>2201</v>
      </c>
      <c r="AO202" t="s">
        <v>2202</v>
      </c>
      <c r="AP202" t="s">
        <v>131</v>
      </c>
      <c r="AQ202" t="s">
        <v>132</v>
      </c>
      <c r="AR202" t="s">
        <v>2076</v>
      </c>
      <c r="AS202" t="s">
        <v>2203</v>
      </c>
      <c r="AU202" t="s">
        <v>773</v>
      </c>
      <c r="AW202" t="s">
        <v>136</v>
      </c>
      <c r="AX202" t="s">
        <v>177</v>
      </c>
      <c r="AY202" t="s">
        <v>138</v>
      </c>
      <c r="AZ202" t="s">
        <v>2204</v>
      </c>
      <c r="BB202" t="s">
        <v>140</v>
      </c>
    </row>
    <row r="203" spans="1:54" x14ac:dyDescent="0.35">
      <c r="A203" t="s">
        <v>2205</v>
      </c>
      <c r="B203" t="s">
        <v>107</v>
      </c>
      <c r="C203" t="s">
        <v>107</v>
      </c>
      <c r="F203" t="s">
        <v>158</v>
      </c>
      <c r="G203" t="s">
        <v>159</v>
      </c>
      <c r="H203" t="s">
        <v>111</v>
      </c>
      <c r="I203" t="s">
        <v>341</v>
      </c>
      <c r="J203" t="s">
        <v>113</v>
      </c>
      <c r="K203" t="s">
        <v>114</v>
      </c>
      <c r="L203" t="s">
        <v>114</v>
      </c>
      <c r="M203" t="s">
        <v>114</v>
      </c>
      <c r="N203" t="s">
        <v>114</v>
      </c>
      <c r="O203" t="s">
        <v>114</v>
      </c>
      <c r="P203" t="s">
        <v>114</v>
      </c>
      <c r="Q203" t="s">
        <v>114</v>
      </c>
      <c r="R203" t="s">
        <v>114</v>
      </c>
      <c r="S203" t="s">
        <v>114</v>
      </c>
      <c r="T203" t="s">
        <v>114</v>
      </c>
      <c r="V203" t="s">
        <v>114</v>
      </c>
      <c r="W203" t="s">
        <v>114</v>
      </c>
      <c r="Y203" t="s">
        <v>2206</v>
      </c>
      <c r="Z203" t="s">
        <v>2206</v>
      </c>
      <c r="AA203" t="s">
        <v>2207</v>
      </c>
      <c r="AB203" t="s">
        <v>2208</v>
      </c>
      <c r="AC203" t="s">
        <v>2209</v>
      </c>
      <c r="AG203" t="s">
        <v>123</v>
      </c>
      <c r="AH203" t="s">
        <v>124</v>
      </c>
      <c r="AI203" t="s">
        <v>2210</v>
      </c>
      <c r="AJ203" t="s">
        <v>126</v>
      </c>
      <c r="AK203" t="s">
        <v>127</v>
      </c>
      <c r="AM203" t="s">
        <v>2211</v>
      </c>
      <c r="AN203" t="s">
        <v>2212</v>
      </c>
      <c r="AO203" t="s">
        <v>2213</v>
      </c>
      <c r="AP203" t="s">
        <v>131</v>
      </c>
      <c r="AQ203" t="s">
        <v>132</v>
      </c>
      <c r="AR203" t="s">
        <v>152</v>
      </c>
      <c r="AS203" t="s">
        <v>1949</v>
      </c>
      <c r="AU203" t="s">
        <v>450</v>
      </c>
      <c r="AV203" t="s">
        <v>265</v>
      </c>
      <c r="AX203" t="s">
        <v>177</v>
      </c>
      <c r="AY203" t="s">
        <v>138</v>
      </c>
      <c r="AZ203" t="s">
        <v>2214</v>
      </c>
      <c r="BB203" t="s">
        <v>140</v>
      </c>
    </row>
    <row r="204" spans="1:54" x14ac:dyDescent="0.35">
      <c r="A204" t="s">
        <v>2215</v>
      </c>
      <c r="B204" t="s">
        <v>107</v>
      </c>
      <c r="C204" t="s">
        <v>107</v>
      </c>
      <c r="F204" t="s">
        <v>613</v>
      </c>
      <c r="G204" t="s">
        <v>614</v>
      </c>
      <c r="H204" t="s">
        <v>615</v>
      </c>
      <c r="I204" t="s">
        <v>271</v>
      </c>
      <c r="J204" t="s">
        <v>113</v>
      </c>
      <c r="K204" t="s">
        <v>114</v>
      </c>
      <c r="L204" t="s">
        <v>114</v>
      </c>
      <c r="M204" t="s">
        <v>114</v>
      </c>
      <c r="N204" t="s">
        <v>114</v>
      </c>
      <c r="O204" t="s">
        <v>114</v>
      </c>
      <c r="P204" t="s">
        <v>114</v>
      </c>
      <c r="Q204" t="s">
        <v>114</v>
      </c>
      <c r="R204" t="s">
        <v>114</v>
      </c>
      <c r="S204" t="s">
        <v>114</v>
      </c>
      <c r="T204" t="s">
        <v>114</v>
      </c>
      <c r="V204" t="s">
        <v>114</v>
      </c>
      <c r="W204" t="s">
        <v>114</v>
      </c>
      <c r="Y204" t="s">
        <v>2216</v>
      </c>
      <c r="Z204" t="s">
        <v>2216</v>
      </c>
      <c r="AA204" t="s">
        <v>2217</v>
      </c>
      <c r="AB204" t="s">
        <v>2218</v>
      </c>
      <c r="AC204" t="s">
        <v>2219</v>
      </c>
      <c r="AG204" t="s">
        <v>123</v>
      </c>
      <c r="AH204" t="s">
        <v>124</v>
      </c>
      <c r="AI204" t="s">
        <v>2220</v>
      </c>
      <c r="AJ204" t="s">
        <v>126</v>
      </c>
      <c r="AK204" t="s">
        <v>127</v>
      </c>
      <c r="AM204" t="s">
        <v>2221</v>
      </c>
      <c r="AN204" t="s">
        <v>2222</v>
      </c>
      <c r="AO204" t="s">
        <v>2223</v>
      </c>
      <c r="AP204" t="s">
        <v>131</v>
      </c>
      <c r="AQ204" t="s">
        <v>132</v>
      </c>
      <c r="AR204" t="s">
        <v>796</v>
      </c>
      <c r="AS204" t="s">
        <v>2224</v>
      </c>
      <c r="AU204" t="s">
        <v>610</v>
      </c>
      <c r="AV204" t="s">
        <v>610</v>
      </c>
      <c r="AX204" t="s">
        <v>177</v>
      </c>
      <c r="AY204" t="s">
        <v>627</v>
      </c>
      <c r="AZ204" t="s">
        <v>2225</v>
      </c>
      <c r="BB204" t="s">
        <v>140</v>
      </c>
    </row>
    <row r="205" spans="1:54" x14ac:dyDescent="0.35">
      <c r="A205" t="s">
        <v>2226</v>
      </c>
      <c r="B205" t="s">
        <v>107</v>
      </c>
      <c r="C205" t="s">
        <v>107</v>
      </c>
      <c r="E205" t="s">
        <v>108</v>
      </c>
      <c r="F205" t="s">
        <v>158</v>
      </c>
      <c r="G205" t="s">
        <v>159</v>
      </c>
      <c r="H205" t="s">
        <v>111</v>
      </c>
      <c r="I205" t="s">
        <v>341</v>
      </c>
      <c r="J205" t="s">
        <v>1548</v>
      </c>
      <c r="K205" t="s">
        <v>114</v>
      </c>
      <c r="L205" t="s">
        <v>161</v>
      </c>
      <c r="M205" t="s">
        <v>1549</v>
      </c>
      <c r="N205" t="s">
        <v>994</v>
      </c>
      <c r="O205" t="s">
        <v>1550</v>
      </c>
      <c r="P205" t="s">
        <v>1551</v>
      </c>
      <c r="Q205" t="s">
        <v>114</v>
      </c>
      <c r="R205" t="s">
        <v>180</v>
      </c>
      <c r="S205" t="s">
        <v>114</v>
      </c>
      <c r="T205" t="s">
        <v>180</v>
      </c>
      <c r="V205" t="s">
        <v>114</v>
      </c>
      <c r="W205" t="s">
        <v>1551</v>
      </c>
      <c r="Y205" t="s">
        <v>2227</v>
      </c>
      <c r="Z205" t="s">
        <v>2228</v>
      </c>
      <c r="AA205" t="s">
        <v>2229</v>
      </c>
      <c r="AB205" t="s">
        <v>2230</v>
      </c>
      <c r="AC205" t="s">
        <v>2228</v>
      </c>
      <c r="AG205" t="s">
        <v>123</v>
      </c>
      <c r="AH205" t="s">
        <v>124</v>
      </c>
      <c r="AI205" t="s">
        <v>2231</v>
      </c>
      <c r="AJ205" t="s">
        <v>126</v>
      </c>
      <c r="AK205" t="s">
        <v>127</v>
      </c>
      <c r="AM205" t="s">
        <v>2232</v>
      </c>
      <c r="AN205" t="s">
        <v>2233</v>
      </c>
      <c r="AO205" t="s">
        <v>2234</v>
      </c>
      <c r="AP205" t="s">
        <v>131</v>
      </c>
      <c r="AQ205" t="s">
        <v>132</v>
      </c>
      <c r="AR205" t="s">
        <v>352</v>
      </c>
      <c r="AS205" t="s">
        <v>374</v>
      </c>
      <c r="AU205" t="s">
        <v>316</v>
      </c>
      <c r="AW205" t="s">
        <v>136</v>
      </c>
      <c r="AX205" t="s">
        <v>1562</v>
      </c>
      <c r="AY205" t="s">
        <v>138</v>
      </c>
      <c r="AZ205" t="s">
        <v>2235</v>
      </c>
      <c r="BB205" t="s">
        <v>140</v>
      </c>
    </row>
    <row r="206" spans="1:54" x14ac:dyDescent="0.35">
      <c r="A206" t="s">
        <v>2236</v>
      </c>
      <c r="B206" t="s">
        <v>107</v>
      </c>
      <c r="C206" t="s">
        <v>107</v>
      </c>
      <c r="E206" t="s">
        <v>108</v>
      </c>
      <c r="F206" t="s">
        <v>158</v>
      </c>
      <c r="G206" t="s">
        <v>159</v>
      </c>
      <c r="H206" t="s">
        <v>111</v>
      </c>
      <c r="I206" t="s">
        <v>341</v>
      </c>
      <c r="J206" t="s">
        <v>113</v>
      </c>
      <c r="K206" t="s">
        <v>114</v>
      </c>
      <c r="L206" t="s">
        <v>161</v>
      </c>
      <c r="M206" t="s">
        <v>161</v>
      </c>
      <c r="N206" t="s">
        <v>162</v>
      </c>
      <c r="O206" t="s">
        <v>1110</v>
      </c>
      <c r="P206" t="s">
        <v>1206</v>
      </c>
      <c r="Q206" t="s">
        <v>114</v>
      </c>
      <c r="R206" t="s">
        <v>142</v>
      </c>
      <c r="S206" t="s">
        <v>114</v>
      </c>
      <c r="T206" t="s">
        <v>142</v>
      </c>
      <c r="V206" t="s">
        <v>114</v>
      </c>
      <c r="W206" t="s">
        <v>1206</v>
      </c>
      <c r="Y206" t="s">
        <v>2237</v>
      </c>
      <c r="Z206" t="s">
        <v>2238</v>
      </c>
      <c r="AA206" t="s">
        <v>2239</v>
      </c>
      <c r="AB206" t="s">
        <v>2240</v>
      </c>
      <c r="AC206" t="s">
        <v>2238</v>
      </c>
      <c r="AG206" t="s">
        <v>123</v>
      </c>
      <c r="AH206" t="s">
        <v>124</v>
      </c>
      <c r="AI206" t="s">
        <v>2241</v>
      </c>
      <c r="AJ206" t="s">
        <v>126</v>
      </c>
      <c r="AK206" t="s">
        <v>127</v>
      </c>
      <c r="AM206" t="s">
        <v>2242</v>
      </c>
      <c r="AN206" t="s">
        <v>2243</v>
      </c>
      <c r="AO206" t="s">
        <v>2244</v>
      </c>
      <c r="AP206" t="s">
        <v>131</v>
      </c>
      <c r="AQ206" t="s">
        <v>132</v>
      </c>
      <c r="AR206" t="s">
        <v>152</v>
      </c>
      <c r="AS206" t="s">
        <v>153</v>
      </c>
      <c r="AU206" t="s">
        <v>1148</v>
      </c>
      <c r="AW206" t="s">
        <v>136</v>
      </c>
      <c r="AX206" t="s">
        <v>177</v>
      </c>
      <c r="AY206" t="s">
        <v>138</v>
      </c>
      <c r="AZ206" t="s">
        <v>2245</v>
      </c>
      <c r="BB206" t="s">
        <v>140</v>
      </c>
    </row>
    <row r="207" spans="1:54" x14ac:dyDescent="0.35">
      <c r="A207" t="s">
        <v>2246</v>
      </c>
      <c r="B207" t="s">
        <v>107</v>
      </c>
      <c r="C207" t="s">
        <v>107</v>
      </c>
      <c r="E207" t="s">
        <v>108</v>
      </c>
      <c r="F207" t="s">
        <v>338</v>
      </c>
      <c r="G207" t="s">
        <v>339</v>
      </c>
      <c r="H207" t="s">
        <v>340</v>
      </c>
      <c r="I207" t="s">
        <v>341</v>
      </c>
      <c r="J207" t="s">
        <v>113</v>
      </c>
      <c r="K207" t="s">
        <v>114</v>
      </c>
      <c r="L207" t="s">
        <v>114</v>
      </c>
      <c r="M207" t="s">
        <v>114</v>
      </c>
      <c r="N207" t="s">
        <v>114</v>
      </c>
      <c r="O207" t="s">
        <v>114</v>
      </c>
      <c r="P207" t="s">
        <v>114</v>
      </c>
      <c r="Q207" t="s">
        <v>114</v>
      </c>
      <c r="R207" t="s">
        <v>142</v>
      </c>
      <c r="S207" t="s">
        <v>114</v>
      </c>
      <c r="T207" t="s">
        <v>142</v>
      </c>
      <c r="V207" t="s">
        <v>114</v>
      </c>
      <c r="W207" t="s">
        <v>562</v>
      </c>
      <c r="Y207" t="s">
        <v>2247</v>
      </c>
      <c r="Z207" t="s">
        <v>2248</v>
      </c>
      <c r="AA207" t="s">
        <v>2249</v>
      </c>
      <c r="AB207" t="s">
        <v>2250</v>
      </c>
      <c r="AC207" t="s">
        <v>2251</v>
      </c>
      <c r="AG207" t="s">
        <v>123</v>
      </c>
      <c r="AH207" t="s">
        <v>124</v>
      </c>
      <c r="AI207" t="s">
        <v>2252</v>
      </c>
      <c r="AJ207" t="s">
        <v>126</v>
      </c>
      <c r="AK207" t="s">
        <v>127</v>
      </c>
      <c r="AM207" t="s">
        <v>2253</v>
      </c>
      <c r="AN207" t="s">
        <v>2254</v>
      </c>
      <c r="AO207" t="s">
        <v>2255</v>
      </c>
      <c r="AP207" t="s">
        <v>131</v>
      </c>
      <c r="AQ207" t="s">
        <v>233</v>
      </c>
      <c r="AR207" t="s">
        <v>234</v>
      </c>
      <c r="AS207" t="s">
        <v>2256</v>
      </c>
      <c r="AU207" t="s">
        <v>516</v>
      </c>
      <c r="AW207" t="s">
        <v>176</v>
      </c>
      <c r="AX207" t="s">
        <v>177</v>
      </c>
      <c r="AY207" t="s">
        <v>356</v>
      </c>
      <c r="AZ207" t="s">
        <v>2257</v>
      </c>
      <c r="BB207" t="s">
        <v>140</v>
      </c>
    </row>
    <row r="208" spans="1:54" x14ac:dyDescent="0.35">
      <c r="A208" t="s">
        <v>2246</v>
      </c>
      <c r="B208" t="s">
        <v>107</v>
      </c>
      <c r="C208" t="s">
        <v>107</v>
      </c>
      <c r="E208" t="s">
        <v>108</v>
      </c>
      <c r="F208" t="s">
        <v>358</v>
      </c>
      <c r="G208" t="s">
        <v>359</v>
      </c>
      <c r="H208" t="s">
        <v>360</v>
      </c>
      <c r="I208" t="s">
        <v>341</v>
      </c>
      <c r="J208" t="s">
        <v>113</v>
      </c>
      <c r="K208" t="s">
        <v>114</v>
      </c>
      <c r="L208" t="s">
        <v>361</v>
      </c>
      <c r="M208" t="s">
        <v>361</v>
      </c>
      <c r="N208" t="s">
        <v>113</v>
      </c>
      <c r="O208" t="s">
        <v>363</v>
      </c>
      <c r="P208" t="s">
        <v>562</v>
      </c>
      <c r="Q208" t="s">
        <v>114</v>
      </c>
      <c r="R208" t="s">
        <v>142</v>
      </c>
      <c r="S208" t="s">
        <v>114</v>
      </c>
      <c r="T208" t="s">
        <v>142</v>
      </c>
      <c r="V208" t="s">
        <v>114</v>
      </c>
      <c r="W208" t="s">
        <v>562</v>
      </c>
      <c r="Y208" t="s">
        <v>2247</v>
      </c>
      <c r="Z208" t="s">
        <v>2248</v>
      </c>
      <c r="AA208" t="s">
        <v>2249</v>
      </c>
      <c r="AB208" t="s">
        <v>2250</v>
      </c>
      <c r="AC208" t="s">
        <v>2251</v>
      </c>
      <c r="AG208" t="s">
        <v>123</v>
      </c>
      <c r="AH208" t="s">
        <v>124</v>
      </c>
      <c r="AI208" t="s">
        <v>2252</v>
      </c>
      <c r="AJ208" t="s">
        <v>126</v>
      </c>
      <c r="AK208" t="s">
        <v>127</v>
      </c>
      <c r="AM208" t="s">
        <v>2253</v>
      </c>
      <c r="AN208" t="s">
        <v>2254</v>
      </c>
      <c r="AO208" t="s">
        <v>2255</v>
      </c>
      <c r="AP208" t="s">
        <v>131</v>
      </c>
      <c r="AQ208" t="s">
        <v>233</v>
      </c>
      <c r="AR208" t="s">
        <v>234</v>
      </c>
      <c r="AS208" t="s">
        <v>2256</v>
      </c>
      <c r="AU208" t="s">
        <v>516</v>
      </c>
      <c r="AW208" t="s">
        <v>176</v>
      </c>
      <c r="AX208" t="s">
        <v>177</v>
      </c>
      <c r="AY208" t="s">
        <v>364</v>
      </c>
      <c r="AZ208" t="s">
        <v>2257</v>
      </c>
      <c r="BB208" t="s">
        <v>140</v>
      </c>
    </row>
    <row r="209" spans="1:54" x14ac:dyDescent="0.35">
      <c r="A209" t="s">
        <v>2258</v>
      </c>
      <c r="B209" t="s">
        <v>107</v>
      </c>
      <c r="C209" t="s">
        <v>107</v>
      </c>
      <c r="E209" t="s">
        <v>108</v>
      </c>
      <c r="F209" t="s">
        <v>158</v>
      </c>
      <c r="G209" t="s">
        <v>159</v>
      </c>
      <c r="H209" t="s">
        <v>111</v>
      </c>
      <c r="I209" t="s">
        <v>341</v>
      </c>
      <c r="J209" t="s">
        <v>113</v>
      </c>
      <c r="K209" t="s">
        <v>114</v>
      </c>
      <c r="L209" t="s">
        <v>161</v>
      </c>
      <c r="M209" t="s">
        <v>161</v>
      </c>
      <c r="N209" t="s">
        <v>436</v>
      </c>
      <c r="O209" t="s">
        <v>1110</v>
      </c>
      <c r="P209" t="s">
        <v>1876</v>
      </c>
      <c r="Q209" t="s">
        <v>114</v>
      </c>
      <c r="R209" t="s">
        <v>180</v>
      </c>
      <c r="S209" t="s">
        <v>114</v>
      </c>
      <c r="T209" t="s">
        <v>180</v>
      </c>
      <c r="V209" t="s">
        <v>114</v>
      </c>
      <c r="W209" t="s">
        <v>1876</v>
      </c>
      <c r="Y209" t="s">
        <v>2259</v>
      </c>
      <c r="Z209" t="s">
        <v>2260</v>
      </c>
      <c r="AA209" t="s">
        <v>2261</v>
      </c>
      <c r="AB209" t="s">
        <v>2262</v>
      </c>
      <c r="AC209" t="s">
        <v>2260</v>
      </c>
      <c r="AG209" t="s">
        <v>123</v>
      </c>
      <c r="AH209" t="s">
        <v>124</v>
      </c>
      <c r="AI209" t="s">
        <v>2263</v>
      </c>
      <c r="AJ209" t="s">
        <v>126</v>
      </c>
      <c r="AK209" t="s">
        <v>127</v>
      </c>
      <c r="AM209" t="s">
        <v>2264</v>
      </c>
      <c r="AN209" t="s">
        <v>2265</v>
      </c>
      <c r="AO209" t="s">
        <v>2266</v>
      </c>
      <c r="AP209" t="s">
        <v>131</v>
      </c>
      <c r="AQ209" t="s">
        <v>132</v>
      </c>
      <c r="AR209" t="s">
        <v>1464</v>
      </c>
      <c r="AS209" t="s">
        <v>1465</v>
      </c>
      <c r="AU209" t="s">
        <v>1195</v>
      </c>
      <c r="AW209" t="s">
        <v>136</v>
      </c>
      <c r="AX209" t="s">
        <v>177</v>
      </c>
      <c r="AY209" t="s">
        <v>138</v>
      </c>
      <c r="AZ209" t="s">
        <v>2267</v>
      </c>
      <c r="BB209" t="s">
        <v>140</v>
      </c>
    </row>
    <row r="210" spans="1:54" x14ac:dyDescent="0.35">
      <c r="A210" t="s">
        <v>2258</v>
      </c>
      <c r="B210" t="s">
        <v>107</v>
      </c>
      <c r="C210" t="s">
        <v>107</v>
      </c>
      <c r="E210" t="s">
        <v>108</v>
      </c>
      <c r="F210" t="s">
        <v>268</v>
      </c>
      <c r="G210" t="s">
        <v>269</v>
      </c>
      <c r="H210" t="s">
        <v>2268</v>
      </c>
      <c r="I210" t="s">
        <v>271</v>
      </c>
      <c r="J210" t="s">
        <v>113</v>
      </c>
      <c r="K210" t="s">
        <v>114</v>
      </c>
      <c r="L210" t="s">
        <v>114</v>
      </c>
      <c r="M210" t="s">
        <v>114</v>
      </c>
      <c r="N210" t="s">
        <v>114</v>
      </c>
      <c r="O210" t="s">
        <v>114</v>
      </c>
      <c r="P210" t="s">
        <v>114</v>
      </c>
      <c r="Q210" t="s">
        <v>114</v>
      </c>
      <c r="R210" t="s">
        <v>180</v>
      </c>
      <c r="S210" t="s">
        <v>114</v>
      </c>
      <c r="T210" t="s">
        <v>180</v>
      </c>
      <c r="V210" t="s">
        <v>114</v>
      </c>
      <c r="W210" t="s">
        <v>1876</v>
      </c>
      <c r="Y210" t="s">
        <v>2259</v>
      </c>
      <c r="Z210" t="s">
        <v>2260</v>
      </c>
      <c r="AA210" t="s">
        <v>2261</v>
      </c>
      <c r="AB210" t="s">
        <v>2262</v>
      </c>
      <c r="AC210" t="s">
        <v>2260</v>
      </c>
      <c r="AG210" t="s">
        <v>123</v>
      </c>
      <c r="AH210" t="s">
        <v>124</v>
      </c>
      <c r="AI210" t="s">
        <v>2263</v>
      </c>
      <c r="AJ210" t="s">
        <v>126</v>
      </c>
      <c r="AK210" t="s">
        <v>127</v>
      </c>
      <c r="AM210" t="s">
        <v>2264</v>
      </c>
      <c r="AN210" t="s">
        <v>2265</v>
      </c>
      <c r="AO210" t="s">
        <v>2266</v>
      </c>
      <c r="AP210" t="s">
        <v>131</v>
      </c>
      <c r="AQ210" t="s">
        <v>132</v>
      </c>
      <c r="AR210" t="s">
        <v>1464</v>
      </c>
      <c r="AS210" t="s">
        <v>1465</v>
      </c>
      <c r="AU210" t="s">
        <v>1195</v>
      </c>
      <c r="AW210" t="s">
        <v>136</v>
      </c>
      <c r="AX210" t="s">
        <v>272</v>
      </c>
      <c r="AY210" t="s">
        <v>273</v>
      </c>
      <c r="AZ210" t="s">
        <v>2267</v>
      </c>
      <c r="BB210" t="s">
        <v>140</v>
      </c>
    </row>
    <row r="211" spans="1:54" x14ac:dyDescent="0.35">
      <c r="A211" t="s">
        <v>2269</v>
      </c>
      <c r="B211" t="s">
        <v>107</v>
      </c>
      <c r="C211" t="s">
        <v>107</v>
      </c>
      <c r="E211" t="s">
        <v>108</v>
      </c>
      <c r="F211" t="s">
        <v>268</v>
      </c>
      <c r="G211" t="s">
        <v>269</v>
      </c>
      <c r="H211" t="s">
        <v>2268</v>
      </c>
      <c r="I211" t="s">
        <v>271</v>
      </c>
      <c r="J211" t="s">
        <v>113</v>
      </c>
      <c r="K211" t="s">
        <v>114</v>
      </c>
      <c r="L211" t="s">
        <v>114</v>
      </c>
      <c r="M211" t="s">
        <v>114</v>
      </c>
      <c r="N211" t="s">
        <v>114</v>
      </c>
      <c r="O211" t="s">
        <v>114</v>
      </c>
      <c r="P211" t="s">
        <v>114</v>
      </c>
      <c r="Q211" t="s">
        <v>114</v>
      </c>
      <c r="R211" t="s">
        <v>142</v>
      </c>
      <c r="S211" t="s">
        <v>114</v>
      </c>
      <c r="T211" t="s">
        <v>142</v>
      </c>
      <c r="V211" t="s">
        <v>114</v>
      </c>
      <c r="W211" t="s">
        <v>1151</v>
      </c>
      <c r="Y211" t="s">
        <v>2270</v>
      </c>
      <c r="Z211" t="s">
        <v>2271</v>
      </c>
      <c r="AA211" t="s">
        <v>2272</v>
      </c>
      <c r="AB211" t="s">
        <v>2273</v>
      </c>
      <c r="AC211" t="s">
        <v>2271</v>
      </c>
      <c r="AG211" t="s">
        <v>123</v>
      </c>
      <c r="AH211" t="s">
        <v>124</v>
      </c>
      <c r="AI211" t="s">
        <v>2274</v>
      </c>
      <c r="AJ211" t="s">
        <v>126</v>
      </c>
      <c r="AK211" t="s">
        <v>127</v>
      </c>
      <c r="AM211" t="s">
        <v>2275</v>
      </c>
      <c r="AN211" t="s">
        <v>2276</v>
      </c>
      <c r="AO211" t="s">
        <v>2277</v>
      </c>
      <c r="AP211" t="s">
        <v>131</v>
      </c>
      <c r="AQ211" t="s">
        <v>132</v>
      </c>
      <c r="AR211" t="s">
        <v>152</v>
      </c>
      <c r="AS211" t="s">
        <v>2278</v>
      </c>
      <c r="AU211" t="s">
        <v>1183</v>
      </c>
      <c r="AV211" t="s">
        <v>546</v>
      </c>
      <c r="AW211" t="s">
        <v>136</v>
      </c>
      <c r="AX211" t="s">
        <v>272</v>
      </c>
      <c r="AY211" t="s">
        <v>273</v>
      </c>
      <c r="AZ211" t="s">
        <v>2279</v>
      </c>
      <c r="BB211" t="s">
        <v>140</v>
      </c>
    </row>
    <row r="212" spans="1:54" x14ac:dyDescent="0.35">
      <c r="A212" t="s">
        <v>2269</v>
      </c>
      <c r="B212" t="s">
        <v>107</v>
      </c>
      <c r="C212" t="s">
        <v>107</v>
      </c>
      <c r="E212" t="s">
        <v>108</v>
      </c>
      <c r="F212" t="s">
        <v>158</v>
      </c>
      <c r="G212" t="s">
        <v>159</v>
      </c>
      <c r="H212" t="s">
        <v>111</v>
      </c>
      <c r="I212" t="s">
        <v>341</v>
      </c>
      <c r="J212" t="s">
        <v>113</v>
      </c>
      <c r="K212" t="s">
        <v>114</v>
      </c>
      <c r="L212" t="s">
        <v>161</v>
      </c>
      <c r="M212" t="s">
        <v>161</v>
      </c>
      <c r="N212" t="s">
        <v>994</v>
      </c>
      <c r="O212" t="s">
        <v>1110</v>
      </c>
      <c r="P212" t="s">
        <v>1151</v>
      </c>
      <c r="Q212" t="s">
        <v>114</v>
      </c>
      <c r="R212" t="s">
        <v>142</v>
      </c>
      <c r="S212" t="s">
        <v>114</v>
      </c>
      <c r="T212" t="s">
        <v>142</v>
      </c>
      <c r="V212" t="s">
        <v>114</v>
      </c>
      <c r="W212" t="s">
        <v>1151</v>
      </c>
      <c r="Y212" t="s">
        <v>2270</v>
      </c>
      <c r="Z212" t="s">
        <v>2271</v>
      </c>
      <c r="AA212" t="s">
        <v>2272</v>
      </c>
      <c r="AB212" t="s">
        <v>2273</v>
      </c>
      <c r="AC212" t="s">
        <v>2271</v>
      </c>
      <c r="AG212" t="s">
        <v>123</v>
      </c>
      <c r="AH212" t="s">
        <v>124</v>
      </c>
      <c r="AI212" t="s">
        <v>2274</v>
      </c>
      <c r="AJ212" t="s">
        <v>126</v>
      </c>
      <c r="AK212" t="s">
        <v>127</v>
      </c>
      <c r="AM212" t="s">
        <v>2275</v>
      </c>
      <c r="AN212" t="s">
        <v>2276</v>
      </c>
      <c r="AO212" t="s">
        <v>2277</v>
      </c>
      <c r="AP212" t="s">
        <v>131</v>
      </c>
      <c r="AQ212" t="s">
        <v>132</v>
      </c>
      <c r="AR212" t="s">
        <v>152</v>
      </c>
      <c r="AS212" t="s">
        <v>2278</v>
      </c>
      <c r="AU212" t="s">
        <v>1183</v>
      </c>
      <c r="AV212" t="s">
        <v>546</v>
      </c>
      <c r="AW212" t="s">
        <v>136</v>
      </c>
      <c r="AX212" t="s">
        <v>177</v>
      </c>
      <c r="AY212" t="s">
        <v>138</v>
      </c>
      <c r="AZ212" t="s">
        <v>2279</v>
      </c>
      <c r="BB212" t="s">
        <v>140</v>
      </c>
    </row>
    <row r="213" spans="1:54" x14ac:dyDescent="0.35">
      <c r="A213" t="s">
        <v>2280</v>
      </c>
      <c r="B213" t="s">
        <v>107</v>
      </c>
      <c r="C213" t="s">
        <v>107</v>
      </c>
      <c r="F213" t="s">
        <v>158</v>
      </c>
      <c r="G213" t="s">
        <v>159</v>
      </c>
      <c r="H213" t="s">
        <v>111</v>
      </c>
      <c r="I213" t="s">
        <v>341</v>
      </c>
      <c r="J213" t="s">
        <v>113</v>
      </c>
      <c r="K213" t="s">
        <v>114</v>
      </c>
      <c r="L213" t="s">
        <v>114</v>
      </c>
      <c r="M213" t="s">
        <v>114</v>
      </c>
      <c r="N213" t="s">
        <v>114</v>
      </c>
      <c r="O213" t="s">
        <v>114</v>
      </c>
      <c r="P213" t="s">
        <v>114</v>
      </c>
      <c r="Q213" t="s">
        <v>114</v>
      </c>
      <c r="R213" t="s">
        <v>114</v>
      </c>
      <c r="S213" t="s">
        <v>114</v>
      </c>
      <c r="T213" t="s">
        <v>114</v>
      </c>
      <c r="V213" t="s">
        <v>114</v>
      </c>
      <c r="W213" t="s">
        <v>114</v>
      </c>
      <c r="Y213" t="s">
        <v>2281</v>
      </c>
      <c r="Z213" t="s">
        <v>2281</v>
      </c>
      <c r="AA213" t="s">
        <v>2282</v>
      </c>
      <c r="AB213" t="s">
        <v>2283</v>
      </c>
      <c r="AC213" t="s">
        <v>2284</v>
      </c>
      <c r="AG213" t="s">
        <v>123</v>
      </c>
      <c r="AH213" t="s">
        <v>124</v>
      </c>
      <c r="AI213" t="s">
        <v>2285</v>
      </c>
      <c r="AJ213" t="s">
        <v>126</v>
      </c>
      <c r="AK213" t="s">
        <v>127</v>
      </c>
      <c r="AM213" t="s">
        <v>2286</v>
      </c>
      <c r="AN213" t="s">
        <v>2287</v>
      </c>
      <c r="AO213" t="s">
        <v>2288</v>
      </c>
      <c r="AP213" t="s">
        <v>131</v>
      </c>
      <c r="AQ213" t="s">
        <v>132</v>
      </c>
      <c r="AR213" t="s">
        <v>1777</v>
      </c>
      <c r="AS213" t="s">
        <v>2289</v>
      </c>
      <c r="AU213" t="s">
        <v>1045</v>
      </c>
      <c r="AX213" t="s">
        <v>177</v>
      </c>
      <c r="AY213" t="s">
        <v>138</v>
      </c>
      <c r="AZ213" t="s">
        <v>2290</v>
      </c>
      <c r="BB213" t="s">
        <v>140</v>
      </c>
    </row>
    <row r="214" spans="1:54" x14ac:dyDescent="0.35">
      <c r="A214" t="s">
        <v>2291</v>
      </c>
      <c r="B214" t="s">
        <v>107</v>
      </c>
      <c r="C214" t="s">
        <v>107</v>
      </c>
      <c r="F214" t="s">
        <v>613</v>
      </c>
      <c r="G214" t="s">
        <v>614</v>
      </c>
      <c r="H214" t="s">
        <v>615</v>
      </c>
      <c r="I214" t="s">
        <v>271</v>
      </c>
      <c r="J214" t="s">
        <v>113</v>
      </c>
      <c r="K214" t="s">
        <v>114</v>
      </c>
      <c r="L214" t="s">
        <v>114</v>
      </c>
      <c r="M214" t="s">
        <v>114</v>
      </c>
      <c r="N214" t="s">
        <v>114</v>
      </c>
      <c r="O214" t="s">
        <v>114</v>
      </c>
      <c r="P214" t="s">
        <v>114</v>
      </c>
      <c r="Q214" t="s">
        <v>114</v>
      </c>
      <c r="R214" t="s">
        <v>114</v>
      </c>
      <c r="S214" t="s">
        <v>114</v>
      </c>
      <c r="T214" t="s">
        <v>114</v>
      </c>
      <c r="V214" t="s">
        <v>114</v>
      </c>
      <c r="W214" t="s">
        <v>114</v>
      </c>
      <c r="Y214" t="s">
        <v>2292</v>
      </c>
      <c r="Z214" t="s">
        <v>2292</v>
      </c>
      <c r="AA214" t="s">
        <v>2293</v>
      </c>
      <c r="AB214" t="s">
        <v>2294</v>
      </c>
      <c r="AC214" t="s">
        <v>2295</v>
      </c>
      <c r="AG214" t="s">
        <v>123</v>
      </c>
      <c r="AH214" t="s">
        <v>124</v>
      </c>
      <c r="AI214" t="s">
        <v>2296</v>
      </c>
      <c r="AJ214" t="s">
        <v>126</v>
      </c>
      <c r="AK214" t="s">
        <v>127</v>
      </c>
      <c r="AM214" t="s">
        <v>2297</v>
      </c>
      <c r="AN214" t="s">
        <v>2298</v>
      </c>
      <c r="AO214" t="s">
        <v>2299</v>
      </c>
      <c r="AP214" t="s">
        <v>131</v>
      </c>
      <c r="AQ214" t="s">
        <v>132</v>
      </c>
      <c r="AR214" t="s">
        <v>2300</v>
      </c>
      <c r="AS214" t="s">
        <v>2301</v>
      </c>
      <c r="AU214" t="s">
        <v>204</v>
      </c>
      <c r="AV214" t="s">
        <v>1665</v>
      </c>
      <c r="AX214" t="s">
        <v>177</v>
      </c>
      <c r="AY214" t="s">
        <v>627</v>
      </c>
      <c r="AZ214" t="s">
        <v>2302</v>
      </c>
      <c r="BB214" t="s">
        <v>140</v>
      </c>
    </row>
    <row r="215" spans="1:54" x14ac:dyDescent="0.35">
      <c r="A215" t="s">
        <v>2303</v>
      </c>
      <c r="B215" t="s">
        <v>107</v>
      </c>
      <c r="C215" t="s">
        <v>107</v>
      </c>
      <c r="F215" t="s">
        <v>158</v>
      </c>
      <c r="G215" t="s">
        <v>159</v>
      </c>
      <c r="H215" t="s">
        <v>111</v>
      </c>
      <c r="I215" t="s">
        <v>341</v>
      </c>
      <c r="J215" t="s">
        <v>113</v>
      </c>
      <c r="K215" t="s">
        <v>114</v>
      </c>
      <c r="L215" t="s">
        <v>114</v>
      </c>
      <c r="M215" t="s">
        <v>114</v>
      </c>
      <c r="N215" t="s">
        <v>114</v>
      </c>
      <c r="O215" t="s">
        <v>114</v>
      </c>
      <c r="P215" t="s">
        <v>114</v>
      </c>
      <c r="Q215" t="s">
        <v>114</v>
      </c>
      <c r="R215" t="s">
        <v>114</v>
      </c>
      <c r="S215" t="s">
        <v>114</v>
      </c>
      <c r="T215" t="s">
        <v>114</v>
      </c>
      <c r="V215" t="s">
        <v>114</v>
      </c>
      <c r="W215" t="s">
        <v>114</v>
      </c>
      <c r="Y215" t="s">
        <v>2304</v>
      </c>
      <c r="Z215" t="s">
        <v>2304</v>
      </c>
      <c r="AA215" t="s">
        <v>2305</v>
      </c>
      <c r="AB215" t="s">
        <v>2306</v>
      </c>
      <c r="AC215" t="s">
        <v>2307</v>
      </c>
      <c r="AG215" t="s">
        <v>123</v>
      </c>
      <c r="AH215" t="s">
        <v>124</v>
      </c>
      <c r="AI215" t="s">
        <v>2308</v>
      </c>
      <c r="AJ215" t="s">
        <v>126</v>
      </c>
      <c r="AK215" t="s">
        <v>127</v>
      </c>
      <c r="AM215" t="s">
        <v>2309</v>
      </c>
      <c r="AN215" t="s">
        <v>2310</v>
      </c>
      <c r="AO215" t="s">
        <v>2311</v>
      </c>
      <c r="AP215" t="s">
        <v>131</v>
      </c>
      <c r="AQ215" t="s">
        <v>132</v>
      </c>
      <c r="AR215" t="s">
        <v>2312</v>
      </c>
      <c r="AS215" t="s">
        <v>2313</v>
      </c>
      <c r="AU215" t="s">
        <v>375</v>
      </c>
      <c r="AV215" t="s">
        <v>354</v>
      </c>
      <c r="AX215" t="s">
        <v>177</v>
      </c>
      <c r="AY215" t="s">
        <v>138</v>
      </c>
      <c r="AZ215" t="s">
        <v>2314</v>
      </c>
      <c r="BB215" t="s">
        <v>140</v>
      </c>
    </row>
    <row r="216" spans="1:54" x14ac:dyDescent="0.35">
      <c r="A216" t="s">
        <v>2315</v>
      </c>
      <c r="B216" t="s">
        <v>107</v>
      </c>
      <c r="C216" t="s">
        <v>107</v>
      </c>
      <c r="F216" t="s">
        <v>358</v>
      </c>
      <c r="G216" t="s">
        <v>359</v>
      </c>
      <c r="H216" t="s">
        <v>360</v>
      </c>
      <c r="I216" t="s">
        <v>341</v>
      </c>
      <c r="J216" t="s">
        <v>113</v>
      </c>
      <c r="K216" t="s">
        <v>114</v>
      </c>
      <c r="L216" t="s">
        <v>114</v>
      </c>
      <c r="M216" t="s">
        <v>114</v>
      </c>
      <c r="N216" t="s">
        <v>114</v>
      </c>
      <c r="O216" t="s">
        <v>114</v>
      </c>
      <c r="P216" t="s">
        <v>114</v>
      </c>
      <c r="Q216" t="s">
        <v>114</v>
      </c>
      <c r="R216" t="s">
        <v>114</v>
      </c>
      <c r="S216" t="s">
        <v>114</v>
      </c>
      <c r="T216" t="s">
        <v>114</v>
      </c>
      <c r="V216" t="s">
        <v>114</v>
      </c>
      <c r="W216" t="s">
        <v>114</v>
      </c>
      <c r="Y216" t="s">
        <v>2316</v>
      </c>
      <c r="Z216" t="s">
        <v>2316</v>
      </c>
      <c r="AA216" t="s">
        <v>2317</v>
      </c>
      <c r="AB216" t="s">
        <v>2318</v>
      </c>
      <c r="AC216" t="s">
        <v>2319</v>
      </c>
      <c r="AG216" t="s">
        <v>123</v>
      </c>
      <c r="AH216" t="s">
        <v>124</v>
      </c>
      <c r="AI216" t="s">
        <v>2320</v>
      </c>
      <c r="AJ216" t="s">
        <v>126</v>
      </c>
      <c r="AK216" t="s">
        <v>127</v>
      </c>
      <c r="AM216" t="s">
        <v>2321</v>
      </c>
      <c r="AN216" t="s">
        <v>2322</v>
      </c>
      <c r="AO216" t="s">
        <v>2323</v>
      </c>
      <c r="AP216" t="s">
        <v>131</v>
      </c>
      <c r="AQ216" t="s">
        <v>132</v>
      </c>
      <c r="AR216" t="s">
        <v>867</v>
      </c>
      <c r="AS216" t="s">
        <v>868</v>
      </c>
      <c r="AU216" t="s">
        <v>952</v>
      </c>
      <c r="AX216" t="s">
        <v>177</v>
      </c>
      <c r="AY216" t="s">
        <v>364</v>
      </c>
      <c r="AZ216" t="s">
        <v>2324</v>
      </c>
      <c r="BB216" t="s">
        <v>140</v>
      </c>
    </row>
    <row r="217" spans="1:54" x14ac:dyDescent="0.35">
      <c r="A217" t="s">
        <v>2325</v>
      </c>
      <c r="B217" t="s">
        <v>107</v>
      </c>
      <c r="C217" t="s">
        <v>107</v>
      </c>
      <c r="F217" t="s">
        <v>358</v>
      </c>
      <c r="G217" t="s">
        <v>359</v>
      </c>
      <c r="H217" t="s">
        <v>360</v>
      </c>
      <c r="I217" t="s">
        <v>341</v>
      </c>
      <c r="J217" t="s">
        <v>113</v>
      </c>
      <c r="K217" t="s">
        <v>114</v>
      </c>
      <c r="L217" t="s">
        <v>114</v>
      </c>
      <c r="M217" t="s">
        <v>114</v>
      </c>
      <c r="N217" t="s">
        <v>114</v>
      </c>
      <c r="O217" t="s">
        <v>114</v>
      </c>
      <c r="P217" t="s">
        <v>114</v>
      </c>
      <c r="Q217" t="s">
        <v>114</v>
      </c>
      <c r="R217" t="s">
        <v>114</v>
      </c>
      <c r="S217" t="s">
        <v>114</v>
      </c>
      <c r="T217" t="s">
        <v>114</v>
      </c>
      <c r="V217" t="s">
        <v>114</v>
      </c>
      <c r="W217" t="s">
        <v>114</v>
      </c>
      <c r="Y217" t="s">
        <v>2326</v>
      </c>
      <c r="Z217" t="s">
        <v>2326</v>
      </c>
      <c r="AA217" t="s">
        <v>2327</v>
      </c>
      <c r="AB217" t="s">
        <v>2328</v>
      </c>
      <c r="AC217" t="s">
        <v>2329</v>
      </c>
      <c r="AG217" t="s">
        <v>123</v>
      </c>
      <c r="AH217" t="s">
        <v>124</v>
      </c>
      <c r="AI217" t="s">
        <v>2330</v>
      </c>
      <c r="AJ217" t="s">
        <v>126</v>
      </c>
      <c r="AK217" t="s">
        <v>127</v>
      </c>
      <c r="AM217" t="s">
        <v>2331</v>
      </c>
      <c r="AN217" t="s">
        <v>2332</v>
      </c>
      <c r="AO217" t="s">
        <v>2333</v>
      </c>
      <c r="AP217" t="s">
        <v>131</v>
      </c>
      <c r="AQ217" t="s">
        <v>132</v>
      </c>
      <c r="AR217" t="s">
        <v>262</v>
      </c>
      <c r="AS217" t="s">
        <v>263</v>
      </c>
      <c r="AU217" t="s">
        <v>585</v>
      </c>
      <c r="AV217" t="s">
        <v>204</v>
      </c>
      <c r="AX217" t="s">
        <v>177</v>
      </c>
      <c r="AY217" t="s">
        <v>364</v>
      </c>
      <c r="AZ217" t="s">
        <v>2334</v>
      </c>
      <c r="BB217" t="s">
        <v>140</v>
      </c>
    </row>
    <row r="218" spans="1:54" x14ac:dyDescent="0.35">
      <c r="A218" t="s">
        <v>2335</v>
      </c>
      <c r="B218" t="s">
        <v>107</v>
      </c>
      <c r="C218" t="s">
        <v>107</v>
      </c>
      <c r="E218" t="s">
        <v>108</v>
      </c>
      <c r="F218" t="s">
        <v>338</v>
      </c>
      <c r="G218" t="s">
        <v>339</v>
      </c>
      <c r="H218" t="s">
        <v>340</v>
      </c>
      <c r="I218" t="s">
        <v>341</v>
      </c>
      <c r="J218" t="s">
        <v>113</v>
      </c>
      <c r="K218" t="s">
        <v>114</v>
      </c>
      <c r="L218" t="s">
        <v>114</v>
      </c>
      <c r="M218" t="s">
        <v>114</v>
      </c>
      <c r="N218" t="s">
        <v>114</v>
      </c>
      <c r="O218" t="s">
        <v>114</v>
      </c>
      <c r="P218" t="s">
        <v>114</v>
      </c>
      <c r="Q218" t="s">
        <v>114</v>
      </c>
      <c r="R218" t="s">
        <v>142</v>
      </c>
      <c r="S218" t="s">
        <v>114</v>
      </c>
      <c r="T218" t="s">
        <v>142</v>
      </c>
      <c r="V218" t="s">
        <v>114</v>
      </c>
      <c r="W218" t="s">
        <v>562</v>
      </c>
      <c r="Y218" t="s">
        <v>2336</v>
      </c>
      <c r="Z218" t="s">
        <v>2337</v>
      </c>
      <c r="AA218" t="s">
        <v>2338</v>
      </c>
      <c r="AB218" t="s">
        <v>2339</v>
      </c>
      <c r="AC218" t="s">
        <v>2340</v>
      </c>
      <c r="AG218" t="s">
        <v>123</v>
      </c>
      <c r="AH218" t="s">
        <v>124</v>
      </c>
      <c r="AI218" t="s">
        <v>2341</v>
      </c>
      <c r="AJ218" t="s">
        <v>126</v>
      </c>
      <c r="AK218" t="s">
        <v>127</v>
      </c>
      <c r="AM218" t="s">
        <v>2342</v>
      </c>
      <c r="AN218" t="s">
        <v>2343</v>
      </c>
      <c r="AO218" t="s">
        <v>2344</v>
      </c>
      <c r="AP218" t="s">
        <v>131</v>
      </c>
      <c r="AQ218" t="s">
        <v>132</v>
      </c>
      <c r="AR218" t="s">
        <v>720</v>
      </c>
      <c r="AS218" t="s">
        <v>2345</v>
      </c>
      <c r="AU218" t="s">
        <v>701</v>
      </c>
      <c r="AV218" t="s">
        <v>918</v>
      </c>
      <c r="AW218" t="s">
        <v>155</v>
      </c>
      <c r="AX218" t="s">
        <v>177</v>
      </c>
      <c r="AY218" t="s">
        <v>356</v>
      </c>
      <c r="AZ218" t="s">
        <v>2346</v>
      </c>
      <c r="BB218" t="s">
        <v>140</v>
      </c>
    </row>
    <row r="219" spans="1:54" x14ac:dyDescent="0.35">
      <c r="A219" t="s">
        <v>2335</v>
      </c>
      <c r="B219" t="s">
        <v>107</v>
      </c>
      <c r="C219" t="s">
        <v>107</v>
      </c>
      <c r="E219" t="s">
        <v>108</v>
      </c>
      <c r="F219" t="s">
        <v>358</v>
      </c>
      <c r="G219" t="s">
        <v>359</v>
      </c>
      <c r="H219" t="s">
        <v>360</v>
      </c>
      <c r="I219" t="s">
        <v>341</v>
      </c>
      <c r="J219" t="s">
        <v>113</v>
      </c>
      <c r="K219" t="s">
        <v>114</v>
      </c>
      <c r="L219" t="s">
        <v>361</v>
      </c>
      <c r="M219" t="s">
        <v>361</v>
      </c>
      <c r="N219" t="s">
        <v>113</v>
      </c>
      <c r="O219" t="s">
        <v>363</v>
      </c>
      <c r="P219" t="s">
        <v>562</v>
      </c>
      <c r="Q219" t="s">
        <v>114</v>
      </c>
      <c r="R219" t="s">
        <v>142</v>
      </c>
      <c r="S219" t="s">
        <v>114</v>
      </c>
      <c r="T219" t="s">
        <v>142</v>
      </c>
      <c r="V219" t="s">
        <v>114</v>
      </c>
      <c r="W219" t="s">
        <v>562</v>
      </c>
      <c r="Y219" t="s">
        <v>2336</v>
      </c>
      <c r="Z219" t="s">
        <v>2337</v>
      </c>
      <c r="AA219" t="s">
        <v>2338</v>
      </c>
      <c r="AB219" t="s">
        <v>2339</v>
      </c>
      <c r="AC219" t="s">
        <v>2340</v>
      </c>
      <c r="AG219" t="s">
        <v>123</v>
      </c>
      <c r="AH219" t="s">
        <v>124</v>
      </c>
      <c r="AI219" t="s">
        <v>2341</v>
      </c>
      <c r="AJ219" t="s">
        <v>126</v>
      </c>
      <c r="AK219" t="s">
        <v>127</v>
      </c>
      <c r="AM219" t="s">
        <v>2342</v>
      </c>
      <c r="AN219" t="s">
        <v>2343</v>
      </c>
      <c r="AO219" t="s">
        <v>2344</v>
      </c>
      <c r="AP219" t="s">
        <v>131</v>
      </c>
      <c r="AQ219" t="s">
        <v>132</v>
      </c>
      <c r="AR219" t="s">
        <v>720</v>
      </c>
      <c r="AS219" t="s">
        <v>2345</v>
      </c>
      <c r="AU219" t="s">
        <v>701</v>
      </c>
      <c r="AV219" t="s">
        <v>918</v>
      </c>
      <c r="AW219" t="s">
        <v>155</v>
      </c>
      <c r="AX219" t="s">
        <v>177</v>
      </c>
      <c r="AY219" t="s">
        <v>364</v>
      </c>
      <c r="AZ219" t="s">
        <v>2346</v>
      </c>
      <c r="BB219" t="s">
        <v>140</v>
      </c>
    </row>
    <row r="220" spans="1:54" x14ac:dyDescent="0.35">
      <c r="A220" t="s">
        <v>2347</v>
      </c>
      <c r="B220" t="s">
        <v>107</v>
      </c>
      <c r="C220" t="s">
        <v>107</v>
      </c>
      <c r="E220" t="s">
        <v>108</v>
      </c>
      <c r="F220" t="s">
        <v>268</v>
      </c>
      <c r="G220" t="s">
        <v>269</v>
      </c>
      <c r="H220" t="s">
        <v>2268</v>
      </c>
      <c r="I220" t="s">
        <v>271</v>
      </c>
      <c r="J220" t="s">
        <v>113</v>
      </c>
      <c r="K220" t="s">
        <v>114</v>
      </c>
      <c r="L220" t="s">
        <v>114</v>
      </c>
      <c r="M220" t="s">
        <v>114</v>
      </c>
      <c r="N220" t="s">
        <v>114</v>
      </c>
      <c r="O220" t="s">
        <v>114</v>
      </c>
      <c r="P220" t="s">
        <v>114</v>
      </c>
      <c r="Q220" t="s">
        <v>114</v>
      </c>
      <c r="R220" t="s">
        <v>142</v>
      </c>
      <c r="S220" t="s">
        <v>114</v>
      </c>
      <c r="T220" t="s">
        <v>142</v>
      </c>
      <c r="V220" t="s">
        <v>114</v>
      </c>
      <c r="W220" t="s">
        <v>2348</v>
      </c>
      <c r="Y220" t="s">
        <v>2349</v>
      </c>
      <c r="Z220" t="s">
        <v>2350</v>
      </c>
      <c r="AA220" t="s">
        <v>2351</v>
      </c>
      <c r="AB220" t="s">
        <v>2352</v>
      </c>
      <c r="AC220" t="s">
        <v>2350</v>
      </c>
      <c r="AG220" t="s">
        <v>123</v>
      </c>
      <c r="AH220" t="s">
        <v>124</v>
      </c>
      <c r="AI220" t="s">
        <v>2353</v>
      </c>
      <c r="AJ220" t="s">
        <v>126</v>
      </c>
      <c r="AK220" t="s">
        <v>127</v>
      </c>
      <c r="AM220" t="s">
        <v>2354</v>
      </c>
      <c r="AN220" t="s">
        <v>2355</v>
      </c>
      <c r="AO220" t="s">
        <v>2356</v>
      </c>
      <c r="AP220" t="s">
        <v>131</v>
      </c>
      <c r="AQ220" t="s">
        <v>132</v>
      </c>
      <c r="AR220" t="s">
        <v>152</v>
      </c>
      <c r="AS220" t="s">
        <v>1347</v>
      </c>
      <c r="AU220" t="s">
        <v>952</v>
      </c>
      <c r="AW220" t="s">
        <v>136</v>
      </c>
      <c r="AX220" t="s">
        <v>272</v>
      </c>
      <c r="AY220" t="s">
        <v>273</v>
      </c>
      <c r="AZ220" t="s">
        <v>2357</v>
      </c>
      <c r="BB220" t="s">
        <v>140</v>
      </c>
    </row>
    <row r="221" spans="1:54" x14ac:dyDescent="0.35">
      <c r="A221" t="s">
        <v>2347</v>
      </c>
      <c r="B221" t="s">
        <v>107</v>
      </c>
      <c r="C221" t="s">
        <v>107</v>
      </c>
      <c r="E221" t="s">
        <v>108</v>
      </c>
      <c r="F221" t="s">
        <v>158</v>
      </c>
      <c r="G221" t="s">
        <v>159</v>
      </c>
      <c r="H221" t="s">
        <v>111</v>
      </c>
      <c r="I221" t="s">
        <v>341</v>
      </c>
      <c r="J221" t="s">
        <v>113</v>
      </c>
      <c r="K221" t="s">
        <v>114</v>
      </c>
      <c r="L221" t="s">
        <v>161</v>
      </c>
      <c r="M221" t="s">
        <v>161</v>
      </c>
      <c r="N221" t="s">
        <v>2358</v>
      </c>
      <c r="O221" t="s">
        <v>1110</v>
      </c>
      <c r="P221" t="s">
        <v>2348</v>
      </c>
      <c r="Q221" t="s">
        <v>114</v>
      </c>
      <c r="R221" t="s">
        <v>142</v>
      </c>
      <c r="S221" t="s">
        <v>114</v>
      </c>
      <c r="T221" t="s">
        <v>142</v>
      </c>
      <c r="V221" t="s">
        <v>114</v>
      </c>
      <c r="W221" t="s">
        <v>2348</v>
      </c>
      <c r="Y221" t="s">
        <v>2349</v>
      </c>
      <c r="Z221" t="s">
        <v>2350</v>
      </c>
      <c r="AA221" t="s">
        <v>2351</v>
      </c>
      <c r="AB221" t="s">
        <v>2352</v>
      </c>
      <c r="AC221" t="s">
        <v>2350</v>
      </c>
      <c r="AG221" t="s">
        <v>123</v>
      </c>
      <c r="AH221" t="s">
        <v>124</v>
      </c>
      <c r="AI221" t="s">
        <v>2353</v>
      </c>
      <c r="AJ221" t="s">
        <v>126</v>
      </c>
      <c r="AK221" t="s">
        <v>127</v>
      </c>
      <c r="AM221" t="s">
        <v>2354</v>
      </c>
      <c r="AN221" t="s">
        <v>2355</v>
      </c>
      <c r="AO221" t="s">
        <v>2356</v>
      </c>
      <c r="AP221" t="s">
        <v>131</v>
      </c>
      <c r="AQ221" t="s">
        <v>132</v>
      </c>
      <c r="AR221" t="s">
        <v>152</v>
      </c>
      <c r="AS221" t="s">
        <v>1347</v>
      </c>
      <c r="AU221" t="s">
        <v>952</v>
      </c>
      <c r="AW221" t="s">
        <v>136</v>
      </c>
      <c r="AX221" t="s">
        <v>177</v>
      </c>
      <c r="AY221" t="s">
        <v>138</v>
      </c>
      <c r="AZ221" t="s">
        <v>2357</v>
      </c>
      <c r="BB221" t="s">
        <v>140</v>
      </c>
    </row>
    <row r="222" spans="1:54" x14ac:dyDescent="0.35">
      <c r="A222" t="s">
        <v>2359</v>
      </c>
      <c r="B222" t="s">
        <v>107</v>
      </c>
      <c r="C222" t="s">
        <v>107</v>
      </c>
      <c r="F222" t="s">
        <v>533</v>
      </c>
      <c r="G222" t="s">
        <v>534</v>
      </c>
      <c r="H222" t="s">
        <v>2360</v>
      </c>
      <c r="I222" t="s">
        <v>536</v>
      </c>
      <c r="J222" t="s">
        <v>113</v>
      </c>
      <c r="K222" t="s">
        <v>114</v>
      </c>
      <c r="L222" t="s">
        <v>114</v>
      </c>
      <c r="M222" t="s">
        <v>114</v>
      </c>
      <c r="N222" t="s">
        <v>114</v>
      </c>
      <c r="O222" t="s">
        <v>114</v>
      </c>
      <c r="P222" t="s">
        <v>114</v>
      </c>
      <c r="Q222" t="s">
        <v>114</v>
      </c>
      <c r="R222" t="s">
        <v>114</v>
      </c>
      <c r="S222" t="s">
        <v>114</v>
      </c>
      <c r="T222" t="s">
        <v>114</v>
      </c>
      <c r="V222" t="s">
        <v>114</v>
      </c>
      <c r="W222" t="s">
        <v>114</v>
      </c>
      <c r="Y222" t="s">
        <v>2361</v>
      </c>
      <c r="Z222" t="s">
        <v>2361</v>
      </c>
      <c r="AA222" t="s">
        <v>2362</v>
      </c>
      <c r="AB222" t="s">
        <v>2363</v>
      </c>
      <c r="AC222" t="s">
        <v>2364</v>
      </c>
      <c r="AG222" t="s">
        <v>123</v>
      </c>
      <c r="AH222" t="s">
        <v>124</v>
      </c>
      <c r="AI222" t="s">
        <v>2365</v>
      </c>
      <c r="AJ222" t="s">
        <v>126</v>
      </c>
      <c r="AK222" t="s">
        <v>127</v>
      </c>
      <c r="AM222" t="s">
        <v>2366</v>
      </c>
      <c r="AN222" t="s">
        <v>2367</v>
      </c>
      <c r="AO222" t="s">
        <v>2368</v>
      </c>
      <c r="AP222" t="s">
        <v>131</v>
      </c>
      <c r="AQ222" t="s">
        <v>132</v>
      </c>
      <c r="AR222" t="s">
        <v>2146</v>
      </c>
      <c r="AS222" t="s">
        <v>2369</v>
      </c>
      <c r="AU222" t="s">
        <v>1766</v>
      </c>
      <c r="AX222" t="s">
        <v>547</v>
      </c>
      <c r="AY222" t="s">
        <v>364</v>
      </c>
      <c r="AZ222" t="s">
        <v>2370</v>
      </c>
      <c r="BB222" t="s">
        <v>140</v>
      </c>
    </row>
    <row r="223" spans="1:54" x14ac:dyDescent="0.35">
      <c r="A223" t="s">
        <v>2371</v>
      </c>
      <c r="B223" t="s">
        <v>107</v>
      </c>
      <c r="C223" t="s">
        <v>107</v>
      </c>
      <c r="F223" t="s">
        <v>613</v>
      </c>
      <c r="G223" t="s">
        <v>614</v>
      </c>
      <c r="H223" t="s">
        <v>615</v>
      </c>
      <c r="I223" t="s">
        <v>271</v>
      </c>
      <c r="J223" t="s">
        <v>113</v>
      </c>
      <c r="K223" t="s">
        <v>114</v>
      </c>
      <c r="L223" t="s">
        <v>114</v>
      </c>
      <c r="M223" t="s">
        <v>114</v>
      </c>
      <c r="N223" t="s">
        <v>114</v>
      </c>
      <c r="O223" t="s">
        <v>114</v>
      </c>
      <c r="P223" t="s">
        <v>114</v>
      </c>
      <c r="Q223" t="s">
        <v>114</v>
      </c>
      <c r="R223" t="s">
        <v>114</v>
      </c>
      <c r="S223" t="s">
        <v>114</v>
      </c>
      <c r="T223" t="s">
        <v>114</v>
      </c>
      <c r="V223" t="s">
        <v>114</v>
      </c>
      <c r="W223" t="s">
        <v>114</v>
      </c>
      <c r="Y223" t="s">
        <v>2372</v>
      </c>
      <c r="Z223" t="s">
        <v>2372</v>
      </c>
      <c r="AA223" t="s">
        <v>2373</v>
      </c>
      <c r="AB223" t="s">
        <v>2374</v>
      </c>
      <c r="AC223" t="s">
        <v>2375</v>
      </c>
      <c r="AG223" t="s">
        <v>123</v>
      </c>
      <c r="AH223" t="s">
        <v>124</v>
      </c>
      <c r="AI223" t="s">
        <v>2376</v>
      </c>
      <c r="AJ223" t="s">
        <v>126</v>
      </c>
      <c r="AK223" t="s">
        <v>127</v>
      </c>
      <c r="AM223" t="s">
        <v>2377</v>
      </c>
      <c r="AN223" t="s">
        <v>2378</v>
      </c>
      <c r="AO223" t="s">
        <v>2379</v>
      </c>
      <c r="AP223" t="s">
        <v>131</v>
      </c>
      <c r="AQ223" t="s">
        <v>132</v>
      </c>
      <c r="AR223" t="s">
        <v>2380</v>
      </c>
      <c r="AS223" t="s">
        <v>2381</v>
      </c>
      <c r="AU223" t="s">
        <v>965</v>
      </c>
      <c r="AX223" t="s">
        <v>177</v>
      </c>
      <c r="AY223" t="s">
        <v>627</v>
      </c>
      <c r="AZ223" t="s">
        <v>2382</v>
      </c>
      <c r="BB223" t="s">
        <v>140</v>
      </c>
    </row>
    <row r="224" spans="1:54" x14ac:dyDescent="0.35">
      <c r="A224" t="s">
        <v>2383</v>
      </c>
      <c r="B224" t="s">
        <v>107</v>
      </c>
      <c r="C224" t="s">
        <v>107</v>
      </c>
      <c r="F224" t="s">
        <v>533</v>
      </c>
      <c r="G224" t="s">
        <v>534</v>
      </c>
      <c r="H224" t="s">
        <v>2360</v>
      </c>
      <c r="I224" t="s">
        <v>536</v>
      </c>
      <c r="J224" t="s">
        <v>113</v>
      </c>
      <c r="K224" t="s">
        <v>114</v>
      </c>
      <c r="L224" t="s">
        <v>114</v>
      </c>
      <c r="M224" t="s">
        <v>114</v>
      </c>
      <c r="N224" t="s">
        <v>114</v>
      </c>
      <c r="O224" t="s">
        <v>114</v>
      </c>
      <c r="P224" t="s">
        <v>114</v>
      </c>
      <c r="Q224" t="s">
        <v>114</v>
      </c>
      <c r="R224" t="s">
        <v>114</v>
      </c>
      <c r="S224" t="s">
        <v>114</v>
      </c>
      <c r="T224" t="s">
        <v>114</v>
      </c>
      <c r="V224" t="s">
        <v>114</v>
      </c>
      <c r="W224" t="s">
        <v>114</v>
      </c>
      <c r="Y224" t="s">
        <v>2384</v>
      </c>
      <c r="Z224" t="s">
        <v>2384</v>
      </c>
      <c r="AA224" t="s">
        <v>2385</v>
      </c>
      <c r="AB224" t="s">
        <v>2386</v>
      </c>
      <c r="AC224" t="s">
        <v>2387</v>
      </c>
      <c r="AG224" t="s">
        <v>123</v>
      </c>
      <c r="AH224" t="s">
        <v>124</v>
      </c>
      <c r="AI224" t="s">
        <v>2388</v>
      </c>
      <c r="AJ224" t="s">
        <v>126</v>
      </c>
      <c r="AK224" t="s">
        <v>127</v>
      </c>
      <c r="AM224" t="s">
        <v>2389</v>
      </c>
      <c r="AN224" t="s">
        <v>2390</v>
      </c>
      <c r="AO224" t="s">
        <v>2391</v>
      </c>
      <c r="AP224" t="s">
        <v>131</v>
      </c>
      <c r="AQ224" t="s">
        <v>132</v>
      </c>
      <c r="AR224" t="s">
        <v>2134</v>
      </c>
      <c r="AS224" t="s">
        <v>2392</v>
      </c>
      <c r="AU224" t="s">
        <v>236</v>
      </c>
      <c r="AX224" t="s">
        <v>547</v>
      </c>
      <c r="AY224" t="s">
        <v>364</v>
      </c>
      <c r="AZ224" t="s">
        <v>2393</v>
      </c>
      <c r="BB224" t="s">
        <v>140</v>
      </c>
    </row>
    <row r="225" spans="1:54" x14ac:dyDescent="0.35">
      <c r="A225" t="s">
        <v>2394</v>
      </c>
      <c r="B225" t="s">
        <v>107</v>
      </c>
      <c r="C225" t="s">
        <v>107</v>
      </c>
      <c r="F225" t="s">
        <v>358</v>
      </c>
      <c r="G225" t="s">
        <v>359</v>
      </c>
      <c r="H225" t="s">
        <v>360</v>
      </c>
      <c r="I225" t="s">
        <v>341</v>
      </c>
      <c r="J225" t="s">
        <v>113</v>
      </c>
      <c r="K225" t="s">
        <v>114</v>
      </c>
      <c r="L225" t="s">
        <v>114</v>
      </c>
      <c r="M225" t="s">
        <v>114</v>
      </c>
      <c r="N225" t="s">
        <v>114</v>
      </c>
      <c r="O225" t="s">
        <v>114</v>
      </c>
      <c r="P225" t="s">
        <v>114</v>
      </c>
      <c r="Q225" t="s">
        <v>114</v>
      </c>
      <c r="R225" t="s">
        <v>114</v>
      </c>
      <c r="S225" t="s">
        <v>114</v>
      </c>
      <c r="T225" t="s">
        <v>114</v>
      </c>
      <c r="V225" t="s">
        <v>114</v>
      </c>
      <c r="W225" t="s">
        <v>114</v>
      </c>
      <c r="Y225" t="s">
        <v>2395</v>
      </c>
      <c r="Z225" t="s">
        <v>2395</v>
      </c>
      <c r="AA225" t="s">
        <v>2396</v>
      </c>
      <c r="AB225" t="s">
        <v>2397</v>
      </c>
      <c r="AC225" t="s">
        <v>2398</v>
      </c>
      <c r="AG225" t="s">
        <v>123</v>
      </c>
      <c r="AH225" t="s">
        <v>124</v>
      </c>
      <c r="AI225" t="s">
        <v>2399</v>
      </c>
      <c r="AJ225" t="s">
        <v>126</v>
      </c>
      <c r="AK225" t="s">
        <v>127</v>
      </c>
      <c r="AM225" t="s">
        <v>2400</v>
      </c>
      <c r="AN225" t="s">
        <v>464</v>
      </c>
      <c r="AO225" t="s">
        <v>2401</v>
      </c>
      <c r="AP225" t="s">
        <v>131</v>
      </c>
      <c r="AQ225" t="s">
        <v>132</v>
      </c>
      <c r="AR225" t="s">
        <v>2402</v>
      </c>
      <c r="AS225" t="s">
        <v>2403</v>
      </c>
      <c r="AU225" t="s">
        <v>1490</v>
      </c>
      <c r="AX225" t="s">
        <v>177</v>
      </c>
      <c r="AY225" t="s">
        <v>364</v>
      </c>
      <c r="AZ225" t="s">
        <v>2404</v>
      </c>
      <c r="BB225" t="s">
        <v>140</v>
      </c>
    </row>
    <row r="226" spans="1:54" x14ac:dyDescent="0.35">
      <c r="A226" t="s">
        <v>2405</v>
      </c>
      <c r="B226" t="s">
        <v>107</v>
      </c>
      <c r="C226" t="s">
        <v>107</v>
      </c>
      <c r="F226" t="s">
        <v>158</v>
      </c>
      <c r="G226" t="s">
        <v>159</v>
      </c>
      <c r="H226" t="s">
        <v>111</v>
      </c>
      <c r="I226" t="s">
        <v>341</v>
      </c>
      <c r="J226" t="s">
        <v>113</v>
      </c>
      <c r="K226" t="s">
        <v>114</v>
      </c>
      <c r="L226" t="s">
        <v>114</v>
      </c>
      <c r="M226" t="s">
        <v>114</v>
      </c>
      <c r="N226" t="s">
        <v>114</v>
      </c>
      <c r="O226" t="s">
        <v>114</v>
      </c>
      <c r="P226" t="s">
        <v>114</v>
      </c>
      <c r="Q226" t="s">
        <v>114</v>
      </c>
      <c r="R226" t="s">
        <v>114</v>
      </c>
      <c r="S226" t="s">
        <v>114</v>
      </c>
      <c r="T226" t="s">
        <v>114</v>
      </c>
      <c r="V226" t="s">
        <v>114</v>
      </c>
      <c r="W226" t="s">
        <v>114</v>
      </c>
      <c r="Y226" t="s">
        <v>2406</v>
      </c>
      <c r="Z226" t="s">
        <v>2406</v>
      </c>
      <c r="AA226" t="s">
        <v>2407</v>
      </c>
      <c r="AB226" t="s">
        <v>2408</v>
      </c>
      <c r="AC226" t="s">
        <v>2409</v>
      </c>
      <c r="AG226" t="s">
        <v>123</v>
      </c>
      <c r="AH226" t="s">
        <v>124</v>
      </c>
      <c r="AI226" t="s">
        <v>2410</v>
      </c>
      <c r="AJ226" t="s">
        <v>126</v>
      </c>
      <c r="AK226" t="s">
        <v>127</v>
      </c>
      <c r="AM226" t="s">
        <v>2411</v>
      </c>
      <c r="AN226" t="s">
        <v>2412</v>
      </c>
      <c r="AO226" t="s">
        <v>2413</v>
      </c>
      <c r="AP226" t="s">
        <v>131</v>
      </c>
      <c r="AQ226" t="s">
        <v>132</v>
      </c>
      <c r="AR226" t="s">
        <v>1267</v>
      </c>
      <c r="AS226" t="s">
        <v>2414</v>
      </c>
      <c r="AU226" t="s">
        <v>1466</v>
      </c>
      <c r="AV226" t="s">
        <v>798</v>
      </c>
      <c r="AX226" t="s">
        <v>177</v>
      </c>
      <c r="AY226" t="s">
        <v>138</v>
      </c>
      <c r="AZ226" t="s">
        <v>2415</v>
      </c>
      <c r="BB226" t="s">
        <v>140</v>
      </c>
    </row>
    <row r="227" spans="1:54" x14ac:dyDescent="0.35">
      <c r="A227" t="s">
        <v>2416</v>
      </c>
      <c r="B227" t="s">
        <v>107</v>
      </c>
      <c r="C227" t="s">
        <v>107</v>
      </c>
      <c r="F227" t="s">
        <v>358</v>
      </c>
      <c r="G227" t="s">
        <v>359</v>
      </c>
      <c r="H227" t="s">
        <v>360</v>
      </c>
      <c r="I227" t="s">
        <v>341</v>
      </c>
      <c r="J227" t="s">
        <v>113</v>
      </c>
      <c r="K227" t="s">
        <v>114</v>
      </c>
      <c r="L227" t="s">
        <v>114</v>
      </c>
      <c r="M227" t="s">
        <v>114</v>
      </c>
      <c r="N227" t="s">
        <v>114</v>
      </c>
      <c r="O227" t="s">
        <v>114</v>
      </c>
      <c r="P227" t="s">
        <v>114</v>
      </c>
      <c r="Q227" t="s">
        <v>114</v>
      </c>
      <c r="R227" t="s">
        <v>114</v>
      </c>
      <c r="S227" t="s">
        <v>114</v>
      </c>
      <c r="T227" t="s">
        <v>114</v>
      </c>
      <c r="V227" t="s">
        <v>114</v>
      </c>
      <c r="W227" t="s">
        <v>114</v>
      </c>
      <c r="Y227" t="s">
        <v>2417</v>
      </c>
      <c r="Z227" t="s">
        <v>2417</v>
      </c>
      <c r="AA227" t="s">
        <v>2418</v>
      </c>
      <c r="AB227" t="s">
        <v>2419</v>
      </c>
      <c r="AC227" t="s">
        <v>2420</v>
      </c>
      <c r="AG227" t="s">
        <v>123</v>
      </c>
      <c r="AH227" t="s">
        <v>124</v>
      </c>
      <c r="AI227" t="s">
        <v>2421</v>
      </c>
      <c r="AJ227" t="s">
        <v>126</v>
      </c>
      <c r="AK227" t="s">
        <v>127</v>
      </c>
      <c r="AM227" t="s">
        <v>2422</v>
      </c>
      <c r="AN227" t="s">
        <v>2423</v>
      </c>
      <c r="AO227" t="s">
        <v>2424</v>
      </c>
      <c r="AP227" t="s">
        <v>131</v>
      </c>
      <c r="AQ227" t="s">
        <v>132</v>
      </c>
      <c r="AR227" t="s">
        <v>387</v>
      </c>
      <c r="AS227" t="s">
        <v>2019</v>
      </c>
      <c r="AU227" t="s">
        <v>2425</v>
      </c>
      <c r="AX227" t="s">
        <v>177</v>
      </c>
      <c r="AY227" t="s">
        <v>364</v>
      </c>
      <c r="AZ227" t="s">
        <v>2426</v>
      </c>
      <c r="BB227" t="s">
        <v>140</v>
      </c>
    </row>
    <row r="228" spans="1:54" x14ac:dyDescent="0.35">
      <c r="A228" t="s">
        <v>2427</v>
      </c>
      <c r="B228" t="s">
        <v>107</v>
      </c>
      <c r="C228" t="s">
        <v>107</v>
      </c>
      <c r="F228" t="s">
        <v>358</v>
      </c>
      <c r="G228" t="s">
        <v>359</v>
      </c>
      <c r="H228" t="s">
        <v>360</v>
      </c>
      <c r="I228" t="s">
        <v>341</v>
      </c>
      <c r="J228" t="s">
        <v>113</v>
      </c>
      <c r="K228" t="s">
        <v>114</v>
      </c>
      <c r="L228" t="s">
        <v>114</v>
      </c>
      <c r="M228" t="s">
        <v>114</v>
      </c>
      <c r="N228" t="s">
        <v>114</v>
      </c>
      <c r="O228" t="s">
        <v>114</v>
      </c>
      <c r="P228" t="s">
        <v>114</v>
      </c>
      <c r="Q228" t="s">
        <v>114</v>
      </c>
      <c r="R228" t="s">
        <v>114</v>
      </c>
      <c r="S228" t="s">
        <v>114</v>
      </c>
      <c r="T228" t="s">
        <v>114</v>
      </c>
      <c r="V228" t="s">
        <v>114</v>
      </c>
      <c r="W228" t="s">
        <v>114</v>
      </c>
      <c r="Y228" t="s">
        <v>2428</v>
      </c>
      <c r="Z228" t="s">
        <v>2428</v>
      </c>
      <c r="AA228" t="s">
        <v>2429</v>
      </c>
      <c r="AB228" t="s">
        <v>2430</v>
      </c>
      <c r="AC228" t="s">
        <v>2431</v>
      </c>
      <c r="AG228" t="s">
        <v>123</v>
      </c>
      <c r="AH228" t="s">
        <v>124</v>
      </c>
      <c r="AI228" t="s">
        <v>2432</v>
      </c>
      <c r="AJ228" t="s">
        <v>126</v>
      </c>
      <c r="AK228" t="s">
        <v>127</v>
      </c>
      <c r="AM228" t="s">
        <v>2433</v>
      </c>
      <c r="AN228" t="s">
        <v>2434</v>
      </c>
      <c r="AO228" t="s">
        <v>2435</v>
      </c>
      <c r="AP228" t="s">
        <v>131</v>
      </c>
      <c r="AQ228" t="s">
        <v>132</v>
      </c>
      <c r="AR228" t="s">
        <v>202</v>
      </c>
      <c r="AS228" t="s">
        <v>1489</v>
      </c>
      <c r="AU228" t="s">
        <v>175</v>
      </c>
      <c r="AV228" t="s">
        <v>892</v>
      </c>
      <c r="AX228" t="s">
        <v>177</v>
      </c>
      <c r="AY228" t="s">
        <v>364</v>
      </c>
      <c r="AZ228" t="s">
        <v>2436</v>
      </c>
      <c r="BB228" t="s">
        <v>140</v>
      </c>
    </row>
    <row r="229" spans="1:54" x14ac:dyDescent="0.35">
      <c r="A229" t="s">
        <v>2437</v>
      </c>
      <c r="B229" t="s">
        <v>107</v>
      </c>
      <c r="C229" t="s">
        <v>107</v>
      </c>
      <c r="F229" t="s">
        <v>358</v>
      </c>
      <c r="G229" t="s">
        <v>359</v>
      </c>
      <c r="H229" t="s">
        <v>360</v>
      </c>
      <c r="I229" t="s">
        <v>341</v>
      </c>
      <c r="J229" t="s">
        <v>113</v>
      </c>
      <c r="K229" t="s">
        <v>114</v>
      </c>
      <c r="L229" t="s">
        <v>114</v>
      </c>
      <c r="M229" t="s">
        <v>114</v>
      </c>
      <c r="N229" t="s">
        <v>114</v>
      </c>
      <c r="O229" t="s">
        <v>114</v>
      </c>
      <c r="P229" t="s">
        <v>114</v>
      </c>
      <c r="Q229" t="s">
        <v>114</v>
      </c>
      <c r="R229" t="s">
        <v>114</v>
      </c>
      <c r="S229" t="s">
        <v>114</v>
      </c>
      <c r="T229" t="s">
        <v>114</v>
      </c>
      <c r="V229" t="s">
        <v>114</v>
      </c>
      <c r="W229" t="s">
        <v>114</v>
      </c>
      <c r="Y229" t="s">
        <v>2438</v>
      </c>
      <c r="Z229" t="s">
        <v>2438</v>
      </c>
      <c r="AA229" t="s">
        <v>2439</v>
      </c>
      <c r="AB229" t="s">
        <v>2440</v>
      </c>
      <c r="AC229" t="s">
        <v>2441</v>
      </c>
      <c r="AG229" t="s">
        <v>123</v>
      </c>
      <c r="AH229" t="s">
        <v>124</v>
      </c>
      <c r="AI229" t="s">
        <v>2442</v>
      </c>
      <c r="AJ229" t="s">
        <v>126</v>
      </c>
      <c r="AK229" t="s">
        <v>127</v>
      </c>
      <c r="AM229" t="s">
        <v>2443</v>
      </c>
      <c r="AN229" t="s">
        <v>2444</v>
      </c>
      <c r="AO229" t="s">
        <v>2445</v>
      </c>
      <c r="AP229" t="s">
        <v>131</v>
      </c>
      <c r="AQ229" t="s">
        <v>132</v>
      </c>
      <c r="AR229" t="s">
        <v>1452</v>
      </c>
      <c r="AS229" t="s">
        <v>2446</v>
      </c>
      <c r="AU229" t="s">
        <v>1195</v>
      </c>
      <c r="AV229" t="s">
        <v>237</v>
      </c>
      <c r="AX229" t="s">
        <v>177</v>
      </c>
      <c r="AY229" t="s">
        <v>364</v>
      </c>
      <c r="AZ229" t="s">
        <v>2447</v>
      </c>
      <c r="BB229" t="s">
        <v>140</v>
      </c>
    </row>
    <row r="230" spans="1:54" x14ac:dyDescent="0.35">
      <c r="A230" t="s">
        <v>2448</v>
      </c>
      <c r="B230" t="s">
        <v>107</v>
      </c>
      <c r="C230" t="s">
        <v>107</v>
      </c>
      <c r="F230" t="s">
        <v>533</v>
      </c>
      <c r="G230" t="s">
        <v>534</v>
      </c>
      <c r="H230" t="s">
        <v>2360</v>
      </c>
      <c r="I230" t="s">
        <v>536</v>
      </c>
      <c r="J230" t="s">
        <v>113</v>
      </c>
      <c r="K230" t="s">
        <v>114</v>
      </c>
      <c r="L230" t="s">
        <v>114</v>
      </c>
      <c r="M230" t="s">
        <v>114</v>
      </c>
      <c r="N230" t="s">
        <v>114</v>
      </c>
      <c r="O230" t="s">
        <v>114</v>
      </c>
      <c r="P230" t="s">
        <v>114</v>
      </c>
      <c r="Q230" t="s">
        <v>114</v>
      </c>
      <c r="R230" t="s">
        <v>114</v>
      </c>
      <c r="S230" t="s">
        <v>114</v>
      </c>
      <c r="T230" t="s">
        <v>114</v>
      </c>
      <c r="V230" t="s">
        <v>114</v>
      </c>
      <c r="W230" t="s">
        <v>114</v>
      </c>
      <c r="Y230" t="s">
        <v>2449</v>
      </c>
      <c r="Z230" t="s">
        <v>2449</v>
      </c>
      <c r="AA230" t="s">
        <v>2450</v>
      </c>
      <c r="AB230" t="s">
        <v>2451</v>
      </c>
      <c r="AC230" t="s">
        <v>2452</v>
      </c>
      <c r="AG230" t="s">
        <v>123</v>
      </c>
      <c r="AH230" t="s">
        <v>124</v>
      </c>
      <c r="AI230" t="s">
        <v>2453</v>
      </c>
      <c r="AJ230" t="s">
        <v>126</v>
      </c>
      <c r="AK230" t="s">
        <v>127</v>
      </c>
      <c r="AM230" t="s">
        <v>2454</v>
      </c>
      <c r="AN230" t="s">
        <v>2455</v>
      </c>
      <c r="AO230" t="s">
        <v>2456</v>
      </c>
      <c r="AP230" t="s">
        <v>131</v>
      </c>
      <c r="AQ230" t="s">
        <v>132</v>
      </c>
      <c r="AR230" t="s">
        <v>2134</v>
      </c>
      <c r="AS230" t="s">
        <v>2457</v>
      </c>
      <c r="AU230" t="s">
        <v>668</v>
      </c>
      <c r="AX230" t="s">
        <v>547</v>
      </c>
      <c r="AY230" t="s">
        <v>364</v>
      </c>
      <c r="AZ230" t="s">
        <v>2458</v>
      </c>
      <c r="BB230" t="s">
        <v>140</v>
      </c>
    </row>
    <row r="231" spans="1:54" x14ac:dyDescent="0.35">
      <c r="A231" t="s">
        <v>2459</v>
      </c>
      <c r="B231" t="s">
        <v>107</v>
      </c>
      <c r="C231" t="s">
        <v>107</v>
      </c>
      <c r="F231" t="s">
        <v>358</v>
      </c>
      <c r="G231" t="s">
        <v>359</v>
      </c>
      <c r="H231" t="s">
        <v>360</v>
      </c>
      <c r="I231" t="s">
        <v>341</v>
      </c>
      <c r="J231" t="s">
        <v>113</v>
      </c>
      <c r="K231" t="s">
        <v>114</v>
      </c>
      <c r="L231" t="s">
        <v>114</v>
      </c>
      <c r="M231" t="s">
        <v>114</v>
      </c>
      <c r="N231" t="s">
        <v>114</v>
      </c>
      <c r="O231" t="s">
        <v>114</v>
      </c>
      <c r="P231" t="s">
        <v>114</v>
      </c>
      <c r="Q231" t="s">
        <v>114</v>
      </c>
      <c r="R231" t="s">
        <v>114</v>
      </c>
      <c r="S231" t="s">
        <v>114</v>
      </c>
      <c r="T231" t="s">
        <v>114</v>
      </c>
      <c r="V231" t="s">
        <v>114</v>
      </c>
      <c r="W231" t="s">
        <v>114</v>
      </c>
      <c r="Y231" t="s">
        <v>2460</v>
      </c>
      <c r="Z231" t="s">
        <v>2460</v>
      </c>
      <c r="AA231" t="s">
        <v>2461</v>
      </c>
      <c r="AB231" t="s">
        <v>2462</v>
      </c>
      <c r="AC231" t="s">
        <v>2463</v>
      </c>
      <c r="AG231" t="s">
        <v>123</v>
      </c>
      <c r="AH231" t="s">
        <v>124</v>
      </c>
      <c r="AI231" t="s">
        <v>2464</v>
      </c>
      <c r="AJ231" t="s">
        <v>126</v>
      </c>
      <c r="AK231" t="s">
        <v>127</v>
      </c>
      <c r="AM231" t="s">
        <v>2465</v>
      </c>
      <c r="AN231" t="s">
        <v>2466</v>
      </c>
      <c r="AO231" t="s">
        <v>2467</v>
      </c>
      <c r="AP231" t="s">
        <v>131</v>
      </c>
      <c r="AQ231" t="s">
        <v>132</v>
      </c>
      <c r="AR231" t="s">
        <v>2468</v>
      </c>
      <c r="AS231" t="s">
        <v>2469</v>
      </c>
      <c r="AU231" t="s">
        <v>219</v>
      </c>
      <c r="AX231" t="s">
        <v>177</v>
      </c>
      <c r="AY231" t="s">
        <v>364</v>
      </c>
      <c r="AZ231" t="s">
        <v>2470</v>
      </c>
      <c r="BB231" t="s">
        <v>140</v>
      </c>
    </row>
    <row r="232" spans="1:54" x14ac:dyDescent="0.35">
      <c r="A232" t="s">
        <v>2471</v>
      </c>
      <c r="B232" t="s">
        <v>107</v>
      </c>
      <c r="C232" t="s">
        <v>107</v>
      </c>
      <c r="F232" t="s">
        <v>358</v>
      </c>
      <c r="G232" t="s">
        <v>359</v>
      </c>
      <c r="H232" t="s">
        <v>360</v>
      </c>
      <c r="I232" t="s">
        <v>341</v>
      </c>
      <c r="J232" t="s">
        <v>113</v>
      </c>
      <c r="K232" t="s">
        <v>114</v>
      </c>
      <c r="L232" t="s">
        <v>114</v>
      </c>
      <c r="M232" t="s">
        <v>114</v>
      </c>
      <c r="N232" t="s">
        <v>114</v>
      </c>
      <c r="O232" t="s">
        <v>114</v>
      </c>
      <c r="P232" t="s">
        <v>114</v>
      </c>
      <c r="Q232" t="s">
        <v>114</v>
      </c>
      <c r="R232" t="s">
        <v>114</v>
      </c>
      <c r="S232" t="s">
        <v>114</v>
      </c>
      <c r="T232" t="s">
        <v>114</v>
      </c>
      <c r="V232" t="s">
        <v>114</v>
      </c>
      <c r="W232" t="s">
        <v>114</v>
      </c>
      <c r="Y232" t="s">
        <v>2472</v>
      </c>
      <c r="Z232" t="s">
        <v>2473</v>
      </c>
      <c r="AA232" t="s">
        <v>2474</v>
      </c>
      <c r="AB232" t="s">
        <v>2475</v>
      </c>
      <c r="AC232" t="s">
        <v>2476</v>
      </c>
      <c r="AG232" t="s">
        <v>123</v>
      </c>
      <c r="AH232" t="s">
        <v>124</v>
      </c>
      <c r="AI232" t="s">
        <v>2477</v>
      </c>
      <c r="AJ232" t="s">
        <v>126</v>
      </c>
      <c r="AK232" t="s">
        <v>127</v>
      </c>
      <c r="AM232" t="s">
        <v>2478</v>
      </c>
      <c r="AN232" t="s">
        <v>2479</v>
      </c>
      <c r="AO232" t="s">
        <v>2480</v>
      </c>
      <c r="AP232" t="s">
        <v>131</v>
      </c>
      <c r="AQ232" t="s">
        <v>132</v>
      </c>
      <c r="AR232" t="s">
        <v>2312</v>
      </c>
      <c r="AS232" t="s">
        <v>2481</v>
      </c>
      <c r="AU232" t="s">
        <v>965</v>
      </c>
      <c r="AX232" t="s">
        <v>177</v>
      </c>
      <c r="AY232" t="s">
        <v>364</v>
      </c>
      <c r="AZ232" t="s">
        <v>2482</v>
      </c>
      <c r="BB232" t="s">
        <v>140</v>
      </c>
    </row>
    <row r="233" spans="1:54" x14ac:dyDescent="0.35">
      <c r="A233" t="s">
        <v>2483</v>
      </c>
      <c r="B233" t="s">
        <v>107</v>
      </c>
      <c r="C233" t="s">
        <v>107</v>
      </c>
      <c r="E233" t="s">
        <v>108</v>
      </c>
      <c r="F233" t="s">
        <v>158</v>
      </c>
      <c r="G233" t="s">
        <v>159</v>
      </c>
      <c r="H233" t="s">
        <v>111</v>
      </c>
      <c r="I233" t="s">
        <v>341</v>
      </c>
      <c r="J233" t="s">
        <v>113</v>
      </c>
      <c r="K233" t="s">
        <v>114</v>
      </c>
      <c r="L233" t="s">
        <v>161</v>
      </c>
      <c r="M233" t="s">
        <v>161</v>
      </c>
      <c r="N233" t="s">
        <v>162</v>
      </c>
      <c r="O233" t="s">
        <v>1110</v>
      </c>
      <c r="P233" t="s">
        <v>1206</v>
      </c>
      <c r="Q233" t="s">
        <v>114</v>
      </c>
      <c r="R233" t="s">
        <v>180</v>
      </c>
      <c r="S233" t="s">
        <v>114</v>
      </c>
      <c r="T233" t="s">
        <v>180</v>
      </c>
      <c r="V233" t="s">
        <v>114</v>
      </c>
      <c r="W233" t="s">
        <v>1206</v>
      </c>
      <c r="Y233" t="s">
        <v>2484</v>
      </c>
      <c r="Z233" t="s">
        <v>2485</v>
      </c>
      <c r="AA233" t="s">
        <v>2486</v>
      </c>
      <c r="AB233" t="s">
        <v>2487</v>
      </c>
      <c r="AC233" t="s">
        <v>2488</v>
      </c>
      <c r="AG233" t="s">
        <v>123</v>
      </c>
      <c r="AH233" t="s">
        <v>124</v>
      </c>
      <c r="AI233" t="s">
        <v>2489</v>
      </c>
      <c r="AJ233" t="s">
        <v>126</v>
      </c>
      <c r="AK233" t="s">
        <v>127</v>
      </c>
      <c r="AM233" t="s">
        <v>2490</v>
      </c>
      <c r="AN233" t="s">
        <v>2491</v>
      </c>
      <c r="AO233" t="s">
        <v>2492</v>
      </c>
      <c r="AP233" t="s">
        <v>131</v>
      </c>
      <c r="AQ233" t="s">
        <v>132</v>
      </c>
      <c r="AR233" t="s">
        <v>352</v>
      </c>
      <c r="AS233" t="s">
        <v>667</v>
      </c>
      <c r="AU233" t="s">
        <v>1478</v>
      </c>
      <c r="AW233" t="s">
        <v>655</v>
      </c>
      <c r="AX233" t="s">
        <v>177</v>
      </c>
      <c r="AY233" t="s">
        <v>138</v>
      </c>
      <c r="AZ233" t="s">
        <v>2493</v>
      </c>
      <c r="BB233" t="s">
        <v>140</v>
      </c>
    </row>
    <row r="234" spans="1:54" x14ac:dyDescent="0.35">
      <c r="A234" t="s">
        <v>2483</v>
      </c>
      <c r="B234" t="s">
        <v>107</v>
      </c>
      <c r="C234" t="s">
        <v>107</v>
      </c>
      <c r="E234" t="s">
        <v>108</v>
      </c>
      <c r="F234" t="s">
        <v>268</v>
      </c>
      <c r="G234" t="s">
        <v>269</v>
      </c>
      <c r="H234" t="s">
        <v>2268</v>
      </c>
      <c r="I234" t="s">
        <v>271</v>
      </c>
      <c r="J234" t="s">
        <v>113</v>
      </c>
      <c r="K234" t="s">
        <v>114</v>
      </c>
      <c r="L234" t="s">
        <v>114</v>
      </c>
      <c r="M234" t="s">
        <v>114</v>
      </c>
      <c r="N234" t="s">
        <v>114</v>
      </c>
      <c r="O234" t="s">
        <v>114</v>
      </c>
      <c r="P234" t="s">
        <v>114</v>
      </c>
      <c r="Q234" t="s">
        <v>114</v>
      </c>
      <c r="R234" t="s">
        <v>180</v>
      </c>
      <c r="S234" t="s">
        <v>114</v>
      </c>
      <c r="T234" t="s">
        <v>180</v>
      </c>
      <c r="V234" t="s">
        <v>114</v>
      </c>
      <c r="W234" t="s">
        <v>1206</v>
      </c>
      <c r="Y234" t="s">
        <v>2484</v>
      </c>
      <c r="Z234" t="s">
        <v>2485</v>
      </c>
      <c r="AA234" t="s">
        <v>2486</v>
      </c>
      <c r="AB234" t="s">
        <v>2487</v>
      </c>
      <c r="AC234" t="s">
        <v>2488</v>
      </c>
      <c r="AG234" t="s">
        <v>123</v>
      </c>
      <c r="AH234" t="s">
        <v>124</v>
      </c>
      <c r="AI234" t="s">
        <v>2489</v>
      </c>
      <c r="AJ234" t="s">
        <v>126</v>
      </c>
      <c r="AK234" t="s">
        <v>127</v>
      </c>
      <c r="AM234" t="s">
        <v>2490</v>
      </c>
      <c r="AN234" t="s">
        <v>2491</v>
      </c>
      <c r="AO234" t="s">
        <v>2492</v>
      </c>
      <c r="AP234" t="s">
        <v>131</v>
      </c>
      <c r="AQ234" t="s">
        <v>132</v>
      </c>
      <c r="AR234" t="s">
        <v>352</v>
      </c>
      <c r="AS234" t="s">
        <v>667</v>
      </c>
      <c r="AU234" t="s">
        <v>1478</v>
      </c>
      <c r="AW234" t="s">
        <v>655</v>
      </c>
      <c r="AX234" t="s">
        <v>272</v>
      </c>
      <c r="AY234" t="s">
        <v>273</v>
      </c>
      <c r="AZ234" t="s">
        <v>2493</v>
      </c>
      <c r="BB234" t="s">
        <v>140</v>
      </c>
    </row>
    <row r="235" spans="1:54" x14ac:dyDescent="0.35">
      <c r="A235" t="s">
        <v>2494</v>
      </c>
      <c r="B235" t="s">
        <v>107</v>
      </c>
      <c r="C235" t="s">
        <v>107</v>
      </c>
      <c r="F235" t="s">
        <v>158</v>
      </c>
      <c r="G235" t="s">
        <v>159</v>
      </c>
      <c r="H235" t="s">
        <v>111</v>
      </c>
      <c r="I235" t="s">
        <v>341</v>
      </c>
      <c r="J235" t="s">
        <v>113</v>
      </c>
      <c r="K235" t="s">
        <v>114</v>
      </c>
      <c r="L235" t="s">
        <v>114</v>
      </c>
      <c r="M235" t="s">
        <v>114</v>
      </c>
      <c r="N235" t="s">
        <v>114</v>
      </c>
      <c r="O235" t="s">
        <v>114</v>
      </c>
      <c r="P235" t="s">
        <v>114</v>
      </c>
      <c r="Q235" t="s">
        <v>114</v>
      </c>
      <c r="R235" t="s">
        <v>114</v>
      </c>
      <c r="S235" t="s">
        <v>114</v>
      </c>
      <c r="T235" t="s">
        <v>114</v>
      </c>
      <c r="V235" t="s">
        <v>114</v>
      </c>
      <c r="W235" t="s">
        <v>114</v>
      </c>
      <c r="Y235" t="s">
        <v>2495</v>
      </c>
      <c r="Z235" t="s">
        <v>2495</v>
      </c>
      <c r="AA235" t="s">
        <v>2496</v>
      </c>
      <c r="AB235" t="s">
        <v>2497</v>
      </c>
      <c r="AC235" t="s">
        <v>2498</v>
      </c>
      <c r="AG235" t="s">
        <v>123</v>
      </c>
      <c r="AH235" t="s">
        <v>124</v>
      </c>
      <c r="AI235" t="s">
        <v>2499</v>
      </c>
      <c r="AJ235" t="s">
        <v>126</v>
      </c>
      <c r="AK235" t="s">
        <v>127</v>
      </c>
      <c r="AM235" t="s">
        <v>2500</v>
      </c>
      <c r="AN235" t="s">
        <v>2501</v>
      </c>
      <c r="AO235" t="s">
        <v>2502</v>
      </c>
      <c r="AP235" t="s">
        <v>131</v>
      </c>
      <c r="AQ235" t="s">
        <v>132</v>
      </c>
      <c r="AR235" t="s">
        <v>1267</v>
      </c>
      <c r="AS235" t="s">
        <v>2503</v>
      </c>
      <c r="AU235" t="s">
        <v>940</v>
      </c>
      <c r="AX235" t="s">
        <v>177</v>
      </c>
      <c r="AY235" t="s">
        <v>138</v>
      </c>
      <c r="AZ235" t="s">
        <v>2504</v>
      </c>
      <c r="BB235" t="s">
        <v>140</v>
      </c>
    </row>
    <row r="236" spans="1:54" x14ac:dyDescent="0.35">
      <c r="A236" t="s">
        <v>2505</v>
      </c>
      <c r="B236" t="s">
        <v>107</v>
      </c>
      <c r="C236" t="s">
        <v>107</v>
      </c>
      <c r="F236" t="s">
        <v>358</v>
      </c>
      <c r="G236" t="s">
        <v>359</v>
      </c>
      <c r="H236" t="s">
        <v>360</v>
      </c>
      <c r="I236" t="s">
        <v>341</v>
      </c>
      <c r="J236" t="s">
        <v>113</v>
      </c>
      <c r="K236" t="s">
        <v>114</v>
      </c>
      <c r="L236" t="s">
        <v>114</v>
      </c>
      <c r="M236" t="s">
        <v>114</v>
      </c>
      <c r="N236" t="s">
        <v>114</v>
      </c>
      <c r="O236" t="s">
        <v>114</v>
      </c>
      <c r="P236" t="s">
        <v>114</v>
      </c>
      <c r="Q236" t="s">
        <v>114</v>
      </c>
      <c r="R236" t="s">
        <v>114</v>
      </c>
      <c r="S236" t="s">
        <v>114</v>
      </c>
      <c r="T236" t="s">
        <v>114</v>
      </c>
      <c r="V236" t="s">
        <v>114</v>
      </c>
      <c r="W236" t="s">
        <v>114</v>
      </c>
      <c r="Y236" t="s">
        <v>2506</v>
      </c>
      <c r="Z236" t="s">
        <v>2506</v>
      </c>
      <c r="AA236" t="s">
        <v>2507</v>
      </c>
      <c r="AB236" t="s">
        <v>2508</v>
      </c>
      <c r="AC236" t="s">
        <v>2509</v>
      </c>
      <c r="AG236" t="s">
        <v>123</v>
      </c>
      <c r="AH236" t="s">
        <v>124</v>
      </c>
      <c r="AI236" t="s">
        <v>2510</v>
      </c>
      <c r="AJ236" t="s">
        <v>126</v>
      </c>
      <c r="AK236" t="s">
        <v>127</v>
      </c>
      <c r="AM236" t="s">
        <v>2511</v>
      </c>
      <c r="AN236" t="s">
        <v>2512</v>
      </c>
      <c r="AO236" t="s">
        <v>2513</v>
      </c>
      <c r="AP236" t="s">
        <v>131</v>
      </c>
      <c r="AQ236" t="s">
        <v>403</v>
      </c>
      <c r="AR236" t="s">
        <v>2514</v>
      </c>
      <c r="AS236" t="s">
        <v>1170</v>
      </c>
      <c r="AU236" t="s">
        <v>573</v>
      </c>
      <c r="AX236" t="s">
        <v>177</v>
      </c>
      <c r="AY236" t="s">
        <v>364</v>
      </c>
      <c r="AZ236" t="s">
        <v>2515</v>
      </c>
      <c r="BB236" t="s">
        <v>140</v>
      </c>
    </row>
    <row r="237" spans="1:54" x14ac:dyDescent="0.35">
      <c r="A237" t="s">
        <v>2516</v>
      </c>
      <c r="B237" t="s">
        <v>107</v>
      </c>
      <c r="C237" t="s">
        <v>107</v>
      </c>
      <c r="F237" t="s">
        <v>613</v>
      </c>
      <c r="G237" t="s">
        <v>614</v>
      </c>
      <c r="H237" t="s">
        <v>615</v>
      </c>
      <c r="I237" t="s">
        <v>271</v>
      </c>
      <c r="J237" t="s">
        <v>113</v>
      </c>
      <c r="K237" t="s">
        <v>114</v>
      </c>
      <c r="L237" t="s">
        <v>114</v>
      </c>
      <c r="M237" t="s">
        <v>114</v>
      </c>
      <c r="N237" t="s">
        <v>114</v>
      </c>
      <c r="O237" t="s">
        <v>114</v>
      </c>
      <c r="P237" t="s">
        <v>114</v>
      </c>
      <c r="Q237" t="s">
        <v>114</v>
      </c>
      <c r="R237" t="s">
        <v>114</v>
      </c>
      <c r="S237" t="s">
        <v>114</v>
      </c>
      <c r="T237" t="s">
        <v>114</v>
      </c>
      <c r="V237" t="s">
        <v>114</v>
      </c>
      <c r="W237" t="s">
        <v>114</v>
      </c>
      <c r="Y237" t="s">
        <v>2517</v>
      </c>
      <c r="Z237" t="s">
        <v>2518</v>
      </c>
      <c r="AA237" t="s">
        <v>2519</v>
      </c>
      <c r="AB237" t="s">
        <v>2520</v>
      </c>
      <c r="AC237" t="s">
        <v>2521</v>
      </c>
      <c r="AG237" t="s">
        <v>123</v>
      </c>
      <c r="AH237" t="s">
        <v>124</v>
      </c>
      <c r="AI237" t="s">
        <v>2522</v>
      </c>
      <c r="AJ237" t="s">
        <v>126</v>
      </c>
      <c r="AK237" t="s">
        <v>127</v>
      </c>
      <c r="AM237" t="s">
        <v>2523</v>
      </c>
      <c r="AN237" t="s">
        <v>2524</v>
      </c>
      <c r="AO237" t="s">
        <v>2525</v>
      </c>
      <c r="AP237" t="s">
        <v>131</v>
      </c>
      <c r="AQ237" t="s">
        <v>233</v>
      </c>
      <c r="AR237" t="s">
        <v>234</v>
      </c>
      <c r="AS237" t="s">
        <v>2526</v>
      </c>
      <c r="AU237" t="s">
        <v>495</v>
      </c>
      <c r="AV237" t="s">
        <v>810</v>
      </c>
      <c r="AX237" t="s">
        <v>177</v>
      </c>
      <c r="AY237" t="s">
        <v>627</v>
      </c>
      <c r="AZ237" t="s">
        <v>2527</v>
      </c>
      <c r="BB237" t="s">
        <v>140</v>
      </c>
    </row>
    <row r="238" spans="1:54" x14ac:dyDescent="0.35">
      <c r="A238" t="s">
        <v>2528</v>
      </c>
      <c r="B238" t="s">
        <v>107</v>
      </c>
      <c r="C238" t="s">
        <v>107</v>
      </c>
      <c r="F238" t="s">
        <v>158</v>
      </c>
      <c r="G238" t="s">
        <v>159</v>
      </c>
      <c r="H238" t="s">
        <v>111</v>
      </c>
      <c r="I238" t="s">
        <v>341</v>
      </c>
      <c r="J238" t="s">
        <v>113</v>
      </c>
      <c r="K238" t="s">
        <v>114</v>
      </c>
      <c r="L238" t="s">
        <v>114</v>
      </c>
      <c r="M238" t="s">
        <v>114</v>
      </c>
      <c r="N238" t="s">
        <v>114</v>
      </c>
      <c r="O238" t="s">
        <v>114</v>
      </c>
      <c r="P238" t="s">
        <v>114</v>
      </c>
      <c r="Q238" t="s">
        <v>114</v>
      </c>
      <c r="R238" t="s">
        <v>114</v>
      </c>
      <c r="S238" t="s">
        <v>114</v>
      </c>
      <c r="T238" t="s">
        <v>114</v>
      </c>
      <c r="V238" t="s">
        <v>114</v>
      </c>
      <c r="W238" t="s">
        <v>114</v>
      </c>
      <c r="Y238" t="s">
        <v>2529</v>
      </c>
      <c r="Z238" t="s">
        <v>2529</v>
      </c>
      <c r="AA238" t="s">
        <v>2530</v>
      </c>
      <c r="AB238" t="s">
        <v>2531</v>
      </c>
      <c r="AC238" t="s">
        <v>2532</v>
      </c>
      <c r="AG238" t="s">
        <v>123</v>
      </c>
      <c r="AH238" t="s">
        <v>124</v>
      </c>
      <c r="AI238" t="s">
        <v>2533</v>
      </c>
      <c r="AJ238" t="s">
        <v>126</v>
      </c>
      <c r="AK238" t="s">
        <v>127</v>
      </c>
      <c r="AM238" t="s">
        <v>2534</v>
      </c>
      <c r="AN238" t="s">
        <v>2535</v>
      </c>
      <c r="AO238" t="s">
        <v>2536</v>
      </c>
      <c r="AP238" t="s">
        <v>131</v>
      </c>
      <c r="AQ238" t="s">
        <v>132</v>
      </c>
      <c r="AR238" t="s">
        <v>2312</v>
      </c>
      <c r="AS238" t="s">
        <v>2537</v>
      </c>
      <c r="AU238" t="s">
        <v>1665</v>
      </c>
      <c r="AV238" t="s">
        <v>237</v>
      </c>
      <c r="AX238" t="s">
        <v>177</v>
      </c>
      <c r="AY238" t="s">
        <v>138</v>
      </c>
      <c r="AZ238" t="s">
        <v>2538</v>
      </c>
      <c r="BB238" t="s">
        <v>140</v>
      </c>
    </row>
    <row r="239" spans="1:54" x14ac:dyDescent="0.35">
      <c r="A239" t="s">
        <v>2539</v>
      </c>
      <c r="B239" t="s">
        <v>107</v>
      </c>
      <c r="C239" t="s">
        <v>107</v>
      </c>
      <c r="F239" t="s">
        <v>533</v>
      </c>
      <c r="G239" t="s">
        <v>534</v>
      </c>
      <c r="H239" t="s">
        <v>2360</v>
      </c>
      <c r="I239" t="s">
        <v>536</v>
      </c>
      <c r="J239" t="s">
        <v>113</v>
      </c>
      <c r="K239" t="s">
        <v>114</v>
      </c>
      <c r="L239" t="s">
        <v>114</v>
      </c>
      <c r="M239" t="s">
        <v>114</v>
      </c>
      <c r="N239" t="s">
        <v>114</v>
      </c>
      <c r="O239" t="s">
        <v>114</v>
      </c>
      <c r="P239" t="s">
        <v>114</v>
      </c>
      <c r="Q239" t="s">
        <v>114</v>
      </c>
      <c r="R239" t="s">
        <v>114</v>
      </c>
      <c r="S239" t="s">
        <v>114</v>
      </c>
      <c r="T239" t="s">
        <v>114</v>
      </c>
      <c r="V239" t="s">
        <v>114</v>
      </c>
      <c r="W239" t="s">
        <v>114</v>
      </c>
      <c r="Y239" t="s">
        <v>2540</v>
      </c>
      <c r="Z239" t="s">
        <v>2540</v>
      </c>
      <c r="AA239" t="s">
        <v>2541</v>
      </c>
      <c r="AB239" t="s">
        <v>2542</v>
      </c>
      <c r="AC239" t="s">
        <v>2543</v>
      </c>
      <c r="AG239" t="s">
        <v>123</v>
      </c>
      <c r="AH239" t="s">
        <v>124</v>
      </c>
      <c r="AI239" t="s">
        <v>2544</v>
      </c>
      <c r="AJ239" t="s">
        <v>126</v>
      </c>
      <c r="AK239" t="s">
        <v>127</v>
      </c>
      <c r="AM239" t="s">
        <v>2545</v>
      </c>
      <c r="AN239" t="s">
        <v>2546</v>
      </c>
      <c r="AO239" t="s">
        <v>2547</v>
      </c>
      <c r="AP239" t="s">
        <v>131</v>
      </c>
      <c r="AQ239" t="s">
        <v>132</v>
      </c>
      <c r="AR239" t="s">
        <v>720</v>
      </c>
      <c r="AS239" t="s">
        <v>1664</v>
      </c>
      <c r="AU239" t="s">
        <v>191</v>
      </c>
      <c r="AV239" t="s">
        <v>1821</v>
      </c>
      <c r="AX239" t="s">
        <v>547</v>
      </c>
      <c r="AY239" t="s">
        <v>364</v>
      </c>
      <c r="AZ239" t="s">
        <v>2548</v>
      </c>
      <c r="BB239" t="s">
        <v>140</v>
      </c>
    </row>
    <row r="240" spans="1:54" x14ac:dyDescent="0.35">
      <c r="A240" t="s">
        <v>2549</v>
      </c>
      <c r="B240" t="s">
        <v>107</v>
      </c>
      <c r="C240" t="s">
        <v>107</v>
      </c>
      <c r="E240" t="s">
        <v>108</v>
      </c>
      <c r="F240" t="s">
        <v>613</v>
      </c>
      <c r="G240" t="s">
        <v>614</v>
      </c>
      <c r="H240" t="s">
        <v>615</v>
      </c>
      <c r="I240" t="s">
        <v>271</v>
      </c>
      <c r="J240" t="s">
        <v>113</v>
      </c>
      <c r="K240" t="s">
        <v>114</v>
      </c>
      <c r="L240" t="s">
        <v>2550</v>
      </c>
      <c r="M240" t="s">
        <v>2550</v>
      </c>
      <c r="N240" t="s">
        <v>114</v>
      </c>
      <c r="O240" t="s">
        <v>2551</v>
      </c>
      <c r="P240" t="s">
        <v>2552</v>
      </c>
      <c r="Q240" t="s">
        <v>304</v>
      </c>
      <c r="R240" t="s">
        <v>180</v>
      </c>
      <c r="S240" t="s">
        <v>114</v>
      </c>
      <c r="T240" t="s">
        <v>994</v>
      </c>
      <c r="V240" t="s">
        <v>114</v>
      </c>
      <c r="W240" t="s">
        <v>2553</v>
      </c>
      <c r="Y240" t="s">
        <v>2554</v>
      </c>
      <c r="Z240" t="s">
        <v>2555</v>
      </c>
      <c r="AA240" t="s">
        <v>2556</v>
      </c>
      <c r="AB240" t="s">
        <v>2557</v>
      </c>
      <c r="AC240" t="s">
        <v>2555</v>
      </c>
      <c r="AG240" t="s">
        <v>123</v>
      </c>
      <c r="AH240" t="s">
        <v>124</v>
      </c>
      <c r="AI240" t="s">
        <v>2558</v>
      </c>
      <c r="AJ240" t="s">
        <v>126</v>
      </c>
      <c r="AK240" t="s">
        <v>127</v>
      </c>
      <c r="AM240" t="s">
        <v>2559</v>
      </c>
      <c r="AN240" t="s">
        <v>2560</v>
      </c>
      <c r="AO240" t="s">
        <v>2561</v>
      </c>
      <c r="AP240" t="s">
        <v>131</v>
      </c>
      <c r="AQ240" t="s">
        <v>403</v>
      </c>
      <c r="AR240" t="s">
        <v>1789</v>
      </c>
      <c r="AS240" t="s">
        <v>1960</v>
      </c>
      <c r="AU240" t="s">
        <v>495</v>
      </c>
      <c r="AW240" t="s">
        <v>136</v>
      </c>
      <c r="AX240" t="s">
        <v>177</v>
      </c>
      <c r="AY240" t="s">
        <v>627</v>
      </c>
      <c r="AZ240" t="s">
        <v>2562</v>
      </c>
      <c r="BB240" t="s">
        <v>140</v>
      </c>
    </row>
    <row r="241" spans="1:54" x14ac:dyDescent="0.35">
      <c r="A241" t="s">
        <v>2563</v>
      </c>
      <c r="B241" t="s">
        <v>107</v>
      </c>
      <c r="C241" t="s">
        <v>107</v>
      </c>
      <c r="E241" t="s">
        <v>108</v>
      </c>
      <c r="F241" t="s">
        <v>158</v>
      </c>
      <c r="G241" t="s">
        <v>159</v>
      </c>
      <c r="H241" t="s">
        <v>111</v>
      </c>
      <c r="I241" t="s">
        <v>341</v>
      </c>
      <c r="J241" t="s">
        <v>113</v>
      </c>
      <c r="K241" t="s">
        <v>114</v>
      </c>
      <c r="L241" t="s">
        <v>161</v>
      </c>
      <c r="M241" t="s">
        <v>161</v>
      </c>
      <c r="N241" t="s">
        <v>114</v>
      </c>
      <c r="O241" t="s">
        <v>1110</v>
      </c>
      <c r="P241" t="s">
        <v>1111</v>
      </c>
      <c r="Q241" t="s">
        <v>142</v>
      </c>
      <c r="R241" t="s">
        <v>142</v>
      </c>
      <c r="S241" t="s">
        <v>114</v>
      </c>
      <c r="T241" t="s">
        <v>114</v>
      </c>
      <c r="V241" t="s">
        <v>114</v>
      </c>
      <c r="W241" t="s">
        <v>2564</v>
      </c>
      <c r="Y241" t="s">
        <v>2565</v>
      </c>
      <c r="Z241" t="s">
        <v>2566</v>
      </c>
      <c r="AA241" t="s">
        <v>2567</v>
      </c>
      <c r="AB241" t="s">
        <v>2568</v>
      </c>
      <c r="AC241" t="s">
        <v>2566</v>
      </c>
      <c r="AG241" t="s">
        <v>123</v>
      </c>
      <c r="AH241" t="s">
        <v>124</v>
      </c>
      <c r="AI241" t="s">
        <v>2569</v>
      </c>
      <c r="AJ241" t="s">
        <v>126</v>
      </c>
      <c r="AK241" t="s">
        <v>127</v>
      </c>
      <c r="AM241" t="s">
        <v>2570</v>
      </c>
      <c r="AN241" t="s">
        <v>2571</v>
      </c>
      <c r="AO241" t="s">
        <v>2572</v>
      </c>
      <c r="AP241" t="s">
        <v>131</v>
      </c>
      <c r="AQ241" t="s">
        <v>233</v>
      </c>
      <c r="AR241" t="s">
        <v>234</v>
      </c>
      <c r="AS241" t="s">
        <v>2573</v>
      </c>
      <c r="AU241" t="s">
        <v>191</v>
      </c>
      <c r="AV241" t="s">
        <v>265</v>
      </c>
      <c r="AW241" t="s">
        <v>136</v>
      </c>
      <c r="AX241" t="s">
        <v>177</v>
      </c>
      <c r="AY241" t="s">
        <v>138</v>
      </c>
      <c r="AZ241" t="s">
        <v>2574</v>
      </c>
      <c r="BB241" t="s">
        <v>140</v>
      </c>
    </row>
    <row r="242" spans="1:54" x14ac:dyDescent="0.35">
      <c r="A242" t="s">
        <v>2563</v>
      </c>
      <c r="B242" t="s">
        <v>107</v>
      </c>
      <c r="C242" t="s">
        <v>107</v>
      </c>
      <c r="E242" t="s">
        <v>108</v>
      </c>
      <c r="F242" t="s">
        <v>268</v>
      </c>
      <c r="G242" t="s">
        <v>269</v>
      </c>
      <c r="H242" t="s">
        <v>2268</v>
      </c>
      <c r="I242" t="s">
        <v>271</v>
      </c>
      <c r="J242" t="s">
        <v>113</v>
      </c>
      <c r="K242" t="s">
        <v>114</v>
      </c>
      <c r="L242" t="s">
        <v>114</v>
      </c>
      <c r="M242" t="s">
        <v>114</v>
      </c>
      <c r="N242" t="s">
        <v>114</v>
      </c>
      <c r="O242" t="s">
        <v>114</v>
      </c>
      <c r="P242" t="s">
        <v>114</v>
      </c>
      <c r="Q242" t="s">
        <v>142</v>
      </c>
      <c r="R242" t="s">
        <v>142</v>
      </c>
      <c r="S242" t="s">
        <v>114</v>
      </c>
      <c r="T242" t="s">
        <v>114</v>
      </c>
      <c r="V242" t="s">
        <v>114</v>
      </c>
      <c r="W242" t="s">
        <v>2564</v>
      </c>
      <c r="Y242" t="s">
        <v>2565</v>
      </c>
      <c r="Z242" t="s">
        <v>2566</v>
      </c>
      <c r="AA242" t="s">
        <v>2567</v>
      </c>
      <c r="AB242" t="s">
        <v>2568</v>
      </c>
      <c r="AC242" t="s">
        <v>2566</v>
      </c>
      <c r="AG242" t="s">
        <v>123</v>
      </c>
      <c r="AH242" t="s">
        <v>124</v>
      </c>
      <c r="AI242" t="s">
        <v>2569</v>
      </c>
      <c r="AJ242" t="s">
        <v>126</v>
      </c>
      <c r="AK242" t="s">
        <v>127</v>
      </c>
      <c r="AM242" t="s">
        <v>2570</v>
      </c>
      <c r="AN242" t="s">
        <v>2571</v>
      </c>
      <c r="AO242" t="s">
        <v>2572</v>
      </c>
      <c r="AP242" t="s">
        <v>131</v>
      </c>
      <c r="AQ242" t="s">
        <v>233</v>
      </c>
      <c r="AR242" t="s">
        <v>234</v>
      </c>
      <c r="AS242" t="s">
        <v>2573</v>
      </c>
      <c r="AU242" t="s">
        <v>191</v>
      </c>
      <c r="AV242" t="s">
        <v>265</v>
      </c>
      <c r="AW242" t="s">
        <v>136</v>
      </c>
      <c r="AX242" t="s">
        <v>272</v>
      </c>
      <c r="AY242" t="s">
        <v>273</v>
      </c>
      <c r="AZ242" t="s">
        <v>2574</v>
      </c>
      <c r="BB242" t="s">
        <v>140</v>
      </c>
    </row>
    <row r="243" spans="1:54" x14ac:dyDescent="0.35">
      <c r="A243" t="s">
        <v>2575</v>
      </c>
      <c r="B243" t="s">
        <v>107</v>
      </c>
      <c r="C243" t="s">
        <v>107</v>
      </c>
      <c r="E243" t="s">
        <v>108</v>
      </c>
      <c r="F243" t="s">
        <v>158</v>
      </c>
      <c r="G243" t="s">
        <v>159</v>
      </c>
      <c r="H243" t="s">
        <v>111</v>
      </c>
      <c r="I243" t="s">
        <v>341</v>
      </c>
      <c r="J243" t="s">
        <v>113</v>
      </c>
      <c r="K243" t="s">
        <v>114</v>
      </c>
      <c r="L243" t="s">
        <v>161</v>
      </c>
      <c r="M243" t="s">
        <v>161</v>
      </c>
      <c r="N243" t="s">
        <v>114</v>
      </c>
      <c r="O243" t="s">
        <v>1110</v>
      </c>
      <c r="P243" t="s">
        <v>1111</v>
      </c>
      <c r="Q243" t="s">
        <v>114</v>
      </c>
      <c r="R243" t="s">
        <v>180</v>
      </c>
      <c r="S243" t="s">
        <v>114</v>
      </c>
      <c r="T243" t="s">
        <v>180</v>
      </c>
      <c r="V243" t="s">
        <v>114</v>
      </c>
      <c r="W243" t="s">
        <v>1111</v>
      </c>
      <c r="Y243" t="s">
        <v>2576</v>
      </c>
      <c r="Z243" t="s">
        <v>2577</v>
      </c>
      <c r="AA243" t="s">
        <v>2578</v>
      </c>
      <c r="AB243" t="s">
        <v>2579</v>
      </c>
      <c r="AC243" t="s">
        <v>2577</v>
      </c>
      <c r="AG243" t="s">
        <v>123</v>
      </c>
      <c r="AH243" t="s">
        <v>124</v>
      </c>
      <c r="AI243" t="s">
        <v>2580</v>
      </c>
      <c r="AJ243" t="s">
        <v>126</v>
      </c>
      <c r="AK243" t="s">
        <v>127</v>
      </c>
      <c r="AM243" t="s">
        <v>2581</v>
      </c>
      <c r="AN243" t="s">
        <v>2582</v>
      </c>
      <c r="AO243" t="s">
        <v>2583</v>
      </c>
      <c r="AP243" t="s">
        <v>131</v>
      </c>
      <c r="AQ243" t="s">
        <v>132</v>
      </c>
      <c r="AR243" t="s">
        <v>352</v>
      </c>
      <c r="AS243" t="s">
        <v>374</v>
      </c>
      <c r="AU243" t="s">
        <v>1183</v>
      </c>
      <c r="AW243" t="s">
        <v>136</v>
      </c>
      <c r="AX243" t="s">
        <v>177</v>
      </c>
      <c r="AY243" t="s">
        <v>138</v>
      </c>
      <c r="AZ243" t="s">
        <v>2584</v>
      </c>
      <c r="BB243" t="s">
        <v>140</v>
      </c>
    </row>
    <row r="244" spans="1:54" x14ac:dyDescent="0.35">
      <c r="A244" t="s">
        <v>2575</v>
      </c>
      <c r="B244" t="s">
        <v>107</v>
      </c>
      <c r="C244" t="s">
        <v>107</v>
      </c>
      <c r="E244" t="s">
        <v>108</v>
      </c>
      <c r="F244" t="s">
        <v>268</v>
      </c>
      <c r="G244" t="s">
        <v>269</v>
      </c>
      <c r="H244" t="s">
        <v>2268</v>
      </c>
      <c r="I244" t="s">
        <v>271</v>
      </c>
      <c r="J244" t="s">
        <v>113</v>
      </c>
      <c r="K244" t="s">
        <v>114</v>
      </c>
      <c r="L244" t="s">
        <v>114</v>
      </c>
      <c r="M244" t="s">
        <v>114</v>
      </c>
      <c r="N244" t="s">
        <v>114</v>
      </c>
      <c r="O244" t="s">
        <v>114</v>
      </c>
      <c r="P244" t="s">
        <v>114</v>
      </c>
      <c r="Q244" t="s">
        <v>114</v>
      </c>
      <c r="R244" t="s">
        <v>180</v>
      </c>
      <c r="S244" t="s">
        <v>114</v>
      </c>
      <c r="T244" t="s">
        <v>180</v>
      </c>
      <c r="V244" t="s">
        <v>114</v>
      </c>
      <c r="W244" t="s">
        <v>1111</v>
      </c>
      <c r="Y244" t="s">
        <v>2576</v>
      </c>
      <c r="Z244" t="s">
        <v>2577</v>
      </c>
      <c r="AA244" t="s">
        <v>2578</v>
      </c>
      <c r="AB244" t="s">
        <v>2579</v>
      </c>
      <c r="AC244" t="s">
        <v>2577</v>
      </c>
      <c r="AG244" t="s">
        <v>123</v>
      </c>
      <c r="AH244" t="s">
        <v>124</v>
      </c>
      <c r="AI244" t="s">
        <v>2580</v>
      </c>
      <c r="AJ244" t="s">
        <v>126</v>
      </c>
      <c r="AK244" t="s">
        <v>127</v>
      </c>
      <c r="AM244" t="s">
        <v>2581</v>
      </c>
      <c r="AN244" t="s">
        <v>2582</v>
      </c>
      <c r="AO244" t="s">
        <v>2583</v>
      </c>
      <c r="AP244" t="s">
        <v>131</v>
      </c>
      <c r="AQ244" t="s">
        <v>132</v>
      </c>
      <c r="AR244" t="s">
        <v>352</v>
      </c>
      <c r="AS244" t="s">
        <v>374</v>
      </c>
      <c r="AU244" t="s">
        <v>1183</v>
      </c>
      <c r="AW244" t="s">
        <v>136</v>
      </c>
      <c r="AX244" t="s">
        <v>272</v>
      </c>
      <c r="AY244" t="s">
        <v>273</v>
      </c>
      <c r="AZ244" t="s">
        <v>2584</v>
      </c>
      <c r="BB244" t="s">
        <v>140</v>
      </c>
    </row>
    <row r="245" spans="1:54" x14ac:dyDescent="0.35">
      <c r="A245" t="s">
        <v>2585</v>
      </c>
      <c r="B245" t="s">
        <v>107</v>
      </c>
      <c r="C245" t="s">
        <v>107</v>
      </c>
      <c r="E245" t="s">
        <v>108</v>
      </c>
      <c r="F245" t="s">
        <v>268</v>
      </c>
      <c r="G245" t="s">
        <v>269</v>
      </c>
      <c r="H245" t="s">
        <v>2268</v>
      </c>
      <c r="I245" t="s">
        <v>271</v>
      </c>
      <c r="J245" t="s">
        <v>113</v>
      </c>
      <c r="K245" t="s">
        <v>114</v>
      </c>
      <c r="L245" t="s">
        <v>114</v>
      </c>
      <c r="M245" t="s">
        <v>114</v>
      </c>
      <c r="N245" t="s">
        <v>114</v>
      </c>
      <c r="O245" t="s">
        <v>114</v>
      </c>
      <c r="P245" t="s">
        <v>114</v>
      </c>
      <c r="Q245" t="s">
        <v>114</v>
      </c>
      <c r="R245" t="s">
        <v>180</v>
      </c>
      <c r="S245" t="s">
        <v>114</v>
      </c>
      <c r="T245" t="s">
        <v>180</v>
      </c>
      <c r="V245" t="s">
        <v>114</v>
      </c>
      <c r="W245" t="s">
        <v>1111</v>
      </c>
      <c r="Y245" t="s">
        <v>2586</v>
      </c>
      <c r="Z245" t="s">
        <v>2587</v>
      </c>
      <c r="AA245" t="s">
        <v>2588</v>
      </c>
      <c r="AB245" t="s">
        <v>2589</v>
      </c>
      <c r="AC245" t="s">
        <v>2587</v>
      </c>
      <c r="AG245" t="s">
        <v>123</v>
      </c>
      <c r="AH245" t="s">
        <v>124</v>
      </c>
      <c r="AI245" t="s">
        <v>2590</v>
      </c>
      <c r="AJ245" t="s">
        <v>126</v>
      </c>
      <c r="AK245" t="s">
        <v>127</v>
      </c>
      <c r="AM245" t="s">
        <v>2591</v>
      </c>
      <c r="AN245" t="s">
        <v>2592</v>
      </c>
      <c r="AO245" t="s">
        <v>2593</v>
      </c>
      <c r="AP245" t="s">
        <v>131</v>
      </c>
      <c r="AQ245" t="s">
        <v>132</v>
      </c>
      <c r="AR245" t="s">
        <v>352</v>
      </c>
      <c r="AS245" t="s">
        <v>667</v>
      </c>
      <c r="AU245" t="s">
        <v>758</v>
      </c>
      <c r="AW245" t="s">
        <v>136</v>
      </c>
      <c r="AX245" t="s">
        <v>272</v>
      </c>
      <c r="AY245" t="s">
        <v>273</v>
      </c>
      <c r="AZ245" t="s">
        <v>2594</v>
      </c>
      <c r="BB245" t="s">
        <v>140</v>
      </c>
    </row>
    <row r="246" spans="1:54" x14ac:dyDescent="0.35">
      <c r="A246" t="s">
        <v>2585</v>
      </c>
      <c r="B246" t="s">
        <v>107</v>
      </c>
      <c r="C246" t="s">
        <v>107</v>
      </c>
      <c r="E246" t="s">
        <v>108</v>
      </c>
      <c r="F246" t="s">
        <v>158</v>
      </c>
      <c r="G246" t="s">
        <v>159</v>
      </c>
      <c r="H246" t="s">
        <v>111</v>
      </c>
      <c r="I246" t="s">
        <v>341</v>
      </c>
      <c r="J246" t="s">
        <v>113</v>
      </c>
      <c r="K246" t="s">
        <v>114</v>
      </c>
      <c r="L246" t="s">
        <v>161</v>
      </c>
      <c r="M246" t="s">
        <v>161</v>
      </c>
      <c r="N246" t="s">
        <v>114</v>
      </c>
      <c r="O246" t="s">
        <v>1110</v>
      </c>
      <c r="P246" t="s">
        <v>1111</v>
      </c>
      <c r="Q246" t="s">
        <v>114</v>
      </c>
      <c r="R246" t="s">
        <v>180</v>
      </c>
      <c r="S246" t="s">
        <v>114</v>
      </c>
      <c r="T246" t="s">
        <v>180</v>
      </c>
      <c r="V246" t="s">
        <v>114</v>
      </c>
      <c r="W246" t="s">
        <v>1111</v>
      </c>
      <c r="Y246" t="s">
        <v>2586</v>
      </c>
      <c r="Z246" t="s">
        <v>2587</v>
      </c>
      <c r="AA246" t="s">
        <v>2588</v>
      </c>
      <c r="AB246" t="s">
        <v>2589</v>
      </c>
      <c r="AC246" t="s">
        <v>2587</v>
      </c>
      <c r="AG246" t="s">
        <v>123</v>
      </c>
      <c r="AH246" t="s">
        <v>124</v>
      </c>
      <c r="AI246" t="s">
        <v>2590</v>
      </c>
      <c r="AJ246" t="s">
        <v>126</v>
      </c>
      <c r="AK246" t="s">
        <v>127</v>
      </c>
      <c r="AM246" t="s">
        <v>2591</v>
      </c>
      <c r="AN246" t="s">
        <v>2592</v>
      </c>
      <c r="AO246" t="s">
        <v>2593</v>
      </c>
      <c r="AP246" t="s">
        <v>131</v>
      </c>
      <c r="AQ246" t="s">
        <v>132</v>
      </c>
      <c r="AR246" t="s">
        <v>352</v>
      </c>
      <c r="AS246" t="s">
        <v>667</v>
      </c>
      <c r="AU246" t="s">
        <v>758</v>
      </c>
      <c r="AW246" t="s">
        <v>136</v>
      </c>
      <c r="AX246" t="s">
        <v>177</v>
      </c>
      <c r="AY246" t="s">
        <v>138</v>
      </c>
      <c r="AZ246" t="s">
        <v>2594</v>
      </c>
      <c r="BB246" t="s">
        <v>140</v>
      </c>
    </row>
    <row r="247" spans="1:54" x14ac:dyDescent="0.35">
      <c r="A247" t="s">
        <v>2595</v>
      </c>
      <c r="B247" t="s">
        <v>107</v>
      </c>
      <c r="C247" t="s">
        <v>107</v>
      </c>
      <c r="E247" t="s">
        <v>108</v>
      </c>
      <c r="F247" t="s">
        <v>158</v>
      </c>
      <c r="G247" t="s">
        <v>159</v>
      </c>
      <c r="H247" t="s">
        <v>111</v>
      </c>
      <c r="I247" t="s">
        <v>341</v>
      </c>
      <c r="J247" t="s">
        <v>113</v>
      </c>
      <c r="K247" t="s">
        <v>114</v>
      </c>
      <c r="L247" t="s">
        <v>161</v>
      </c>
      <c r="M247" t="s">
        <v>161</v>
      </c>
      <c r="N247" t="s">
        <v>114</v>
      </c>
      <c r="O247" t="s">
        <v>1110</v>
      </c>
      <c r="P247" t="s">
        <v>1111</v>
      </c>
      <c r="Q247" t="s">
        <v>114</v>
      </c>
      <c r="R247" t="s">
        <v>142</v>
      </c>
      <c r="S247" t="s">
        <v>114</v>
      </c>
      <c r="T247" t="s">
        <v>142</v>
      </c>
      <c r="V247" t="s">
        <v>114</v>
      </c>
      <c r="W247" t="s">
        <v>1111</v>
      </c>
      <c r="Y247" t="s">
        <v>2596</v>
      </c>
      <c r="Z247" t="s">
        <v>2597</v>
      </c>
      <c r="AA247" t="s">
        <v>2598</v>
      </c>
      <c r="AB247" t="s">
        <v>2599</v>
      </c>
      <c r="AC247" t="s">
        <v>2600</v>
      </c>
      <c r="AG247" t="s">
        <v>123</v>
      </c>
      <c r="AH247" t="s">
        <v>124</v>
      </c>
      <c r="AI247" t="s">
        <v>2601</v>
      </c>
      <c r="AJ247" t="s">
        <v>126</v>
      </c>
      <c r="AK247" t="s">
        <v>127</v>
      </c>
      <c r="AM247" t="s">
        <v>2602</v>
      </c>
      <c r="AN247" t="s">
        <v>2603</v>
      </c>
      <c r="AO247" t="s">
        <v>2604</v>
      </c>
      <c r="AP247" t="s">
        <v>131</v>
      </c>
      <c r="AQ247" t="s">
        <v>233</v>
      </c>
      <c r="AR247" t="s">
        <v>2605</v>
      </c>
      <c r="AS247" t="s">
        <v>2606</v>
      </c>
      <c r="AU247" t="s">
        <v>135</v>
      </c>
      <c r="AV247" t="s">
        <v>1403</v>
      </c>
      <c r="AW247" t="s">
        <v>176</v>
      </c>
      <c r="AX247" t="s">
        <v>177</v>
      </c>
      <c r="AY247" t="s">
        <v>138</v>
      </c>
      <c r="AZ247" t="s">
        <v>2607</v>
      </c>
      <c r="BB247" t="s">
        <v>140</v>
      </c>
    </row>
    <row r="248" spans="1:54" x14ac:dyDescent="0.35">
      <c r="A248" t="s">
        <v>2595</v>
      </c>
      <c r="B248" t="s">
        <v>107</v>
      </c>
      <c r="C248" t="s">
        <v>107</v>
      </c>
      <c r="E248" t="s">
        <v>108</v>
      </c>
      <c r="F248" t="s">
        <v>268</v>
      </c>
      <c r="G248" t="s">
        <v>269</v>
      </c>
      <c r="H248" t="s">
        <v>2268</v>
      </c>
      <c r="I248" t="s">
        <v>271</v>
      </c>
      <c r="J248" t="s">
        <v>113</v>
      </c>
      <c r="K248" t="s">
        <v>114</v>
      </c>
      <c r="L248" t="s">
        <v>114</v>
      </c>
      <c r="M248" t="s">
        <v>114</v>
      </c>
      <c r="N248" t="s">
        <v>114</v>
      </c>
      <c r="O248" t="s">
        <v>114</v>
      </c>
      <c r="P248" t="s">
        <v>114</v>
      </c>
      <c r="Q248" t="s">
        <v>114</v>
      </c>
      <c r="R248" t="s">
        <v>142</v>
      </c>
      <c r="S248" t="s">
        <v>114</v>
      </c>
      <c r="T248" t="s">
        <v>142</v>
      </c>
      <c r="V248" t="s">
        <v>114</v>
      </c>
      <c r="W248" t="s">
        <v>1111</v>
      </c>
      <c r="Y248" t="s">
        <v>2596</v>
      </c>
      <c r="Z248" t="s">
        <v>2597</v>
      </c>
      <c r="AA248" t="s">
        <v>2598</v>
      </c>
      <c r="AB248" t="s">
        <v>2599</v>
      </c>
      <c r="AC248" t="s">
        <v>2600</v>
      </c>
      <c r="AG248" t="s">
        <v>123</v>
      </c>
      <c r="AH248" t="s">
        <v>124</v>
      </c>
      <c r="AI248" t="s">
        <v>2601</v>
      </c>
      <c r="AJ248" t="s">
        <v>126</v>
      </c>
      <c r="AK248" t="s">
        <v>127</v>
      </c>
      <c r="AM248" t="s">
        <v>2602</v>
      </c>
      <c r="AN248" t="s">
        <v>2603</v>
      </c>
      <c r="AO248" t="s">
        <v>2604</v>
      </c>
      <c r="AP248" t="s">
        <v>131</v>
      </c>
      <c r="AQ248" t="s">
        <v>233</v>
      </c>
      <c r="AR248" t="s">
        <v>2605</v>
      </c>
      <c r="AS248" t="s">
        <v>2606</v>
      </c>
      <c r="AU248" t="s">
        <v>135</v>
      </c>
      <c r="AV248" t="s">
        <v>1403</v>
      </c>
      <c r="AW248" t="s">
        <v>176</v>
      </c>
      <c r="AX248" t="s">
        <v>272</v>
      </c>
      <c r="AY248" t="s">
        <v>273</v>
      </c>
      <c r="AZ248" t="s">
        <v>2607</v>
      </c>
      <c r="BB248" t="s">
        <v>140</v>
      </c>
    </row>
    <row r="249" spans="1:54" x14ac:dyDescent="0.35">
      <c r="A249" t="s">
        <v>2608</v>
      </c>
      <c r="B249" t="s">
        <v>107</v>
      </c>
      <c r="C249" t="s">
        <v>107</v>
      </c>
      <c r="E249" t="s">
        <v>108</v>
      </c>
      <c r="F249" t="s">
        <v>158</v>
      </c>
      <c r="G249" t="s">
        <v>159</v>
      </c>
      <c r="H249" t="s">
        <v>111</v>
      </c>
      <c r="I249" t="s">
        <v>341</v>
      </c>
      <c r="J249" t="s">
        <v>113</v>
      </c>
      <c r="K249" t="s">
        <v>114</v>
      </c>
      <c r="L249" t="s">
        <v>161</v>
      </c>
      <c r="M249" t="s">
        <v>161</v>
      </c>
      <c r="N249" t="s">
        <v>114</v>
      </c>
      <c r="O249" t="s">
        <v>1110</v>
      </c>
      <c r="P249" t="s">
        <v>1111</v>
      </c>
      <c r="Q249" t="s">
        <v>114</v>
      </c>
      <c r="R249" t="s">
        <v>180</v>
      </c>
      <c r="S249" t="s">
        <v>114</v>
      </c>
      <c r="T249" t="s">
        <v>180</v>
      </c>
      <c r="V249" t="s">
        <v>114</v>
      </c>
      <c r="W249" t="s">
        <v>1111</v>
      </c>
      <c r="Y249" t="s">
        <v>2609</v>
      </c>
      <c r="Z249" t="s">
        <v>2610</v>
      </c>
      <c r="AA249" t="s">
        <v>2611</v>
      </c>
      <c r="AB249" t="s">
        <v>2612</v>
      </c>
      <c r="AC249" t="s">
        <v>2613</v>
      </c>
      <c r="AG249" t="s">
        <v>123</v>
      </c>
      <c r="AH249" t="s">
        <v>124</v>
      </c>
      <c r="AI249" t="s">
        <v>2614</v>
      </c>
      <c r="AJ249" t="s">
        <v>126</v>
      </c>
      <c r="AK249" t="s">
        <v>127</v>
      </c>
      <c r="AM249" t="s">
        <v>2615</v>
      </c>
      <c r="AN249" t="s">
        <v>2616</v>
      </c>
      <c r="AO249" t="s">
        <v>2617</v>
      </c>
      <c r="AP249" t="s">
        <v>131</v>
      </c>
      <c r="AQ249" t="s">
        <v>132</v>
      </c>
      <c r="AR249" t="s">
        <v>2618</v>
      </c>
      <c r="AS249" t="s">
        <v>2619</v>
      </c>
      <c r="AU249" t="s">
        <v>798</v>
      </c>
      <c r="AV249" t="s">
        <v>810</v>
      </c>
      <c r="AW249" t="s">
        <v>655</v>
      </c>
      <c r="AX249" t="s">
        <v>177</v>
      </c>
      <c r="AY249" t="s">
        <v>138</v>
      </c>
      <c r="AZ249" t="s">
        <v>2620</v>
      </c>
      <c r="BB249" t="s">
        <v>140</v>
      </c>
    </row>
    <row r="250" spans="1:54" x14ac:dyDescent="0.35">
      <c r="A250" t="s">
        <v>2608</v>
      </c>
      <c r="B250" t="s">
        <v>107</v>
      </c>
      <c r="C250" t="s">
        <v>107</v>
      </c>
      <c r="E250" t="s">
        <v>108</v>
      </c>
      <c r="F250" t="s">
        <v>268</v>
      </c>
      <c r="G250" t="s">
        <v>269</v>
      </c>
      <c r="H250" t="s">
        <v>2268</v>
      </c>
      <c r="I250" t="s">
        <v>271</v>
      </c>
      <c r="J250" t="s">
        <v>113</v>
      </c>
      <c r="K250" t="s">
        <v>114</v>
      </c>
      <c r="L250" t="s">
        <v>114</v>
      </c>
      <c r="M250" t="s">
        <v>114</v>
      </c>
      <c r="N250" t="s">
        <v>114</v>
      </c>
      <c r="O250" t="s">
        <v>114</v>
      </c>
      <c r="P250" t="s">
        <v>114</v>
      </c>
      <c r="Q250" t="s">
        <v>114</v>
      </c>
      <c r="R250" t="s">
        <v>180</v>
      </c>
      <c r="S250" t="s">
        <v>114</v>
      </c>
      <c r="T250" t="s">
        <v>180</v>
      </c>
      <c r="V250" t="s">
        <v>114</v>
      </c>
      <c r="W250" t="s">
        <v>1111</v>
      </c>
      <c r="Y250" t="s">
        <v>2609</v>
      </c>
      <c r="Z250" t="s">
        <v>2610</v>
      </c>
      <c r="AA250" t="s">
        <v>2611</v>
      </c>
      <c r="AB250" t="s">
        <v>2612</v>
      </c>
      <c r="AC250" t="s">
        <v>2613</v>
      </c>
      <c r="AG250" t="s">
        <v>123</v>
      </c>
      <c r="AH250" t="s">
        <v>124</v>
      </c>
      <c r="AI250" t="s">
        <v>2614</v>
      </c>
      <c r="AJ250" t="s">
        <v>126</v>
      </c>
      <c r="AK250" t="s">
        <v>127</v>
      </c>
      <c r="AM250" t="s">
        <v>2615</v>
      </c>
      <c r="AN250" t="s">
        <v>2616</v>
      </c>
      <c r="AO250" t="s">
        <v>2617</v>
      </c>
      <c r="AP250" t="s">
        <v>131</v>
      </c>
      <c r="AQ250" t="s">
        <v>132</v>
      </c>
      <c r="AR250" t="s">
        <v>2618</v>
      </c>
      <c r="AS250" t="s">
        <v>2619</v>
      </c>
      <c r="AU250" t="s">
        <v>798</v>
      </c>
      <c r="AV250" t="s">
        <v>810</v>
      </c>
      <c r="AW250" t="s">
        <v>655</v>
      </c>
      <c r="AX250" t="s">
        <v>272</v>
      </c>
      <c r="AY250" t="s">
        <v>273</v>
      </c>
      <c r="AZ250" t="s">
        <v>2620</v>
      </c>
      <c r="BB250" t="s">
        <v>140</v>
      </c>
    </row>
    <row r="251" spans="1:54" x14ac:dyDescent="0.35">
      <c r="A251" t="s">
        <v>2621</v>
      </c>
      <c r="B251" t="s">
        <v>107</v>
      </c>
      <c r="C251" t="s">
        <v>107</v>
      </c>
      <c r="E251" t="s">
        <v>108</v>
      </c>
      <c r="F251" t="s">
        <v>268</v>
      </c>
      <c r="G251" t="s">
        <v>269</v>
      </c>
      <c r="H251" t="s">
        <v>2268</v>
      </c>
      <c r="I251" t="s">
        <v>271</v>
      </c>
      <c r="J251" t="s">
        <v>113</v>
      </c>
      <c r="K251" t="s">
        <v>114</v>
      </c>
      <c r="L251" t="s">
        <v>114</v>
      </c>
      <c r="M251" t="s">
        <v>114</v>
      </c>
      <c r="N251" t="s">
        <v>114</v>
      </c>
      <c r="O251" t="s">
        <v>114</v>
      </c>
      <c r="P251" t="s">
        <v>114</v>
      </c>
      <c r="Q251" t="s">
        <v>180</v>
      </c>
      <c r="R251" t="s">
        <v>180</v>
      </c>
      <c r="S251" t="s">
        <v>114</v>
      </c>
      <c r="T251" t="s">
        <v>114</v>
      </c>
      <c r="V251" t="s">
        <v>114</v>
      </c>
      <c r="W251" t="s">
        <v>2622</v>
      </c>
      <c r="Y251" t="s">
        <v>2623</v>
      </c>
      <c r="Z251" t="s">
        <v>2624</v>
      </c>
      <c r="AA251" t="s">
        <v>2625</v>
      </c>
      <c r="AB251" t="s">
        <v>2626</v>
      </c>
      <c r="AC251" t="s">
        <v>2627</v>
      </c>
      <c r="AG251" t="s">
        <v>123</v>
      </c>
      <c r="AH251" t="s">
        <v>124</v>
      </c>
      <c r="AI251" t="s">
        <v>2628</v>
      </c>
      <c r="AJ251" t="s">
        <v>126</v>
      </c>
      <c r="AK251" t="s">
        <v>127</v>
      </c>
      <c r="AM251" t="s">
        <v>2629</v>
      </c>
      <c r="AN251" t="s">
        <v>2630</v>
      </c>
      <c r="AO251" t="s">
        <v>2631</v>
      </c>
      <c r="AP251" t="s">
        <v>131</v>
      </c>
      <c r="AQ251" t="s">
        <v>132</v>
      </c>
      <c r="AR251" t="s">
        <v>796</v>
      </c>
      <c r="AS251" t="s">
        <v>2224</v>
      </c>
      <c r="AU251" t="s">
        <v>758</v>
      </c>
      <c r="AV251" t="s">
        <v>991</v>
      </c>
      <c r="AW251" t="s">
        <v>317</v>
      </c>
      <c r="AX251" t="s">
        <v>272</v>
      </c>
      <c r="AY251" t="s">
        <v>273</v>
      </c>
      <c r="AZ251" t="s">
        <v>2632</v>
      </c>
      <c r="BB251" t="s">
        <v>140</v>
      </c>
    </row>
    <row r="252" spans="1:54" x14ac:dyDescent="0.35">
      <c r="A252" t="s">
        <v>2621</v>
      </c>
      <c r="B252" t="s">
        <v>107</v>
      </c>
      <c r="C252" t="s">
        <v>107</v>
      </c>
      <c r="E252" t="s">
        <v>108</v>
      </c>
      <c r="F252" t="s">
        <v>158</v>
      </c>
      <c r="G252" t="s">
        <v>159</v>
      </c>
      <c r="H252" t="s">
        <v>111</v>
      </c>
      <c r="I252" t="s">
        <v>341</v>
      </c>
      <c r="J252" t="s">
        <v>113</v>
      </c>
      <c r="K252" t="s">
        <v>114</v>
      </c>
      <c r="L252" t="s">
        <v>161</v>
      </c>
      <c r="M252" t="s">
        <v>161</v>
      </c>
      <c r="N252" t="s">
        <v>436</v>
      </c>
      <c r="O252" t="s">
        <v>1110</v>
      </c>
      <c r="P252" t="s">
        <v>1876</v>
      </c>
      <c r="Q252" t="s">
        <v>180</v>
      </c>
      <c r="R252" t="s">
        <v>180</v>
      </c>
      <c r="S252" t="s">
        <v>114</v>
      </c>
      <c r="T252" t="s">
        <v>114</v>
      </c>
      <c r="V252" t="s">
        <v>114</v>
      </c>
      <c r="W252" t="s">
        <v>2622</v>
      </c>
      <c r="Y252" t="s">
        <v>2623</v>
      </c>
      <c r="Z252" t="s">
        <v>2624</v>
      </c>
      <c r="AA252" t="s">
        <v>2625</v>
      </c>
      <c r="AB252" t="s">
        <v>2626</v>
      </c>
      <c r="AC252" t="s">
        <v>2627</v>
      </c>
      <c r="AG252" t="s">
        <v>123</v>
      </c>
      <c r="AH252" t="s">
        <v>124</v>
      </c>
      <c r="AI252" t="s">
        <v>2628</v>
      </c>
      <c r="AJ252" t="s">
        <v>126</v>
      </c>
      <c r="AK252" t="s">
        <v>127</v>
      </c>
      <c r="AM252" t="s">
        <v>2629</v>
      </c>
      <c r="AN252" t="s">
        <v>2630</v>
      </c>
      <c r="AO252" t="s">
        <v>2631</v>
      </c>
      <c r="AP252" t="s">
        <v>131</v>
      </c>
      <c r="AQ252" t="s">
        <v>132</v>
      </c>
      <c r="AR252" t="s">
        <v>796</v>
      </c>
      <c r="AS252" t="s">
        <v>2224</v>
      </c>
      <c r="AU252" t="s">
        <v>758</v>
      </c>
      <c r="AV252" t="s">
        <v>991</v>
      </c>
      <c r="AW252" t="s">
        <v>317</v>
      </c>
      <c r="AX252" t="s">
        <v>177</v>
      </c>
      <c r="AY252" t="s">
        <v>138</v>
      </c>
      <c r="AZ252" t="s">
        <v>2632</v>
      </c>
      <c r="BB252" t="s">
        <v>140</v>
      </c>
    </row>
    <row r="253" spans="1:54" x14ac:dyDescent="0.35">
      <c r="A253" t="s">
        <v>2633</v>
      </c>
      <c r="B253" t="s">
        <v>336</v>
      </c>
      <c r="C253" t="s">
        <v>336</v>
      </c>
      <c r="D253" t="s">
        <v>337</v>
      </c>
      <c r="E253" t="s">
        <v>108</v>
      </c>
      <c r="F253" t="s">
        <v>158</v>
      </c>
      <c r="G253" t="s">
        <v>159</v>
      </c>
      <c r="H253" t="s">
        <v>111</v>
      </c>
      <c r="I253" t="s">
        <v>341</v>
      </c>
      <c r="J253" t="s">
        <v>113</v>
      </c>
      <c r="K253" t="s">
        <v>113</v>
      </c>
      <c r="L253" t="s">
        <v>161</v>
      </c>
      <c r="M253" t="s">
        <v>161</v>
      </c>
      <c r="N253" t="s">
        <v>1219</v>
      </c>
      <c r="O253" t="s">
        <v>1110</v>
      </c>
      <c r="P253" t="s">
        <v>1220</v>
      </c>
      <c r="Q253" t="s">
        <v>114</v>
      </c>
      <c r="R253" t="s">
        <v>180</v>
      </c>
      <c r="S253" t="s">
        <v>114</v>
      </c>
      <c r="T253" t="s">
        <v>180</v>
      </c>
      <c r="V253" t="s">
        <v>114</v>
      </c>
      <c r="W253" t="s">
        <v>1220</v>
      </c>
      <c r="X253" t="s">
        <v>1220</v>
      </c>
      <c r="Y253" t="s">
        <v>2634</v>
      </c>
      <c r="AD253" t="s">
        <v>2635</v>
      </c>
      <c r="AE253" t="s">
        <v>474</v>
      </c>
      <c r="AF253" t="s">
        <v>2636</v>
      </c>
      <c r="AG253" t="s">
        <v>123</v>
      </c>
      <c r="AH253" t="s">
        <v>124</v>
      </c>
      <c r="AJ253" t="s">
        <v>126</v>
      </c>
      <c r="AM253" t="s">
        <v>2637</v>
      </c>
      <c r="AN253" t="s">
        <v>1616</v>
      </c>
      <c r="AO253" t="s">
        <v>2638</v>
      </c>
      <c r="AP253" t="s">
        <v>131</v>
      </c>
      <c r="AQ253" t="s">
        <v>132</v>
      </c>
      <c r="AR253" t="s">
        <v>756</v>
      </c>
      <c r="AS253" t="s">
        <v>1832</v>
      </c>
      <c r="AU253" t="s">
        <v>204</v>
      </c>
      <c r="AW253" t="s">
        <v>317</v>
      </c>
      <c r="AX253" t="s">
        <v>177</v>
      </c>
      <c r="AY253" t="s">
        <v>138</v>
      </c>
    </row>
    <row r="254" spans="1:54" x14ac:dyDescent="0.35">
      <c r="A254" t="s">
        <v>2633</v>
      </c>
      <c r="B254" t="s">
        <v>336</v>
      </c>
      <c r="C254" t="s">
        <v>336</v>
      </c>
      <c r="D254" t="s">
        <v>337</v>
      </c>
      <c r="E254" t="s">
        <v>108</v>
      </c>
      <c r="F254" t="s">
        <v>268</v>
      </c>
      <c r="G254" t="s">
        <v>269</v>
      </c>
      <c r="H254" t="s">
        <v>2268</v>
      </c>
      <c r="I254" t="s">
        <v>271</v>
      </c>
      <c r="J254" t="s">
        <v>113</v>
      </c>
      <c r="K254" t="s">
        <v>113</v>
      </c>
      <c r="L254" t="s">
        <v>114</v>
      </c>
      <c r="M254" t="s">
        <v>114</v>
      </c>
      <c r="N254" t="s">
        <v>114</v>
      </c>
      <c r="O254" t="s">
        <v>114</v>
      </c>
      <c r="P254" t="s">
        <v>114</v>
      </c>
      <c r="Q254" t="s">
        <v>114</v>
      </c>
      <c r="R254" t="s">
        <v>180</v>
      </c>
      <c r="S254" t="s">
        <v>114</v>
      </c>
      <c r="T254" t="s">
        <v>180</v>
      </c>
      <c r="V254" t="s">
        <v>114</v>
      </c>
      <c r="W254" t="s">
        <v>1220</v>
      </c>
      <c r="X254" t="s">
        <v>114</v>
      </c>
      <c r="Y254" t="s">
        <v>2634</v>
      </c>
      <c r="AD254" t="s">
        <v>2635</v>
      </c>
      <c r="AE254" t="s">
        <v>474</v>
      </c>
      <c r="AF254" t="s">
        <v>2636</v>
      </c>
      <c r="AG254" t="s">
        <v>123</v>
      </c>
      <c r="AH254" t="s">
        <v>124</v>
      </c>
      <c r="AJ254" t="s">
        <v>126</v>
      </c>
      <c r="AM254" t="s">
        <v>2637</v>
      </c>
      <c r="AN254" t="s">
        <v>1616</v>
      </c>
      <c r="AO254" t="s">
        <v>2638</v>
      </c>
      <c r="AP254" t="s">
        <v>131</v>
      </c>
      <c r="AQ254" t="s">
        <v>132</v>
      </c>
      <c r="AR254" t="s">
        <v>756</v>
      </c>
      <c r="AS254" t="s">
        <v>1832</v>
      </c>
      <c r="AU254" t="s">
        <v>204</v>
      </c>
      <c r="AW254" t="s">
        <v>317</v>
      </c>
      <c r="AX254" t="s">
        <v>272</v>
      </c>
      <c r="AY254" t="s">
        <v>273</v>
      </c>
    </row>
    <row r="255" spans="1:54" x14ac:dyDescent="0.35">
      <c r="A255" t="s">
        <v>2639</v>
      </c>
      <c r="B255" t="s">
        <v>107</v>
      </c>
      <c r="C255" t="s">
        <v>107</v>
      </c>
      <c r="E255" t="s">
        <v>108</v>
      </c>
      <c r="F255" t="s">
        <v>268</v>
      </c>
      <c r="G255" t="s">
        <v>269</v>
      </c>
      <c r="H255" t="s">
        <v>2268</v>
      </c>
      <c r="I255" t="s">
        <v>271</v>
      </c>
      <c r="J255" t="s">
        <v>113</v>
      </c>
      <c r="K255" t="s">
        <v>114</v>
      </c>
      <c r="L255" t="s">
        <v>114</v>
      </c>
      <c r="M255" t="s">
        <v>114</v>
      </c>
      <c r="N255" t="s">
        <v>114</v>
      </c>
      <c r="O255" t="s">
        <v>114</v>
      </c>
      <c r="P255" t="s">
        <v>114</v>
      </c>
      <c r="Q255" t="s">
        <v>114</v>
      </c>
      <c r="R255" t="s">
        <v>180</v>
      </c>
      <c r="S255" t="s">
        <v>114</v>
      </c>
      <c r="T255" t="s">
        <v>180</v>
      </c>
      <c r="V255" t="s">
        <v>114</v>
      </c>
      <c r="W255" t="s">
        <v>1111</v>
      </c>
      <c r="Y255" t="s">
        <v>2640</v>
      </c>
      <c r="Z255" t="s">
        <v>2641</v>
      </c>
      <c r="AA255" t="s">
        <v>2642</v>
      </c>
      <c r="AB255" t="s">
        <v>2643</v>
      </c>
      <c r="AC255" t="s">
        <v>2641</v>
      </c>
      <c r="AG255" t="s">
        <v>123</v>
      </c>
      <c r="AH255" t="s">
        <v>124</v>
      </c>
      <c r="AI255" t="s">
        <v>2644</v>
      </c>
      <c r="AJ255" t="s">
        <v>126</v>
      </c>
      <c r="AK255" t="s">
        <v>127</v>
      </c>
      <c r="AM255" t="s">
        <v>2645</v>
      </c>
      <c r="AN255" t="s">
        <v>2646</v>
      </c>
      <c r="AO255" t="s">
        <v>2647</v>
      </c>
      <c r="AP255" t="s">
        <v>131</v>
      </c>
      <c r="AQ255" t="s">
        <v>132</v>
      </c>
      <c r="AR255" t="s">
        <v>217</v>
      </c>
      <c r="AS255" t="s">
        <v>2648</v>
      </c>
      <c r="AU255" t="s">
        <v>495</v>
      </c>
      <c r="AW255" t="s">
        <v>136</v>
      </c>
      <c r="AX255" t="s">
        <v>272</v>
      </c>
      <c r="AY255" t="s">
        <v>273</v>
      </c>
      <c r="AZ255" t="s">
        <v>2649</v>
      </c>
      <c r="BB255" t="s">
        <v>140</v>
      </c>
    </row>
    <row r="256" spans="1:54" x14ac:dyDescent="0.35">
      <c r="A256" t="s">
        <v>2639</v>
      </c>
      <c r="B256" t="s">
        <v>107</v>
      </c>
      <c r="C256" t="s">
        <v>107</v>
      </c>
      <c r="E256" t="s">
        <v>108</v>
      </c>
      <c r="F256" t="s">
        <v>158</v>
      </c>
      <c r="G256" t="s">
        <v>159</v>
      </c>
      <c r="H256" t="s">
        <v>111</v>
      </c>
      <c r="I256" t="s">
        <v>341</v>
      </c>
      <c r="J256" t="s">
        <v>113</v>
      </c>
      <c r="K256" t="s">
        <v>114</v>
      </c>
      <c r="L256" t="s">
        <v>161</v>
      </c>
      <c r="M256" t="s">
        <v>161</v>
      </c>
      <c r="N256" t="s">
        <v>114</v>
      </c>
      <c r="O256" t="s">
        <v>1110</v>
      </c>
      <c r="P256" t="s">
        <v>1111</v>
      </c>
      <c r="Q256" t="s">
        <v>114</v>
      </c>
      <c r="R256" t="s">
        <v>180</v>
      </c>
      <c r="S256" t="s">
        <v>114</v>
      </c>
      <c r="T256" t="s">
        <v>180</v>
      </c>
      <c r="V256" t="s">
        <v>114</v>
      </c>
      <c r="W256" t="s">
        <v>1111</v>
      </c>
      <c r="Y256" t="s">
        <v>2640</v>
      </c>
      <c r="Z256" t="s">
        <v>2641</v>
      </c>
      <c r="AA256" t="s">
        <v>2642</v>
      </c>
      <c r="AB256" t="s">
        <v>2643</v>
      </c>
      <c r="AC256" t="s">
        <v>2641</v>
      </c>
      <c r="AG256" t="s">
        <v>123</v>
      </c>
      <c r="AH256" t="s">
        <v>124</v>
      </c>
      <c r="AI256" t="s">
        <v>2644</v>
      </c>
      <c r="AJ256" t="s">
        <v>126</v>
      </c>
      <c r="AK256" t="s">
        <v>127</v>
      </c>
      <c r="AM256" t="s">
        <v>2645</v>
      </c>
      <c r="AN256" t="s">
        <v>2646</v>
      </c>
      <c r="AO256" t="s">
        <v>2647</v>
      </c>
      <c r="AP256" t="s">
        <v>131</v>
      </c>
      <c r="AQ256" t="s">
        <v>132</v>
      </c>
      <c r="AR256" t="s">
        <v>217</v>
      </c>
      <c r="AS256" t="s">
        <v>2648</v>
      </c>
      <c r="AU256" t="s">
        <v>495</v>
      </c>
      <c r="AW256" t="s">
        <v>136</v>
      </c>
      <c r="AX256" t="s">
        <v>177</v>
      </c>
      <c r="AY256" t="s">
        <v>138</v>
      </c>
      <c r="AZ256" t="s">
        <v>2649</v>
      </c>
      <c r="BB256" t="s">
        <v>140</v>
      </c>
    </row>
    <row r="257" spans="1:54" x14ac:dyDescent="0.35">
      <c r="A257" t="s">
        <v>2650</v>
      </c>
      <c r="B257" t="s">
        <v>107</v>
      </c>
      <c r="C257" t="s">
        <v>107</v>
      </c>
      <c r="E257" t="s">
        <v>108</v>
      </c>
      <c r="F257" t="s">
        <v>158</v>
      </c>
      <c r="G257" t="s">
        <v>159</v>
      </c>
      <c r="H257" t="s">
        <v>111</v>
      </c>
      <c r="I257" t="s">
        <v>341</v>
      </c>
      <c r="J257" t="s">
        <v>113</v>
      </c>
      <c r="K257" t="s">
        <v>114</v>
      </c>
      <c r="L257" t="s">
        <v>161</v>
      </c>
      <c r="M257" t="s">
        <v>161</v>
      </c>
      <c r="N257" t="s">
        <v>436</v>
      </c>
      <c r="O257" t="s">
        <v>1110</v>
      </c>
      <c r="P257" t="s">
        <v>1876</v>
      </c>
      <c r="Q257" t="s">
        <v>114</v>
      </c>
      <c r="R257" t="s">
        <v>180</v>
      </c>
      <c r="S257" t="s">
        <v>114</v>
      </c>
      <c r="T257" t="s">
        <v>180</v>
      </c>
      <c r="V257" t="s">
        <v>114</v>
      </c>
      <c r="W257" t="s">
        <v>1876</v>
      </c>
      <c r="Y257" t="s">
        <v>2651</v>
      </c>
      <c r="Z257" t="s">
        <v>2652</v>
      </c>
      <c r="AA257" t="s">
        <v>2653</v>
      </c>
      <c r="AB257" t="s">
        <v>2654</v>
      </c>
      <c r="AC257" t="s">
        <v>2652</v>
      </c>
      <c r="AG257" t="s">
        <v>123</v>
      </c>
      <c r="AH257" t="s">
        <v>124</v>
      </c>
      <c r="AI257" t="s">
        <v>2655</v>
      </c>
      <c r="AJ257" t="s">
        <v>126</v>
      </c>
      <c r="AK257" t="s">
        <v>127</v>
      </c>
      <c r="AM257" t="s">
        <v>2656</v>
      </c>
      <c r="AN257" t="s">
        <v>2657</v>
      </c>
      <c r="AO257" t="s">
        <v>2658</v>
      </c>
      <c r="AP257" t="s">
        <v>131</v>
      </c>
      <c r="AQ257" t="s">
        <v>132</v>
      </c>
      <c r="AR257" t="s">
        <v>352</v>
      </c>
      <c r="AS257" t="s">
        <v>374</v>
      </c>
      <c r="AU257" t="s">
        <v>236</v>
      </c>
      <c r="AW257" t="s">
        <v>136</v>
      </c>
      <c r="AX257" t="s">
        <v>177</v>
      </c>
      <c r="AY257" t="s">
        <v>138</v>
      </c>
      <c r="AZ257" t="s">
        <v>2659</v>
      </c>
      <c r="BB257" t="s">
        <v>140</v>
      </c>
    </row>
    <row r="258" spans="1:54" x14ac:dyDescent="0.35">
      <c r="A258" t="s">
        <v>2650</v>
      </c>
      <c r="B258" t="s">
        <v>107</v>
      </c>
      <c r="C258" t="s">
        <v>107</v>
      </c>
      <c r="E258" t="s">
        <v>108</v>
      </c>
      <c r="F258" t="s">
        <v>268</v>
      </c>
      <c r="G258" t="s">
        <v>269</v>
      </c>
      <c r="H258" t="s">
        <v>2268</v>
      </c>
      <c r="I258" t="s">
        <v>271</v>
      </c>
      <c r="J258" t="s">
        <v>113</v>
      </c>
      <c r="K258" t="s">
        <v>114</v>
      </c>
      <c r="L258" t="s">
        <v>114</v>
      </c>
      <c r="M258" t="s">
        <v>114</v>
      </c>
      <c r="N258" t="s">
        <v>114</v>
      </c>
      <c r="O258" t="s">
        <v>114</v>
      </c>
      <c r="P258" t="s">
        <v>114</v>
      </c>
      <c r="Q258" t="s">
        <v>114</v>
      </c>
      <c r="R258" t="s">
        <v>180</v>
      </c>
      <c r="S258" t="s">
        <v>114</v>
      </c>
      <c r="T258" t="s">
        <v>180</v>
      </c>
      <c r="V258" t="s">
        <v>114</v>
      </c>
      <c r="W258" t="s">
        <v>1876</v>
      </c>
      <c r="Y258" t="s">
        <v>2651</v>
      </c>
      <c r="Z258" t="s">
        <v>2652</v>
      </c>
      <c r="AA258" t="s">
        <v>2653</v>
      </c>
      <c r="AB258" t="s">
        <v>2654</v>
      </c>
      <c r="AC258" t="s">
        <v>2652</v>
      </c>
      <c r="AG258" t="s">
        <v>123</v>
      </c>
      <c r="AH258" t="s">
        <v>124</v>
      </c>
      <c r="AI258" t="s">
        <v>2655</v>
      </c>
      <c r="AJ258" t="s">
        <v>126</v>
      </c>
      <c r="AK258" t="s">
        <v>127</v>
      </c>
      <c r="AM258" t="s">
        <v>2656</v>
      </c>
      <c r="AN258" t="s">
        <v>2657</v>
      </c>
      <c r="AO258" t="s">
        <v>2658</v>
      </c>
      <c r="AP258" t="s">
        <v>131</v>
      </c>
      <c r="AQ258" t="s">
        <v>132</v>
      </c>
      <c r="AR258" t="s">
        <v>352</v>
      </c>
      <c r="AS258" t="s">
        <v>374</v>
      </c>
      <c r="AU258" t="s">
        <v>236</v>
      </c>
      <c r="AW258" t="s">
        <v>136</v>
      </c>
      <c r="AX258" t="s">
        <v>272</v>
      </c>
      <c r="AY258" t="s">
        <v>273</v>
      </c>
      <c r="AZ258" t="s">
        <v>2659</v>
      </c>
      <c r="BB258" t="s">
        <v>140</v>
      </c>
    </row>
    <row r="259" spans="1:54" x14ac:dyDescent="0.35">
      <c r="A259" t="s">
        <v>2660</v>
      </c>
      <c r="B259" t="s">
        <v>107</v>
      </c>
      <c r="C259" t="s">
        <v>107</v>
      </c>
      <c r="E259" t="s">
        <v>108</v>
      </c>
      <c r="F259" t="s">
        <v>158</v>
      </c>
      <c r="G259" t="s">
        <v>159</v>
      </c>
      <c r="H259" t="s">
        <v>111</v>
      </c>
      <c r="I259" t="s">
        <v>341</v>
      </c>
      <c r="J259" t="s">
        <v>113</v>
      </c>
      <c r="K259" t="s">
        <v>114</v>
      </c>
      <c r="L259" t="s">
        <v>161</v>
      </c>
      <c r="M259" t="s">
        <v>161</v>
      </c>
      <c r="N259" t="s">
        <v>114</v>
      </c>
      <c r="O259" t="s">
        <v>1110</v>
      </c>
      <c r="P259" t="s">
        <v>1111</v>
      </c>
      <c r="Q259" t="s">
        <v>996</v>
      </c>
      <c r="R259" t="s">
        <v>118</v>
      </c>
      <c r="S259" t="s">
        <v>114</v>
      </c>
      <c r="T259" t="s">
        <v>997</v>
      </c>
      <c r="V259" t="s">
        <v>114</v>
      </c>
      <c r="W259" t="s">
        <v>2661</v>
      </c>
      <c r="Y259" t="s">
        <v>2662</v>
      </c>
      <c r="Z259" t="s">
        <v>2663</v>
      </c>
      <c r="AA259" t="s">
        <v>2664</v>
      </c>
      <c r="AB259" t="s">
        <v>2665</v>
      </c>
      <c r="AC259" t="s">
        <v>2663</v>
      </c>
      <c r="AG259" t="s">
        <v>123</v>
      </c>
      <c r="AH259" t="s">
        <v>124</v>
      </c>
      <c r="AI259" t="s">
        <v>2666</v>
      </c>
      <c r="AJ259" t="s">
        <v>126</v>
      </c>
      <c r="AK259" t="s">
        <v>127</v>
      </c>
      <c r="AM259" t="s">
        <v>2667</v>
      </c>
      <c r="AN259" t="s">
        <v>2668</v>
      </c>
      <c r="AO259" t="s">
        <v>2669</v>
      </c>
      <c r="AP259" t="s">
        <v>131</v>
      </c>
      <c r="AQ259" t="s">
        <v>132</v>
      </c>
      <c r="AR259" t="s">
        <v>989</v>
      </c>
      <c r="AS259" t="s">
        <v>2670</v>
      </c>
      <c r="AU259" t="s">
        <v>354</v>
      </c>
      <c r="AW259" t="s">
        <v>136</v>
      </c>
      <c r="AX259" t="s">
        <v>177</v>
      </c>
      <c r="AY259" t="s">
        <v>138</v>
      </c>
      <c r="AZ259" t="s">
        <v>2671</v>
      </c>
      <c r="BB259" t="s">
        <v>140</v>
      </c>
    </row>
    <row r="260" spans="1:54" x14ac:dyDescent="0.35">
      <c r="A260" t="s">
        <v>2660</v>
      </c>
      <c r="B260" t="s">
        <v>107</v>
      </c>
      <c r="C260" t="s">
        <v>107</v>
      </c>
      <c r="E260" t="s">
        <v>108</v>
      </c>
      <c r="F260" t="s">
        <v>268</v>
      </c>
      <c r="G260" t="s">
        <v>269</v>
      </c>
      <c r="H260" t="s">
        <v>2268</v>
      </c>
      <c r="I260" t="s">
        <v>271</v>
      </c>
      <c r="J260" t="s">
        <v>113</v>
      </c>
      <c r="K260" t="s">
        <v>114</v>
      </c>
      <c r="L260" t="s">
        <v>114</v>
      </c>
      <c r="M260" t="s">
        <v>114</v>
      </c>
      <c r="N260" t="s">
        <v>114</v>
      </c>
      <c r="O260" t="s">
        <v>114</v>
      </c>
      <c r="P260" t="s">
        <v>114</v>
      </c>
      <c r="Q260" t="s">
        <v>996</v>
      </c>
      <c r="R260" t="s">
        <v>118</v>
      </c>
      <c r="S260" t="s">
        <v>114</v>
      </c>
      <c r="T260" t="s">
        <v>997</v>
      </c>
      <c r="V260" t="s">
        <v>114</v>
      </c>
      <c r="W260" t="s">
        <v>2661</v>
      </c>
      <c r="Y260" t="s">
        <v>2662</v>
      </c>
      <c r="Z260" t="s">
        <v>2663</v>
      </c>
      <c r="AA260" t="s">
        <v>2664</v>
      </c>
      <c r="AB260" t="s">
        <v>2665</v>
      </c>
      <c r="AC260" t="s">
        <v>2663</v>
      </c>
      <c r="AG260" t="s">
        <v>123</v>
      </c>
      <c r="AH260" t="s">
        <v>124</v>
      </c>
      <c r="AI260" t="s">
        <v>2666</v>
      </c>
      <c r="AJ260" t="s">
        <v>126</v>
      </c>
      <c r="AK260" t="s">
        <v>127</v>
      </c>
      <c r="AM260" t="s">
        <v>2667</v>
      </c>
      <c r="AN260" t="s">
        <v>2668</v>
      </c>
      <c r="AO260" t="s">
        <v>2669</v>
      </c>
      <c r="AP260" t="s">
        <v>131</v>
      </c>
      <c r="AQ260" t="s">
        <v>132</v>
      </c>
      <c r="AR260" t="s">
        <v>989</v>
      </c>
      <c r="AS260" t="s">
        <v>2670</v>
      </c>
      <c r="AU260" t="s">
        <v>354</v>
      </c>
      <c r="AW260" t="s">
        <v>136</v>
      </c>
      <c r="AX260" t="s">
        <v>272</v>
      </c>
      <c r="AY260" t="s">
        <v>273</v>
      </c>
      <c r="AZ260" t="s">
        <v>2671</v>
      </c>
      <c r="BB260" t="s">
        <v>140</v>
      </c>
    </row>
    <row r="261" spans="1:54" x14ac:dyDescent="0.35">
      <c r="A261" t="s">
        <v>2672</v>
      </c>
      <c r="B261" t="s">
        <v>107</v>
      </c>
      <c r="C261" t="s">
        <v>107</v>
      </c>
      <c r="E261" t="s">
        <v>108</v>
      </c>
      <c r="F261" t="s">
        <v>158</v>
      </c>
      <c r="G261" t="s">
        <v>159</v>
      </c>
      <c r="H261" t="s">
        <v>111</v>
      </c>
      <c r="I261" t="s">
        <v>341</v>
      </c>
      <c r="J261" t="s">
        <v>113</v>
      </c>
      <c r="K261" t="s">
        <v>114</v>
      </c>
      <c r="L261" t="s">
        <v>161</v>
      </c>
      <c r="M261" t="s">
        <v>161</v>
      </c>
      <c r="N261" t="s">
        <v>114</v>
      </c>
      <c r="O261" t="s">
        <v>1110</v>
      </c>
      <c r="P261" t="s">
        <v>1111</v>
      </c>
      <c r="Q261" t="s">
        <v>114</v>
      </c>
      <c r="R261" t="s">
        <v>180</v>
      </c>
      <c r="S261" t="s">
        <v>114</v>
      </c>
      <c r="T261" t="s">
        <v>180</v>
      </c>
      <c r="V261" t="s">
        <v>114</v>
      </c>
      <c r="W261" t="s">
        <v>1111</v>
      </c>
      <c r="Y261" t="s">
        <v>2673</v>
      </c>
      <c r="Z261" t="s">
        <v>2674</v>
      </c>
      <c r="AA261" t="s">
        <v>2675</v>
      </c>
      <c r="AB261" t="s">
        <v>2676</v>
      </c>
      <c r="AC261" t="s">
        <v>2674</v>
      </c>
      <c r="AG261" t="s">
        <v>123</v>
      </c>
      <c r="AH261" t="s">
        <v>124</v>
      </c>
      <c r="AI261" t="s">
        <v>2677</v>
      </c>
      <c r="AJ261" t="s">
        <v>126</v>
      </c>
      <c r="AK261" t="s">
        <v>127</v>
      </c>
      <c r="AM261" t="s">
        <v>2678</v>
      </c>
      <c r="AN261" t="s">
        <v>2679</v>
      </c>
      <c r="AO261" t="s">
        <v>2680</v>
      </c>
      <c r="AP261" t="s">
        <v>131</v>
      </c>
      <c r="AQ261" t="s">
        <v>403</v>
      </c>
      <c r="AR261" t="s">
        <v>796</v>
      </c>
      <c r="AS261" t="s">
        <v>2681</v>
      </c>
      <c r="AU261" t="s">
        <v>1072</v>
      </c>
      <c r="AW261" t="s">
        <v>136</v>
      </c>
      <c r="AX261" t="s">
        <v>177</v>
      </c>
      <c r="AY261" t="s">
        <v>138</v>
      </c>
      <c r="AZ261" t="s">
        <v>2682</v>
      </c>
      <c r="BB261" t="s">
        <v>140</v>
      </c>
    </row>
    <row r="262" spans="1:54" x14ac:dyDescent="0.35">
      <c r="A262" t="s">
        <v>2672</v>
      </c>
      <c r="B262" t="s">
        <v>107</v>
      </c>
      <c r="C262" t="s">
        <v>107</v>
      </c>
      <c r="E262" t="s">
        <v>108</v>
      </c>
      <c r="F262" t="s">
        <v>268</v>
      </c>
      <c r="G262" t="s">
        <v>269</v>
      </c>
      <c r="H262" t="s">
        <v>2268</v>
      </c>
      <c r="I262" t="s">
        <v>271</v>
      </c>
      <c r="J262" t="s">
        <v>113</v>
      </c>
      <c r="K262" t="s">
        <v>114</v>
      </c>
      <c r="L262" t="s">
        <v>114</v>
      </c>
      <c r="M262" t="s">
        <v>114</v>
      </c>
      <c r="N262" t="s">
        <v>114</v>
      </c>
      <c r="O262" t="s">
        <v>114</v>
      </c>
      <c r="P262" t="s">
        <v>114</v>
      </c>
      <c r="Q262" t="s">
        <v>114</v>
      </c>
      <c r="R262" t="s">
        <v>180</v>
      </c>
      <c r="S262" t="s">
        <v>114</v>
      </c>
      <c r="T262" t="s">
        <v>180</v>
      </c>
      <c r="V262" t="s">
        <v>114</v>
      </c>
      <c r="W262" t="s">
        <v>1111</v>
      </c>
      <c r="Y262" t="s">
        <v>2673</v>
      </c>
      <c r="Z262" t="s">
        <v>2674</v>
      </c>
      <c r="AA262" t="s">
        <v>2675</v>
      </c>
      <c r="AB262" t="s">
        <v>2676</v>
      </c>
      <c r="AC262" t="s">
        <v>2674</v>
      </c>
      <c r="AG262" t="s">
        <v>123</v>
      </c>
      <c r="AH262" t="s">
        <v>124</v>
      </c>
      <c r="AI262" t="s">
        <v>2677</v>
      </c>
      <c r="AJ262" t="s">
        <v>126</v>
      </c>
      <c r="AK262" t="s">
        <v>127</v>
      </c>
      <c r="AM262" t="s">
        <v>2678</v>
      </c>
      <c r="AN262" t="s">
        <v>2679</v>
      </c>
      <c r="AO262" t="s">
        <v>2680</v>
      </c>
      <c r="AP262" t="s">
        <v>131</v>
      </c>
      <c r="AQ262" t="s">
        <v>403</v>
      </c>
      <c r="AR262" t="s">
        <v>796</v>
      </c>
      <c r="AS262" t="s">
        <v>2681</v>
      </c>
      <c r="AU262" t="s">
        <v>1072</v>
      </c>
      <c r="AW262" t="s">
        <v>136</v>
      </c>
      <c r="AX262" t="s">
        <v>272</v>
      </c>
      <c r="AY262" t="s">
        <v>273</v>
      </c>
      <c r="AZ262" t="s">
        <v>2682</v>
      </c>
      <c r="BB262" t="s">
        <v>140</v>
      </c>
    </row>
    <row r="263" spans="1:54" x14ac:dyDescent="0.35">
      <c r="A263" t="s">
        <v>2683</v>
      </c>
      <c r="B263" t="s">
        <v>107</v>
      </c>
      <c r="C263" t="s">
        <v>107</v>
      </c>
      <c r="F263" t="s">
        <v>533</v>
      </c>
      <c r="G263" t="s">
        <v>534</v>
      </c>
      <c r="H263" t="s">
        <v>2360</v>
      </c>
      <c r="I263" t="s">
        <v>536</v>
      </c>
      <c r="J263" t="s">
        <v>113</v>
      </c>
      <c r="K263" t="s">
        <v>114</v>
      </c>
      <c r="L263" t="s">
        <v>114</v>
      </c>
      <c r="M263" t="s">
        <v>114</v>
      </c>
      <c r="N263" t="s">
        <v>114</v>
      </c>
      <c r="O263" t="s">
        <v>114</v>
      </c>
      <c r="P263" t="s">
        <v>114</v>
      </c>
      <c r="Q263" t="s">
        <v>114</v>
      </c>
      <c r="R263" t="s">
        <v>114</v>
      </c>
      <c r="S263" t="s">
        <v>114</v>
      </c>
      <c r="T263" t="s">
        <v>114</v>
      </c>
      <c r="V263" t="s">
        <v>114</v>
      </c>
      <c r="W263" t="s">
        <v>114</v>
      </c>
      <c r="Y263" t="s">
        <v>2684</v>
      </c>
      <c r="Z263" t="s">
        <v>2684</v>
      </c>
      <c r="AA263" t="s">
        <v>2685</v>
      </c>
      <c r="AB263" t="s">
        <v>2686</v>
      </c>
      <c r="AC263" t="s">
        <v>2687</v>
      </c>
      <c r="AG263" t="s">
        <v>123</v>
      </c>
      <c r="AH263" t="s">
        <v>124</v>
      </c>
      <c r="AI263" t="s">
        <v>2688</v>
      </c>
      <c r="AJ263" t="s">
        <v>126</v>
      </c>
      <c r="AK263" t="s">
        <v>127</v>
      </c>
      <c r="AM263" t="s">
        <v>2689</v>
      </c>
      <c r="AN263" t="s">
        <v>2690</v>
      </c>
      <c r="AO263" t="s">
        <v>2691</v>
      </c>
      <c r="AP263" t="s">
        <v>131</v>
      </c>
      <c r="AQ263" t="s">
        <v>132</v>
      </c>
      <c r="AR263" t="s">
        <v>2402</v>
      </c>
      <c r="AS263" t="s">
        <v>2692</v>
      </c>
      <c r="AU263" t="s">
        <v>940</v>
      </c>
      <c r="AX263" t="s">
        <v>547</v>
      </c>
      <c r="AY263" t="s">
        <v>364</v>
      </c>
      <c r="AZ263" t="s">
        <v>2693</v>
      </c>
      <c r="BB263" t="s">
        <v>140</v>
      </c>
    </row>
    <row r="264" spans="1:54" x14ac:dyDescent="0.35">
      <c r="A264" t="s">
        <v>2694</v>
      </c>
      <c r="B264" t="s">
        <v>107</v>
      </c>
      <c r="C264" t="s">
        <v>107</v>
      </c>
      <c r="F264" t="s">
        <v>158</v>
      </c>
      <c r="G264" t="s">
        <v>159</v>
      </c>
      <c r="H264" t="s">
        <v>111</v>
      </c>
      <c r="I264" t="s">
        <v>341</v>
      </c>
      <c r="J264" t="s">
        <v>113</v>
      </c>
      <c r="K264" t="s">
        <v>114</v>
      </c>
      <c r="L264" t="s">
        <v>114</v>
      </c>
      <c r="M264" t="s">
        <v>114</v>
      </c>
      <c r="N264" t="s">
        <v>114</v>
      </c>
      <c r="O264" t="s">
        <v>114</v>
      </c>
      <c r="P264" t="s">
        <v>114</v>
      </c>
      <c r="Q264" t="s">
        <v>114</v>
      </c>
      <c r="R264" t="s">
        <v>114</v>
      </c>
      <c r="S264" t="s">
        <v>114</v>
      </c>
      <c r="T264" t="s">
        <v>114</v>
      </c>
      <c r="V264" t="s">
        <v>114</v>
      </c>
      <c r="W264" t="s">
        <v>114</v>
      </c>
      <c r="Y264" t="s">
        <v>2695</v>
      </c>
      <c r="Z264" t="s">
        <v>2695</v>
      </c>
      <c r="AA264" t="s">
        <v>2696</v>
      </c>
      <c r="AB264" t="s">
        <v>2697</v>
      </c>
      <c r="AC264" t="s">
        <v>2698</v>
      </c>
      <c r="AG264" t="s">
        <v>123</v>
      </c>
      <c r="AH264" t="s">
        <v>124</v>
      </c>
      <c r="AI264" t="s">
        <v>2699</v>
      </c>
      <c r="AJ264" t="s">
        <v>126</v>
      </c>
      <c r="AK264" t="s">
        <v>127</v>
      </c>
      <c r="AM264" t="s">
        <v>2700</v>
      </c>
      <c r="AN264" t="s">
        <v>2701</v>
      </c>
      <c r="AO264" t="s">
        <v>2702</v>
      </c>
      <c r="AP264" t="s">
        <v>131</v>
      </c>
      <c r="AQ264" t="s">
        <v>132</v>
      </c>
      <c r="AR264" t="s">
        <v>1318</v>
      </c>
      <c r="AS264" t="s">
        <v>1319</v>
      </c>
      <c r="AU264" t="s">
        <v>236</v>
      </c>
      <c r="AX264" t="s">
        <v>177</v>
      </c>
      <c r="AY264" t="s">
        <v>138</v>
      </c>
      <c r="AZ264" t="s">
        <v>2703</v>
      </c>
      <c r="BB264" t="s">
        <v>140</v>
      </c>
    </row>
    <row r="265" spans="1:54" x14ac:dyDescent="0.35">
      <c r="A265" t="s">
        <v>2704</v>
      </c>
      <c r="B265" t="s">
        <v>107</v>
      </c>
      <c r="C265" t="s">
        <v>107</v>
      </c>
      <c r="F265" t="s">
        <v>158</v>
      </c>
      <c r="G265" t="s">
        <v>159</v>
      </c>
      <c r="H265" t="s">
        <v>111</v>
      </c>
      <c r="I265" t="s">
        <v>341</v>
      </c>
      <c r="J265" t="s">
        <v>113</v>
      </c>
      <c r="K265" t="s">
        <v>114</v>
      </c>
      <c r="L265" t="s">
        <v>114</v>
      </c>
      <c r="M265" t="s">
        <v>114</v>
      </c>
      <c r="N265" t="s">
        <v>114</v>
      </c>
      <c r="O265" t="s">
        <v>114</v>
      </c>
      <c r="P265" t="s">
        <v>114</v>
      </c>
      <c r="Q265" t="s">
        <v>114</v>
      </c>
      <c r="R265" t="s">
        <v>114</v>
      </c>
      <c r="S265" t="s">
        <v>114</v>
      </c>
      <c r="T265" t="s">
        <v>114</v>
      </c>
      <c r="V265" t="s">
        <v>114</v>
      </c>
      <c r="W265" t="s">
        <v>114</v>
      </c>
      <c r="Y265" t="s">
        <v>2705</v>
      </c>
      <c r="Z265" t="s">
        <v>2705</v>
      </c>
      <c r="AA265" t="s">
        <v>2706</v>
      </c>
      <c r="AB265" t="s">
        <v>2707</v>
      </c>
      <c r="AC265" t="s">
        <v>2708</v>
      </c>
      <c r="AG265" t="s">
        <v>123</v>
      </c>
      <c r="AH265" t="s">
        <v>124</v>
      </c>
      <c r="AI265" t="s">
        <v>2709</v>
      </c>
      <c r="AJ265" t="s">
        <v>126</v>
      </c>
      <c r="AK265" t="s">
        <v>127</v>
      </c>
      <c r="AM265" t="s">
        <v>2710</v>
      </c>
      <c r="AN265" t="s">
        <v>2711</v>
      </c>
      <c r="AO265" t="s">
        <v>2712</v>
      </c>
      <c r="AP265" t="s">
        <v>131</v>
      </c>
      <c r="AQ265" t="s">
        <v>132</v>
      </c>
      <c r="AR265" t="s">
        <v>352</v>
      </c>
      <c r="AS265" t="s">
        <v>2713</v>
      </c>
      <c r="AU265" t="s">
        <v>434</v>
      </c>
      <c r="AV265" t="s">
        <v>191</v>
      </c>
      <c r="AX265" t="s">
        <v>177</v>
      </c>
      <c r="AY265" t="s">
        <v>138</v>
      </c>
      <c r="AZ265" t="s">
        <v>2714</v>
      </c>
      <c r="BB265" t="s">
        <v>140</v>
      </c>
    </row>
    <row r="266" spans="1:54" x14ac:dyDescent="0.35">
      <c r="A266" t="s">
        <v>2715</v>
      </c>
      <c r="B266" t="s">
        <v>107</v>
      </c>
      <c r="C266" t="s">
        <v>107</v>
      </c>
      <c r="F266" t="s">
        <v>158</v>
      </c>
      <c r="G266" t="s">
        <v>159</v>
      </c>
      <c r="H266" t="s">
        <v>111</v>
      </c>
      <c r="I266" t="s">
        <v>341</v>
      </c>
      <c r="J266" t="s">
        <v>113</v>
      </c>
      <c r="K266" t="s">
        <v>114</v>
      </c>
      <c r="L266" t="s">
        <v>114</v>
      </c>
      <c r="M266" t="s">
        <v>114</v>
      </c>
      <c r="N266" t="s">
        <v>114</v>
      </c>
      <c r="O266" t="s">
        <v>114</v>
      </c>
      <c r="P266" t="s">
        <v>114</v>
      </c>
      <c r="Q266" t="s">
        <v>114</v>
      </c>
      <c r="R266" t="s">
        <v>114</v>
      </c>
      <c r="S266" t="s">
        <v>114</v>
      </c>
      <c r="T266" t="s">
        <v>114</v>
      </c>
      <c r="V266" t="s">
        <v>114</v>
      </c>
      <c r="W266" t="s">
        <v>114</v>
      </c>
      <c r="Y266" t="s">
        <v>2705</v>
      </c>
      <c r="Z266" t="s">
        <v>2716</v>
      </c>
      <c r="AA266" t="s">
        <v>2706</v>
      </c>
      <c r="AB266" t="s">
        <v>2717</v>
      </c>
      <c r="AC266" t="s">
        <v>2718</v>
      </c>
      <c r="AG266" t="s">
        <v>123</v>
      </c>
      <c r="AH266" t="s">
        <v>124</v>
      </c>
      <c r="AI266" t="s">
        <v>2719</v>
      </c>
      <c r="AJ266" t="s">
        <v>126</v>
      </c>
      <c r="AK266" t="s">
        <v>127</v>
      </c>
      <c r="AM266" t="s">
        <v>2720</v>
      </c>
      <c r="AN266" t="s">
        <v>2721</v>
      </c>
      <c r="AO266" t="s">
        <v>2722</v>
      </c>
      <c r="AP266" t="s">
        <v>131</v>
      </c>
      <c r="AQ266" t="s">
        <v>132</v>
      </c>
      <c r="AR266" t="s">
        <v>152</v>
      </c>
      <c r="AS266" t="s">
        <v>609</v>
      </c>
      <c r="AU266" t="s">
        <v>639</v>
      </c>
      <c r="AV266" t="s">
        <v>1072</v>
      </c>
      <c r="AX266" t="s">
        <v>177</v>
      </c>
      <c r="AY266" t="s">
        <v>138</v>
      </c>
      <c r="AZ266" t="s">
        <v>2723</v>
      </c>
      <c r="BB266" t="s">
        <v>140</v>
      </c>
    </row>
    <row r="267" spans="1:54" x14ac:dyDescent="0.35">
      <c r="A267" t="s">
        <v>2724</v>
      </c>
      <c r="B267" t="s">
        <v>107</v>
      </c>
      <c r="C267" t="s">
        <v>107</v>
      </c>
      <c r="E267" t="s">
        <v>108</v>
      </c>
      <c r="F267" t="s">
        <v>158</v>
      </c>
      <c r="G267" t="s">
        <v>159</v>
      </c>
      <c r="H267" t="s">
        <v>111</v>
      </c>
      <c r="I267" t="s">
        <v>341</v>
      </c>
      <c r="J267" t="s">
        <v>113</v>
      </c>
      <c r="K267" t="s">
        <v>114</v>
      </c>
      <c r="L267" t="s">
        <v>161</v>
      </c>
      <c r="M267" t="s">
        <v>161</v>
      </c>
      <c r="N267" t="s">
        <v>114</v>
      </c>
      <c r="O267" t="s">
        <v>1110</v>
      </c>
      <c r="P267" t="s">
        <v>1111</v>
      </c>
      <c r="Q267" t="s">
        <v>114</v>
      </c>
      <c r="R267" t="s">
        <v>2725</v>
      </c>
      <c r="S267" t="s">
        <v>114</v>
      </c>
      <c r="T267" t="s">
        <v>2725</v>
      </c>
      <c r="V267" t="s">
        <v>114</v>
      </c>
      <c r="W267" t="s">
        <v>1111</v>
      </c>
      <c r="Y267" t="s">
        <v>2726</v>
      </c>
      <c r="Z267" t="s">
        <v>2727</v>
      </c>
      <c r="AA267" t="s">
        <v>2706</v>
      </c>
      <c r="AB267" t="s">
        <v>2728</v>
      </c>
      <c r="AC267" t="s">
        <v>2727</v>
      </c>
      <c r="AG267" t="s">
        <v>123</v>
      </c>
      <c r="AH267" t="s">
        <v>124</v>
      </c>
      <c r="AI267" t="s">
        <v>2729</v>
      </c>
      <c r="AJ267" t="s">
        <v>126</v>
      </c>
      <c r="AK267" t="s">
        <v>127</v>
      </c>
      <c r="AM267" t="s">
        <v>2730</v>
      </c>
      <c r="AN267" t="s">
        <v>1530</v>
      </c>
      <c r="AO267" t="s">
        <v>2731</v>
      </c>
      <c r="AP267" t="s">
        <v>131</v>
      </c>
      <c r="AQ267" t="s">
        <v>132</v>
      </c>
      <c r="AR267" t="s">
        <v>404</v>
      </c>
      <c r="AS267" t="s">
        <v>1292</v>
      </c>
      <c r="AU267" t="s">
        <v>265</v>
      </c>
      <c r="AV267" t="s">
        <v>1107</v>
      </c>
      <c r="AW267" t="s">
        <v>136</v>
      </c>
      <c r="AX267" t="s">
        <v>177</v>
      </c>
      <c r="AY267" t="s">
        <v>138</v>
      </c>
      <c r="AZ267" t="s">
        <v>2732</v>
      </c>
      <c r="BB267" t="s">
        <v>140</v>
      </c>
    </row>
    <row r="268" spans="1:54" x14ac:dyDescent="0.35">
      <c r="A268" t="s">
        <v>2724</v>
      </c>
      <c r="B268" t="s">
        <v>107</v>
      </c>
      <c r="C268" t="s">
        <v>107</v>
      </c>
      <c r="E268" t="s">
        <v>108</v>
      </c>
      <c r="F268" t="s">
        <v>268</v>
      </c>
      <c r="G268" t="s">
        <v>269</v>
      </c>
      <c r="H268" t="s">
        <v>2268</v>
      </c>
      <c r="I268" t="s">
        <v>271</v>
      </c>
      <c r="J268" t="s">
        <v>113</v>
      </c>
      <c r="K268" t="s">
        <v>114</v>
      </c>
      <c r="L268" t="s">
        <v>114</v>
      </c>
      <c r="M268" t="s">
        <v>114</v>
      </c>
      <c r="N268" t="s">
        <v>114</v>
      </c>
      <c r="O268" t="s">
        <v>114</v>
      </c>
      <c r="P268" t="s">
        <v>114</v>
      </c>
      <c r="Q268" t="s">
        <v>114</v>
      </c>
      <c r="R268" t="s">
        <v>2725</v>
      </c>
      <c r="S268" t="s">
        <v>114</v>
      </c>
      <c r="T268" t="s">
        <v>2725</v>
      </c>
      <c r="V268" t="s">
        <v>114</v>
      </c>
      <c r="W268" t="s">
        <v>1111</v>
      </c>
      <c r="Y268" t="s">
        <v>2726</v>
      </c>
      <c r="Z268" t="s">
        <v>2727</v>
      </c>
      <c r="AA268" t="s">
        <v>2706</v>
      </c>
      <c r="AB268" t="s">
        <v>2728</v>
      </c>
      <c r="AC268" t="s">
        <v>2727</v>
      </c>
      <c r="AG268" t="s">
        <v>123</v>
      </c>
      <c r="AH268" t="s">
        <v>124</v>
      </c>
      <c r="AI268" t="s">
        <v>2729</v>
      </c>
      <c r="AJ268" t="s">
        <v>126</v>
      </c>
      <c r="AK268" t="s">
        <v>127</v>
      </c>
      <c r="AM268" t="s">
        <v>2730</v>
      </c>
      <c r="AN268" t="s">
        <v>1530</v>
      </c>
      <c r="AO268" t="s">
        <v>2731</v>
      </c>
      <c r="AP268" t="s">
        <v>131</v>
      </c>
      <c r="AQ268" t="s">
        <v>132</v>
      </c>
      <c r="AR268" t="s">
        <v>404</v>
      </c>
      <c r="AS268" t="s">
        <v>1292</v>
      </c>
      <c r="AU268" t="s">
        <v>265</v>
      </c>
      <c r="AV268" t="s">
        <v>1107</v>
      </c>
      <c r="AW268" t="s">
        <v>136</v>
      </c>
      <c r="AX268" t="s">
        <v>272</v>
      </c>
      <c r="AY268" t="s">
        <v>273</v>
      </c>
      <c r="AZ268" t="s">
        <v>2732</v>
      </c>
      <c r="BB268" t="s">
        <v>140</v>
      </c>
    </row>
    <row r="269" spans="1:54" x14ac:dyDescent="0.35">
      <c r="A269" t="s">
        <v>2733</v>
      </c>
      <c r="B269" t="s">
        <v>107</v>
      </c>
      <c r="C269" t="s">
        <v>107</v>
      </c>
      <c r="E269" t="s">
        <v>108</v>
      </c>
      <c r="F269" t="s">
        <v>268</v>
      </c>
      <c r="G269" t="s">
        <v>269</v>
      </c>
      <c r="H269" t="s">
        <v>2268</v>
      </c>
      <c r="I269" t="s">
        <v>271</v>
      </c>
      <c r="J269" t="s">
        <v>113</v>
      </c>
      <c r="K269" t="s">
        <v>114</v>
      </c>
      <c r="L269" t="s">
        <v>114</v>
      </c>
      <c r="M269" t="s">
        <v>114</v>
      </c>
      <c r="N269" t="s">
        <v>114</v>
      </c>
      <c r="O269" t="s">
        <v>114</v>
      </c>
      <c r="P269" t="s">
        <v>114</v>
      </c>
      <c r="Q269" t="s">
        <v>114</v>
      </c>
      <c r="R269" t="s">
        <v>142</v>
      </c>
      <c r="S269" t="s">
        <v>114</v>
      </c>
      <c r="T269" t="s">
        <v>142</v>
      </c>
      <c r="V269" t="s">
        <v>114</v>
      </c>
      <c r="W269" t="s">
        <v>1111</v>
      </c>
      <c r="Y269" t="s">
        <v>2734</v>
      </c>
      <c r="Z269" t="s">
        <v>2735</v>
      </c>
      <c r="AA269" t="s">
        <v>2736</v>
      </c>
      <c r="AB269" t="s">
        <v>2737</v>
      </c>
      <c r="AC269" t="s">
        <v>2738</v>
      </c>
      <c r="AG269" t="s">
        <v>123</v>
      </c>
      <c r="AH269" t="s">
        <v>124</v>
      </c>
      <c r="AI269" t="s">
        <v>2739</v>
      </c>
      <c r="AJ269" t="s">
        <v>126</v>
      </c>
      <c r="AK269" t="s">
        <v>127</v>
      </c>
      <c r="AM269" t="s">
        <v>2740</v>
      </c>
      <c r="AN269" t="s">
        <v>2741</v>
      </c>
      <c r="AO269" t="s">
        <v>2742</v>
      </c>
      <c r="AP269" t="s">
        <v>131</v>
      </c>
      <c r="AQ269" t="s">
        <v>233</v>
      </c>
      <c r="AR269" t="s">
        <v>234</v>
      </c>
      <c r="AS269" t="s">
        <v>1884</v>
      </c>
      <c r="AU269" t="s">
        <v>2743</v>
      </c>
      <c r="AW269" t="s">
        <v>176</v>
      </c>
      <c r="AX269" t="s">
        <v>272</v>
      </c>
      <c r="AY269" t="s">
        <v>273</v>
      </c>
      <c r="AZ269" t="s">
        <v>2744</v>
      </c>
      <c r="BB269" t="s">
        <v>140</v>
      </c>
    </row>
    <row r="270" spans="1:54" x14ac:dyDescent="0.35">
      <c r="A270" t="s">
        <v>2733</v>
      </c>
      <c r="B270" t="s">
        <v>107</v>
      </c>
      <c r="C270" t="s">
        <v>107</v>
      </c>
      <c r="E270" t="s">
        <v>108</v>
      </c>
      <c r="F270" t="s">
        <v>158</v>
      </c>
      <c r="G270" t="s">
        <v>159</v>
      </c>
      <c r="H270" t="s">
        <v>111</v>
      </c>
      <c r="I270" t="s">
        <v>341</v>
      </c>
      <c r="J270" t="s">
        <v>113</v>
      </c>
      <c r="K270" t="s">
        <v>114</v>
      </c>
      <c r="L270" t="s">
        <v>161</v>
      </c>
      <c r="M270" t="s">
        <v>161</v>
      </c>
      <c r="N270" t="s">
        <v>114</v>
      </c>
      <c r="O270" t="s">
        <v>1110</v>
      </c>
      <c r="P270" t="s">
        <v>1111</v>
      </c>
      <c r="Q270" t="s">
        <v>114</v>
      </c>
      <c r="R270" t="s">
        <v>142</v>
      </c>
      <c r="S270" t="s">
        <v>114</v>
      </c>
      <c r="T270" t="s">
        <v>142</v>
      </c>
      <c r="V270" t="s">
        <v>114</v>
      </c>
      <c r="W270" t="s">
        <v>1111</v>
      </c>
      <c r="Y270" t="s">
        <v>2734</v>
      </c>
      <c r="Z270" t="s">
        <v>2735</v>
      </c>
      <c r="AA270" t="s">
        <v>2736</v>
      </c>
      <c r="AB270" t="s">
        <v>2737</v>
      </c>
      <c r="AC270" t="s">
        <v>2738</v>
      </c>
      <c r="AG270" t="s">
        <v>123</v>
      </c>
      <c r="AH270" t="s">
        <v>124</v>
      </c>
      <c r="AI270" t="s">
        <v>2739</v>
      </c>
      <c r="AJ270" t="s">
        <v>126</v>
      </c>
      <c r="AK270" t="s">
        <v>127</v>
      </c>
      <c r="AM270" t="s">
        <v>2740</v>
      </c>
      <c r="AN270" t="s">
        <v>2741</v>
      </c>
      <c r="AO270" t="s">
        <v>2742</v>
      </c>
      <c r="AP270" t="s">
        <v>131</v>
      </c>
      <c r="AQ270" t="s">
        <v>233</v>
      </c>
      <c r="AR270" t="s">
        <v>234</v>
      </c>
      <c r="AS270" t="s">
        <v>1884</v>
      </c>
      <c r="AU270" t="s">
        <v>2743</v>
      </c>
      <c r="AW270" t="s">
        <v>176</v>
      </c>
      <c r="AX270" t="s">
        <v>177</v>
      </c>
      <c r="AY270" t="s">
        <v>138</v>
      </c>
      <c r="AZ270" t="s">
        <v>2744</v>
      </c>
      <c r="BB270" t="s">
        <v>140</v>
      </c>
    </row>
    <row r="271" spans="1:54" x14ac:dyDescent="0.35">
      <c r="A271" t="s">
        <v>2745</v>
      </c>
      <c r="B271" t="s">
        <v>107</v>
      </c>
      <c r="C271" t="s">
        <v>107</v>
      </c>
      <c r="F271" t="s">
        <v>358</v>
      </c>
      <c r="G271" t="s">
        <v>359</v>
      </c>
      <c r="H271" t="s">
        <v>360</v>
      </c>
      <c r="I271" t="s">
        <v>341</v>
      </c>
      <c r="J271" t="s">
        <v>113</v>
      </c>
      <c r="K271" t="s">
        <v>114</v>
      </c>
      <c r="L271" t="s">
        <v>114</v>
      </c>
      <c r="M271" t="s">
        <v>114</v>
      </c>
      <c r="N271" t="s">
        <v>114</v>
      </c>
      <c r="O271" t="s">
        <v>114</v>
      </c>
      <c r="P271" t="s">
        <v>114</v>
      </c>
      <c r="Q271" t="s">
        <v>114</v>
      </c>
      <c r="R271" t="s">
        <v>114</v>
      </c>
      <c r="S271" t="s">
        <v>114</v>
      </c>
      <c r="T271" t="s">
        <v>114</v>
      </c>
      <c r="V271" t="s">
        <v>114</v>
      </c>
      <c r="W271" t="s">
        <v>114</v>
      </c>
      <c r="Y271" t="s">
        <v>2746</v>
      </c>
      <c r="Z271" t="s">
        <v>2746</v>
      </c>
      <c r="AA271" t="s">
        <v>2747</v>
      </c>
      <c r="AB271" t="s">
        <v>2748</v>
      </c>
      <c r="AC271" t="s">
        <v>2749</v>
      </c>
      <c r="AG271" t="s">
        <v>123</v>
      </c>
      <c r="AH271" t="s">
        <v>124</v>
      </c>
      <c r="AI271" t="s">
        <v>2750</v>
      </c>
      <c r="AJ271" t="s">
        <v>126</v>
      </c>
      <c r="AK271" t="s">
        <v>127</v>
      </c>
      <c r="AM271" t="s">
        <v>2751</v>
      </c>
      <c r="AN271" t="s">
        <v>2752</v>
      </c>
      <c r="AO271" t="s">
        <v>2753</v>
      </c>
      <c r="AP271" t="s">
        <v>131</v>
      </c>
      <c r="AQ271" t="s">
        <v>403</v>
      </c>
      <c r="AR271" t="s">
        <v>720</v>
      </c>
      <c r="AS271" t="s">
        <v>1402</v>
      </c>
      <c r="AU271" t="s">
        <v>759</v>
      </c>
      <c r="AX271" t="s">
        <v>177</v>
      </c>
      <c r="AY271" t="s">
        <v>364</v>
      </c>
      <c r="AZ271" t="s">
        <v>2754</v>
      </c>
      <c r="BB271" t="s">
        <v>140</v>
      </c>
    </row>
    <row r="272" spans="1:54" x14ac:dyDescent="0.35">
      <c r="A272" t="s">
        <v>2745</v>
      </c>
      <c r="B272" t="s">
        <v>107</v>
      </c>
      <c r="C272" t="s">
        <v>107</v>
      </c>
      <c r="F272" t="s">
        <v>533</v>
      </c>
      <c r="G272" t="s">
        <v>534</v>
      </c>
      <c r="H272" t="s">
        <v>2360</v>
      </c>
      <c r="I272" t="s">
        <v>536</v>
      </c>
      <c r="J272" t="s">
        <v>113</v>
      </c>
      <c r="K272" t="s">
        <v>114</v>
      </c>
      <c r="L272" t="s">
        <v>114</v>
      </c>
      <c r="M272" t="s">
        <v>114</v>
      </c>
      <c r="N272" t="s">
        <v>114</v>
      </c>
      <c r="O272" t="s">
        <v>114</v>
      </c>
      <c r="P272" t="s">
        <v>114</v>
      </c>
      <c r="Q272" t="s">
        <v>114</v>
      </c>
      <c r="R272" t="s">
        <v>114</v>
      </c>
      <c r="S272" t="s">
        <v>114</v>
      </c>
      <c r="T272" t="s">
        <v>114</v>
      </c>
      <c r="V272" t="s">
        <v>114</v>
      </c>
      <c r="W272" t="s">
        <v>114</v>
      </c>
      <c r="Y272" t="s">
        <v>2746</v>
      </c>
      <c r="Z272" t="s">
        <v>2746</v>
      </c>
      <c r="AA272" t="s">
        <v>2747</v>
      </c>
      <c r="AB272" t="s">
        <v>2748</v>
      </c>
      <c r="AC272" t="s">
        <v>2749</v>
      </c>
      <c r="AG272" t="s">
        <v>123</v>
      </c>
      <c r="AH272" t="s">
        <v>124</v>
      </c>
      <c r="AI272" t="s">
        <v>2750</v>
      </c>
      <c r="AJ272" t="s">
        <v>126</v>
      </c>
      <c r="AK272" t="s">
        <v>127</v>
      </c>
      <c r="AM272" t="s">
        <v>2751</v>
      </c>
      <c r="AN272" t="s">
        <v>2752</v>
      </c>
      <c r="AO272" t="s">
        <v>2753</v>
      </c>
      <c r="AP272" t="s">
        <v>131</v>
      </c>
      <c r="AQ272" t="s">
        <v>403</v>
      </c>
      <c r="AR272" t="s">
        <v>720</v>
      </c>
      <c r="AS272" t="s">
        <v>1402</v>
      </c>
      <c r="AU272" t="s">
        <v>759</v>
      </c>
      <c r="AX272" t="s">
        <v>547</v>
      </c>
      <c r="AY272" t="s">
        <v>364</v>
      </c>
      <c r="AZ272" t="s">
        <v>2754</v>
      </c>
      <c r="BB272" t="s">
        <v>140</v>
      </c>
    </row>
    <row r="273" spans="1:54" x14ac:dyDescent="0.35">
      <c r="A273" t="s">
        <v>2755</v>
      </c>
      <c r="B273" t="s">
        <v>336</v>
      </c>
      <c r="C273" t="s">
        <v>336</v>
      </c>
      <c r="D273" t="s">
        <v>337</v>
      </c>
      <c r="E273" t="s">
        <v>108</v>
      </c>
      <c r="F273" t="s">
        <v>158</v>
      </c>
      <c r="G273" t="s">
        <v>159</v>
      </c>
      <c r="H273" t="s">
        <v>111</v>
      </c>
      <c r="I273" t="s">
        <v>341</v>
      </c>
      <c r="J273" t="s">
        <v>113</v>
      </c>
      <c r="K273" t="s">
        <v>113</v>
      </c>
      <c r="L273" t="s">
        <v>161</v>
      </c>
      <c r="M273" t="s">
        <v>161</v>
      </c>
      <c r="N273" t="s">
        <v>114</v>
      </c>
      <c r="O273" t="s">
        <v>1110</v>
      </c>
      <c r="P273" t="s">
        <v>1111</v>
      </c>
      <c r="Q273" t="s">
        <v>114</v>
      </c>
      <c r="R273" t="s">
        <v>180</v>
      </c>
      <c r="S273" t="s">
        <v>114</v>
      </c>
      <c r="T273" t="s">
        <v>180</v>
      </c>
      <c r="V273" t="s">
        <v>114</v>
      </c>
      <c r="W273" t="s">
        <v>1111</v>
      </c>
      <c r="X273" t="s">
        <v>1111</v>
      </c>
      <c r="Y273" t="s">
        <v>2756</v>
      </c>
      <c r="Z273" t="s">
        <v>2757</v>
      </c>
      <c r="AD273" t="s">
        <v>2758</v>
      </c>
      <c r="AE273" t="s">
        <v>346</v>
      </c>
      <c r="AF273" t="s">
        <v>2759</v>
      </c>
      <c r="AG273" t="s">
        <v>123</v>
      </c>
      <c r="AH273" t="s">
        <v>124</v>
      </c>
      <c r="AJ273" t="s">
        <v>126</v>
      </c>
      <c r="AM273" t="s">
        <v>2760</v>
      </c>
      <c r="AN273" t="s">
        <v>2761</v>
      </c>
      <c r="AO273" t="s">
        <v>2762</v>
      </c>
      <c r="AP273" t="s">
        <v>131</v>
      </c>
      <c r="AQ273" t="s">
        <v>132</v>
      </c>
      <c r="AR273" t="s">
        <v>202</v>
      </c>
      <c r="AS273" t="s">
        <v>1489</v>
      </c>
      <c r="AU273" t="s">
        <v>690</v>
      </c>
      <c r="AW273" t="s">
        <v>655</v>
      </c>
      <c r="AX273" t="s">
        <v>177</v>
      </c>
      <c r="AY273" t="s">
        <v>138</v>
      </c>
      <c r="AZ273" t="s">
        <v>2763</v>
      </c>
      <c r="BB273" t="s">
        <v>140</v>
      </c>
    </row>
    <row r="274" spans="1:54" x14ac:dyDescent="0.35">
      <c r="A274" t="s">
        <v>2755</v>
      </c>
      <c r="B274" t="s">
        <v>336</v>
      </c>
      <c r="C274" t="s">
        <v>336</v>
      </c>
      <c r="D274" t="s">
        <v>337</v>
      </c>
      <c r="E274" t="s">
        <v>108</v>
      </c>
      <c r="F274" t="s">
        <v>268</v>
      </c>
      <c r="G274" t="s">
        <v>269</v>
      </c>
      <c r="H274" t="s">
        <v>2268</v>
      </c>
      <c r="I274" t="s">
        <v>271</v>
      </c>
      <c r="J274" t="s">
        <v>113</v>
      </c>
      <c r="K274" t="s">
        <v>113</v>
      </c>
      <c r="L274" t="s">
        <v>114</v>
      </c>
      <c r="M274" t="s">
        <v>114</v>
      </c>
      <c r="N274" t="s">
        <v>114</v>
      </c>
      <c r="O274" t="s">
        <v>114</v>
      </c>
      <c r="P274" t="s">
        <v>114</v>
      </c>
      <c r="Q274" t="s">
        <v>114</v>
      </c>
      <c r="R274" t="s">
        <v>180</v>
      </c>
      <c r="S274" t="s">
        <v>114</v>
      </c>
      <c r="T274" t="s">
        <v>180</v>
      </c>
      <c r="V274" t="s">
        <v>114</v>
      </c>
      <c r="W274" t="s">
        <v>1111</v>
      </c>
      <c r="X274" t="s">
        <v>114</v>
      </c>
      <c r="Y274" t="s">
        <v>2756</v>
      </c>
      <c r="Z274" t="s">
        <v>2757</v>
      </c>
      <c r="AD274" t="s">
        <v>2758</v>
      </c>
      <c r="AE274" t="s">
        <v>346</v>
      </c>
      <c r="AF274" t="s">
        <v>2759</v>
      </c>
      <c r="AG274" t="s">
        <v>123</v>
      </c>
      <c r="AH274" t="s">
        <v>124</v>
      </c>
      <c r="AJ274" t="s">
        <v>126</v>
      </c>
      <c r="AM274" t="s">
        <v>2760</v>
      </c>
      <c r="AN274" t="s">
        <v>2761</v>
      </c>
      <c r="AO274" t="s">
        <v>2762</v>
      </c>
      <c r="AP274" t="s">
        <v>131</v>
      </c>
      <c r="AQ274" t="s">
        <v>132</v>
      </c>
      <c r="AR274" t="s">
        <v>202</v>
      </c>
      <c r="AS274" t="s">
        <v>1489</v>
      </c>
      <c r="AU274" t="s">
        <v>690</v>
      </c>
      <c r="AW274" t="s">
        <v>655</v>
      </c>
      <c r="AX274" t="s">
        <v>272</v>
      </c>
      <c r="AY274" t="s">
        <v>273</v>
      </c>
      <c r="AZ274" t="s">
        <v>2763</v>
      </c>
      <c r="BB274" t="s">
        <v>140</v>
      </c>
    </row>
    <row r="275" spans="1:54" x14ac:dyDescent="0.35">
      <c r="A275" t="s">
        <v>2764</v>
      </c>
      <c r="B275" t="s">
        <v>107</v>
      </c>
      <c r="C275" t="s">
        <v>107</v>
      </c>
      <c r="E275" t="s">
        <v>108</v>
      </c>
      <c r="F275" t="s">
        <v>158</v>
      </c>
      <c r="G275" t="s">
        <v>159</v>
      </c>
      <c r="H275" t="s">
        <v>111</v>
      </c>
      <c r="I275" t="s">
        <v>341</v>
      </c>
      <c r="J275" t="s">
        <v>113</v>
      </c>
      <c r="K275" t="s">
        <v>114</v>
      </c>
      <c r="L275" t="s">
        <v>161</v>
      </c>
      <c r="M275" t="s">
        <v>161</v>
      </c>
      <c r="N275" t="s">
        <v>436</v>
      </c>
      <c r="O275" t="s">
        <v>1110</v>
      </c>
      <c r="P275" t="s">
        <v>1876</v>
      </c>
      <c r="Q275" t="s">
        <v>114</v>
      </c>
      <c r="R275" t="s">
        <v>180</v>
      </c>
      <c r="S275" t="s">
        <v>114</v>
      </c>
      <c r="T275" t="s">
        <v>180</v>
      </c>
      <c r="V275" t="s">
        <v>114</v>
      </c>
      <c r="W275" t="s">
        <v>1876</v>
      </c>
      <c r="Y275" t="s">
        <v>2765</v>
      </c>
      <c r="Z275" t="s">
        <v>2766</v>
      </c>
      <c r="AA275" t="s">
        <v>2767</v>
      </c>
      <c r="AB275" t="s">
        <v>2768</v>
      </c>
      <c r="AC275" t="s">
        <v>2766</v>
      </c>
      <c r="AG275" t="s">
        <v>123</v>
      </c>
      <c r="AH275" t="s">
        <v>124</v>
      </c>
      <c r="AI275" t="s">
        <v>2769</v>
      </c>
      <c r="AJ275" t="s">
        <v>126</v>
      </c>
      <c r="AK275" t="s">
        <v>127</v>
      </c>
      <c r="AM275" t="s">
        <v>2770</v>
      </c>
      <c r="AN275" t="s">
        <v>2771</v>
      </c>
      <c r="AO275" t="s">
        <v>2772</v>
      </c>
      <c r="AP275" t="s">
        <v>131</v>
      </c>
      <c r="AQ275" t="s">
        <v>132</v>
      </c>
      <c r="AR275" t="s">
        <v>839</v>
      </c>
      <c r="AS275" t="s">
        <v>840</v>
      </c>
      <c r="AU275" t="s">
        <v>638</v>
      </c>
      <c r="AW275" t="s">
        <v>136</v>
      </c>
      <c r="AX275" t="s">
        <v>177</v>
      </c>
      <c r="AY275" t="s">
        <v>138</v>
      </c>
      <c r="AZ275" t="s">
        <v>2773</v>
      </c>
      <c r="BB275" t="s">
        <v>140</v>
      </c>
    </row>
    <row r="276" spans="1:54" x14ac:dyDescent="0.35">
      <c r="A276" t="s">
        <v>2764</v>
      </c>
      <c r="B276" t="s">
        <v>107</v>
      </c>
      <c r="C276" t="s">
        <v>107</v>
      </c>
      <c r="E276" t="s">
        <v>108</v>
      </c>
      <c r="F276" t="s">
        <v>268</v>
      </c>
      <c r="G276" t="s">
        <v>269</v>
      </c>
      <c r="H276" t="s">
        <v>2268</v>
      </c>
      <c r="I276" t="s">
        <v>271</v>
      </c>
      <c r="J276" t="s">
        <v>113</v>
      </c>
      <c r="K276" t="s">
        <v>114</v>
      </c>
      <c r="L276" t="s">
        <v>114</v>
      </c>
      <c r="M276" t="s">
        <v>114</v>
      </c>
      <c r="N276" t="s">
        <v>114</v>
      </c>
      <c r="O276" t="s">
        <v>114</v>
      </c>
      <c r="P276" t="s">
        <v>114</v>
      </c>
      <c r="Q276" t="s">
        <v>114</v>
      </c>
      <c r="R276" t="s">
        <v>180</v>
      </c>
      <c r="S276" t="s">
        <v>114</v>
      </c>
      <c r="T276" t="s">
        <v>180</v>
      </c>
      <c r="V276" t="s">
        <v>114</v>
      </c>
      <c r="W276" t="s">
        <v>1876</v>
      </c>
      <c r="Y276" t="s">
        <v>2765</v>
      </c>
      <c r="Z276" t="s">
        <v>2766</v>
      </c>
      <c r="AA276" t="s">
        <v>2767</v>
      </c>
      <c r="AB276" t="s">
        <v>2768</v>
      </c>
      <c r="AC276" t="s">
        <v>2766</v>
      </c>
      <c r="AG276" t="s">
        <v>123</v>
      </c>
      <c r="AH276" t="s">
        <v>124</v>
      </c>
      <c r="AI276" t="s">
        <v>2769</v>
      </c>
      <c r="AJ276" t="s">
        <v>126</v>
      </c>
      <c r="AK276" t="s">
        <v>127</v>
      </c>
      <c r="AM276" t="s">
        <v>2770</v>
      </c>
      <c r="AN276" t="s">
        <v>2771</v>
      </c>
      <c r="AO276" t="s">
        <v>2772</v>
      </c>
      <c r="AP276" t="s">
        <v>131</v>
      </c>
      <c r="AQ276" t="s">
        <v>132</v>
      </c>
      <c r="AR276" t="s">
        <v>839</v>
      </c>
      <c r="AS276" t="s">
        <v>840</v>
      </c>
      <c r="AU276" t="s">
        <v>638</v>
      </c>
      <c r="AW276" t="s">
        <v>136</v>
      </c>
      <c r="AX276" t="s">
        <v>272</v>
      </c>
      <c r="AY276" t="s">
        <v>273</v>
      </c>
      <c r="AZ276" t="s">
        <v>2773</v>
      </c>
      <c r="BB276" t="s">
        <v>140</v>
      </c>
    </row>
    <row r="277" spans="1:54" x14ac:dyDescent="0.35">
      <c r="A277" t="s">
        <v>2774</v>
      </c>
      <c r="B277" t="s">
        <v>107</v>
      </c>
      <c r="C277" t="s">
        <v>107</v>
      </c>
      <c r="F277" t="s">
        <v>358</v>
      </c>
      <c r="G277" t="s">
        <v>359</v>
      </c>
      <c r="H277" t="s">
        <v>360</v>
      </c>
      <c r="I277" t="s">
        <v>341</v>
      </c>
      <c r="J277" t="s">
        <v>113</v>
      </c>
      <c r="K277" t="s">
        <v>114</v>
      </c>
      <c r="L277" t="s">
        <v>114</v>
      </c>
      <c r="M277" t="s">
        <v>114</v>
      </c>
      <c r="N277" t="s">
        <v>114</v>
      </c>
      <c r="O277" t="s">
        <v>114</v>
      </c>
      <c r="P277" t="s">
        <v>114</v>
      </c>
      <c r="Q277" t="s">
        <v>114</v>
      </c>
      <c r="R277" t="s">
        <v>114</v>
      </c>
      <c r="S277" t="s">
        <v>114</v>
      </c>
      <c r="T277" t="s">
        <v>114</v>
      </c>
      <c r="V277" t="s">
        <v>114</v>
      </c>
      <c r="W277" t="s">
        <v>114</v>
      </c>
      <c r="Y277" t="s">
        <v>2775</v>
      </c>
      <c r="Z277" t="s">
        <v>2775</v>
      </c>
      <c r="AA277" t="s">
        <v>2776</v>
      </c>
      <c r="AB277" t="s">
        <v>2777</v>
      </c>
      <c r="AC277" t="s">
        <v>2778</v>
      </c>
      <c r="AG277" t="s">
        <v>123</v>
      </c>
      <c r="AH277" t="s">
        <v>124</v>
      </c>
      <c r="AI277" t="s">
        <v>2779</v>
      </c>
      <c r="AJ277" t="s">
        <v>126</v>
      </c>
      <c r="AK277" t="s">
        <v>127</v>
      </c>
      <c r="AM277" t="s">
        <v>2780</v>
      </c>
      <c r="AN277" t="s">
        <v>2781</v>
      </c>
      <c r="AO277" t="s">
        <v>2782</v>
      </c>
      <c r="AP277" t="s">
        <v>131</v>
      </c>
      <c r="AQ277" t="s">
        <v>132</v>
      </c>
      <c r="AR277" t="s">
        <v>1380</v>
      </c>
      <c r="AS277" t="s">
        <v>2783</v>
      </c>
      <c r="AU277" t="s">
        <v>191</v>
      </c>
      <c r="AV277" t="s">
        <v>496</v>
      </c>
      <c r="AX277" t="s">
        <v>177</v>
      </c>
      <c r="AY277" t="s">
        <v>364</v>
      </c>
      <c r="AZ277" t="s">
        <v>2784</v>
      </c>
      <c r="BB277" t="s">
        <v>140</v>
      </c>
    </row>
    <row r="278" spans="1:54" x14ac:dyDescent="0.35">
      <c r="A278" t="s">
        <v>2785</v>
      </c>
      <c r="B278" t="s">
        <v>107</v>
      </c>
      <c r="C278" t="s">
        <v>107</v>
      </c>
      <c r="F278" t="s">
        <v>358</v>
      </c>
      <c r="G278" t="s">
        <v>359</v>
      </c>
      <c r="H278" t="s">
        <v>360</v>
      </c>
      <c r="I278" t="s">
        <v>341</v>
      </c>
      <c r="J278" t="s">
        <v>113</v>
      </c>
      <c r="K278" t="s">
        <v>114</v>
      </c>
      <c r="L278" t="s">
        <v>114</v>
      </c>
      <c r="M278" t="s">
        <v>114</v>
      </c>
      <c r="N278" t="s">
        <v>114</v>
      </c>
      <c r="O278" t="s">
        <v>114</v>
      </c>
      <c r="P278" t="s">
        <v>114</v>
      </c>
      <c r="Q278" t="s">
        <v>114</v>
      </c>
      <c r="R278" t="s">
        <v>114</v>
      </c>
      <c r="S278" t="s">
        <v>114</v>
      </c>
      <c r="T278" t="s">
        <v>114</v>
      </c>
      <c r="V278" t="s">
        <v>114</v>
      </c>
      <c r="W278" t="s">
        <v>114</v>
      </c>
      <c r="Y278" t="s">
        <v>2786</v>
      </c>
      <c r="Z278" t="s">
        <v>2786</v>
      </c>
      <c r="AA278" t="s">
        <v>2787</v>
      </c>
      <c r="AB278" t="s">
        <v>2788</v>
      </c>
      <c r="AC278" t="s">
        <v>2789</v>
      </c>
      <c r="AG278" t="s">
        <v>123</v>
      </c>
      <c r="AH278" t="s">
        <v>124</v>
      </c>
      <c r="AI278" t="s">
        <v>2790</v>
      </c>
      <c r="AJ278" t="s">
        <v>126</v>
      </c>
      <c r="AK278" t="s">
        <v>127</v>
      </c>
      <c r="AM278" t="s">
        <v>2791</v>
      </c>
      <c r="AN278" t="s">
        <v>2792</v>
      </c>
      <c r="AO278" t="s">
        <v>2793</v>
      </c>
      <c r="AP278" t="s">
        <v>131</v>
      </c>
      <c r="AQ278" t="s">
        <v>132</v>
      </c>
      <c r="AR278" t="s">
        <v>352</v>
      </c>
      <c r="AS278" t="s">
        <v>667</v>
      </c>
      <c r="AU278" t="s">
        <v>175</v>
      </c>
      <c r="AX278" t="s">
        <v>177</v>
      </c>
      <c r="AY278" t="s">
        <v>364</v>
      </c>
      <c r="AZ278" t="s">
        <v>2794</v>
      </c>
      <c r="BB278" t="s">
        <v>140</v>
      </c>
    </row>
    <row r="279" spans="1:54" x14ac:dyDescent="0.35">
      <c r="A279" t="s">
        <v>2795</v>
      </c>
      <c r="B279" t="s">
        <v>107</v>
      </c>
      <c r="C279" t="s">
        <v>107</v>
      </c>
      <c r="E279" t="s">
        <v>108</v>
      </c>
      <c r="F279" t="s">
        <v>158</v>
      </c>
      <c r="G279" t="s">
        <v>159</v>
      </c>
      <c r="H279" t="s">
        <v>111</v>
      </c>
      <c r="I279" t="s">
        <v>341</v>
      </c>
      <c r="J279" t="s">
        <v>1548</v>
      </c>
      <c r="K279" t="s">
        <v>114</v>
      </c>
      <c r="L279" t="s">
        <v>161</v>
      </c>
      <c r="M279" t="s">
        <v>1549</v>
      </c>
      <c r="N279" t="s">
        <v>2358</v>
      </c>
      <c r="O279" t="s">
        <v>1550</v>
      </c>
      <c r="P279" t="s">
        <v>2796</v>
      </c>
      <c r="Q279" t="s">
        <v>114</v>
      </c>
      <c r="R279" t="s">
        <v>180</v>
      </c>
      <c r="S279" t="s">
        <v>114</v>
      </c>
      <c r="T279" t="s">
        <v>180</v>
      </c>
      <c r="V279" t="s">
        <v>114</v>
      </c>
      <c r="W279" t="s">
        <v>2796</v>
      </c>
      <c r="Y279" t="s">
        <v>2797</v>
      </c>
      <c r="Z279" t="s">
        <v>2798</v>
      </c>
      <c r="AA279" t="s">
        <v>2799</v>
      </c>
      <c r="AB279" t="s">
        <v>2800</v>
      </c>
      <c r="AC279" t="s">
        <v>2801</v>
      </c>
      <c r="AG279" t="s">
        <v>123</v>
      </c>
      <c r="AH279" t="s">
        <v>124</v>
      </c>
      <c r="AI279" t="s">
        <v>2802</v>
      </c>
      <c r="AJ279" t="s">
        <v>126</v>
      </c>
      <c r="AK279" t="s">
        <v>127</v>
      </c>
      <c r="AM279" t="s">
        <v>2803</v>
      </c>
      <c r="AN279" t="s">
        <v>2804</v>
      </c>
      <c r="AO279" t="s">
        <v>2805</v>
      </c>
      <c r="AP279" t="s">
        <v>131</v>
      </c>
      <c r="AQ279" t="s">
        <v>132</v>
      </c>
      <c r="AR279" t="s">
        <v>2402</v>
      </c>
      <c r="AS279" t="s">
        <v>2402</v>
      </c>
      <c r="AU279" t="s">
        <v>654</v>
      </c>
      <c r="AV279" t="s">
        <v>219</v>
      </c>
      <c r="AW279" t="s">
        <v>155</v>
      </c>
      <c r="AX279" t="s">
        <v>1562</v>
      </c>
      <c r="AY279" t="s">
        <v>138</v>
      </c>
      <c r="AZ279" t="s">
        <v>2806</v>
      </c>
      <c r="BB279" t="s">
        <v>140</v>
      </c>
    </row>
    <row r="280" spans="1:54" x14ac:dyDescent="0.35">
      <c r="A280" t="s">
        <v>2795</v>
      </c>
      <c r="B280" t="s">
        <v>107</v>
      </c>
      <c r="C280" t="s">
        <v>107</v>
      </c>
      <c r="E280" t="s">
        <v>108</v>
      </c>
      <c r="F280" t="s">
        <v>268</v>
      </c>
      <c r="G280" t="s">
        <v>269</v>
      </c>
      <c r="H280" t="s">
        <v>2268</v>
      </c>
      <c r="I280" t="s">
        <v>271</v>
      </c>
      <c r="J280" t="s">
        <v>113</v>
      </c>
      <c r="K280" t="s">
        <v>114</v>
      </c>
      <c r="L280" t="s">
        <v>114</v>
      </c>
      <c r="M280" t="s">
        <v>114</v>
      </c>
      <c r="N280" t="s">
        <v>114</v>
      </c>
      <c r="O280" t="s">
        <v>114</v>
      </c>
      <c r="P280" t="s">
        <v>114</v>
      </c>
      <c r="Q280" t="s">
        <v>114</v>
      </c>
      <c r="R280" t="s">
        <v>180</v>
      </c>
      <c r="S280" t="s">
        <v>114</v>
      </c>
      <c r="T280" t="s">
        <v>180</v>
      </c>
      <c r="V280" t="s">
        <v>114</v>
      </c>
      <c r="W280" t="s">
        <v>2796</v>
      </c>
      <c r="Y280" t="s">
        <v>2797</v>
      </c>
      <c r="Z280" t="s">
        <v>2798</v>
      </c>
      <c r="AA280" t="s">
        <v>2799</v>
      </c>
      <c r="AB280" t="s">
        <v>2800</v>
      </c>
      <c r="AC280" t="s">
        <v>2801</v>
      </c>
      <c r="AG280" t="s">
        <v>123</v>
      </c>
      <c r="AH280" t="s">
        <v>124</v>
      </c>
      <c r="AI280" t="s">
        <v>2802</v>
      </c>
      <c r="AJ280" t="s">
        <v>126</v>
      </c>
      <c r="AK280" t="s">
        <v>127</v>
      </c>
      <c r="AM280" t="s">
        <v>2803</v>
      </c>
      <c r="AN280" t="s">
        <v>2804</v>
      </c>
      <c r="AO280" t="s">
        <v>2805</v>
      </c>
      <c r="AP280" t="s">
        <v>131</v>
      </c>
      <c r="AQ280" t="s">
        <v>132</v>
      </c>
      <c r="AR280" t="s">
        <v>2402</v>
      </c>
      <c r="AS280" t="s">
        <v>2402</v>
      </c>
      <c r="AU280" t="s">
        <v>654</v>
      </c>
      <c r="AV280" t="s">
        <v>219</v>
      </c>
      <c r="AW280" t="s">
        <v>155</v>
      </c>
      <c r="AX280" t="s">
        <v>272</v>
      </c>
      <c r="AY280" t="s">
        <v>273</v>
      </c>
      <c r="AZ280" t="s">
        <v>2806</v>
      </c>
      <c r="BB280" t="s">
        <v>140</v>
      </c>
    </row>
    <row r="281" spans="1:54" x14ac:dyDescent="0.35">
      <c r="A281" t="s">
        <v>2807</v>
      </c>
      <c r="B281" t="s">
        <v>107</v>
      </c>
      <c r="C281" t="s">
        <v>107</v>
      </c>
      <c r="E281" t="s">
        <v>108</v>
      </c>
      <c r="F281" t="s">
        <v>158</v>
      </c>
      <c r="G281" t="s">
        <v>159</v>
      </c>
      <c r="H281" t="s">
        <v>111</v>
      </c>
      <c r="I281" t="s">
        <v>341</v>
      </c>
      <c r="J281" t="s">
        <v>113</v>
      </c>
      <c r="K281" t="s">
        <v>114</v>
      </c>
      <c r="L281" t="s">
        <v>161</v>
      </c>
      <c r="M281" t="s">
        <v>161</v>
      </c>
      <c r="N281" t="s">
        <v>114</v>
      </c>
      <c r="O281" t="s">
        <v>1110</v>
      </c>
      <c r="P281" t="s">
        <v>1111</v>
      </c>
      <c r="Q281" t="s">
        <v>114</v>
      </c>
      <c r="R281" t="s">
        <v>180</v>
      </c>
      <c r="S281" t="s">
        <v>114</v>
      </c>
      <c r="T281" t="s">
        <v>180</v>
      </c>
      <c r="V281" t="s">
        <v>114</v>
      </c>
      <c r="W281" t="s">
        <v>1111</v>
      </c>
      <c r="Y281" t="s">
        <v>2808</v>
      </c>
      <c r="Z281" t="s">
        <v>2809</v>
      </c>
      <c r="AA281" t="s">
        <v>2810</v>
      </c>
      <c r="AB281" t="s">
        <v>2811</v>
      </c>
      <c r="AC281" t="s">
        <v>2809</v>
      </c>
      <c r="AG281" t="s">
        <v>123</v>
      </c>
      <c r="AH281" t="s">
        <v>124</v>
      </c>
      <c r="AI281" t="s">
        <v>2812</v>
      </c>
      <c r="AJ281" t="s">
        <v>126</v>
      </c>
      <c r="AK281" t="s">
        <v>127</v>
      </c>
      <c r="AM281" t="s">
        <v>2813</v>
      </c>
      <c r="AN281" t="s">
        <v>2814</v>
      </c>
      <c r="AO281" t="s">
        <v>2815</v>
      </c>
      <c r="AP281" t="s">
        <v>131</v>
      </c>
      <c r="AQ281" t="s">
        <v>132</v>
      </c>
      <c r="AR281" t="s">
        <v>432</v>
      </c>
      <c r="AS281" t="s">
        <v>2816</v>
      </c>
      <c r="AU281" t="s">
        <v>299</v>
      </c>
      <c r="AV281" t="s">
        <v>918</v>
      </c>
      <c r="AW281" t="s">
        <v>136</v>
      </c>
      <c r="AX281" t="s">
        <v>177</v>
      </c>
      <c r="AY281" t="s">
        <v>138</v>
      </c>
      <c r="AZ281" t="s">
        <v>2817</v>
      </c>
      <c r="BB281" t="s">
        <v>140</v>
      </c>
    </row>
    <row r="282" spans="1:54" x14ac:dyDescent="0.35">
      <c r="A282" t="s">
        <v>2807</v>
      </c>
      <c r="B282" t="s">
        <v>107</v>
      </c>
      <c r="C282" t="s">
        <v>107</v>
      </c>
      <c r="E282" t="s">
        <v>108</v>
      </c>
      <c r="F282" t="s">
        <v>268</v>
      </c>
      <c r="G282" t="s">
        <v>269</v>
      </c>
      <c r="H282" t="s">
        <v>2268</v>
      </c>
      <c r="I282" t="s">
        <v>271</v>
      </c>
      <c r="J282" t="s">
        <v>113</v>
      </c>
      <c r="K282" t="s">
        <v>114</v>
      </c>
      <c r="L282" t="s">
        <v>114</v>
      </c>
      <c r="M282" t="s">
        <v>114</v>
      </c>
      <c r="N282" t="s">
        <v>114</v>
      </c>
      <c r="O282" t="s">
        <v>114</v>
      </c>
      <c r="P282" t="s">
        <v>114</v>
      </c>
      <c r="Q282" t="s">
        <v>114</v>
      </c>
      <c r="R282" t="s">
        <v>180</v>
      </c>
      <c r="S282" t="s">
        <v>114</v>
      </c>
      <c r="T282" t="s">
        <v>180</v>
      </c>
      <c r="V282" t="s">
        <v>114</v>
      </c>
      <c r="W282" t="s">
        <v>1111</v>
      </c>
      <c r="Y282" t="s">
        <v>2808</v>
      </c>
      <c r="Z282" t="s">
        <v>2809</v>
      </c>
      <c r="AA282" t="s">
        <v>2810</v>
      </c>
      <c r="AB282" t="s">
        <v>2811</v>
      </c>
      <c r="AC282" t="s">
        <v>2809</v>
      </c>
      <c r="AG282" t="s">
        <v>123</v>
      </c>
      <c r="AH282" t="s">
        <v>124</v>
      </c>
      <c r="AI282" t="s">
        <v>2812</v>
      </c>
      <c r="AJ282" t="s">
        <v>126</v>
      </c>
      <c r="AK282" t="s">
        <v>127</v>
      </c>
      <c r="AM282" t="s">
        <v>2813</v>
      </c>
      <c r="AN282" t="s">
        <v>2814</v>
      </c>
      <c r="AO282" t="s">
        <v>2815</v>
      </c>
      <c r="AP282" t="s">
        <v>131</v>
      </c>
      <c r="AQ282" t="s">
        <v>132</v>
      </c>
      <c r="AR282" t="s">
        <v>432</v>
      </c>
      <c r="AS282" t="s">
        <v>2816</v>
      </c>
      <c r="AU282" t="s">
        <v>299</v>
      </c>
      <c r="AV282" t="s">
        <v>918</v>
      </c>
      <c r="AW282" t="s">
        <v>136</v>
      </c>
      <c r="AX282" t="s">
        <v>272</v>
      </c>
      <c r="AY282" t="s">
        <v>273</v>
      </c>
      <c r="AZ282" t="s">
        <v>2817</v>
      </c>
      <c r="BB282" t="s">
        <v>140</v>
      </c>
    </row>
    <row r="283" spans="1:54" x14ac:dyDescent="0.35">
      <c r="A283" t="s">
        <v>2818</v>
      </c>
      <c r="B283" t="s">
        <v>107</v>
      </c>
      <c r="C283" t="s">
        <v>107</v>
      </c>
      <c r="E283" t="s">
        <v>108</v>
      </c>
      <c r="F283" t="s">
        <v>499</v>
      </c>
      <c r="G283" t="s">
        <v>500</v>
      </c>
      <c r="H283" t="s">
        <v>501</v>
      </c>
      <c r="I283" t="s">
        <v>341</v>
      </c>
      <c r="J283" t="s">
        <v>113</v>
      </c>
      <c r="K283" t="s">
        <v>114</v>
      </c>
      <c r="L283" t="s">
        <v>502</v>
      </c>
      <c r="M283" t="s">
        <v>502</v>
      </c>
      <c r="N283" t="s">
        <v>114</v>
      </c>
      <c r="O283" t="s">
        <v>504</v>
      </c>
      <c r="P283" t="s">
        <v>895</v>
      </c>
      <c r="Q283" t="s">
        <v>114</v>
      </c>
      <c r="R283" t="s">
        <v>180</v>
      </c>
      <c r="S283" t="s">
        <v>114</v>
      </c>
      <c r="T283" t="s">
        <v>180</v>
      </c>
      <c r="V283" t="s">
        <v>114</v>
      </c>
      <c r="W283" t="s">
        <v>895</v>
      </c>
      <c r="Y283" t="s">
        <v>2819</v>
      </c>
      <c r="Z283" t="s">
        <v>2820</v>
      </c>
      <c r="AA283" t="s">
        <v>2821</v>
      </c>
      <c r="AB283" t="s">
        <v>2822</v>
      </c>
      <c r="AC283" t="s">
        <v>2820</v>
      </c>
      <c r="AG283" t="s">
        <v>123</v>
      </c>
      <c r="AH283" t="s">
        <v>124</v>
      </c>
      <c r="AI283" t="s">
        <v>2823</v>
      </c>
      <c r="AJ283" t="s">
        <v>126</v>
      </c>
      <c r="AK283" t="s">
        <v>127</v>
      </c>
      <c r="AM283" t="s">
        <v>2824</v>
      </c>
      <c r="AN283" t="s">
        <v>2825</v>
      </c>
      <c r="AO283" t="s">
        <v>2826</v>
      </c>
      <c r="AP283" t="s">
        <v>131</v>
      </c>
      <c r="AQ283" t="s">
        <v>132</v>
      </c>
      <c r="AR283" t="s">
        <v>133</v>
      </c>
      <c r="AS283" t="s">
        <v>2827</v>
      </c>
      <c r="AU283" t="s">
        <v>389</v>
      </c>
      <c r="AV283" t="s">
        <v>654</v>
      </c>
      <c r="AW283" t="s">
        <v>136</v>
      </c>
      <c r="AX283" t="s">
        <v>177</v>
      </c>
      <c r="AY283" t="s">
        <v>517</v>
      </c>
      <c r="AZ283" t="s">
        <v>2828</v>
      </c>
      <c r="BB283" t="s">
        <v>140</v>
      </c>
    </row>
    <row r="284" spans="1:54" x14ac:dyDescent="0.35">
      <c r="A284" t="s">
        <v>2829</v>
      </c>
      <c r="B284" t="s">
        <v>107</v>
      </c>
      <c r="C284" t="s">
        <v>107</v>
      </c>
      <c r="E284" t="s">
        <v>108</v>
      </c>
      <c r="F284" t="s">
        <v>158</v>
      </c>
      <c r="G284" t="s">
        <v>159</v>
      </c>
      <c r="H284" t="s">
        <v>111</v>
      </c>
      <c r="I284" t="s">
        <v>341</v>
      </c>
      <c r="J284" t="s">
        <v>113</v>
      </c>
      <c r="K284" t="s">
        <v>114</v>
      </c>
      <c r="L284" t="s">
        <v>161</v>
      </c>
      <c r="M284" t="s">
        <v>161</v>
      </c>
      <c r="N284" t="s">
        <v>114</v>
      </c>
      <c r="O284" t="s">
        <v>1110</v>
      </c>
      <c r="P284" t="s">
        <v>1111</v>
      </c>
      <c r="Q284" t="s">
        <v>114</v>
      </c>
      <c r="R284" t="s">
        <v>180</v>
      </c>
      <c r="S284" t="s">
        <v>114</v>
      </c>
      <c r="T284" t="s">
        <v>180</v>
      </c>
      <c r="V284" t="s">
        <v>114</v>
      </c>
      <c r="W284" t="s">
        <v>1111</v>
      </c>
      <c r="Y284" t="s">
        <v>2830</v>
      </c>
      <c r="Z284" t="s">
        <v>2831</v>
      </c>
      <c r="AA284" t="s">
        <v>2832</v>
      </c>
      <c r="AB284" t="s">
        <v>2833</v>
      </c>
      <c r="AC284" t="s">
        <v>2831</v>
      </c>
      <c r="AG284" t="s">
        <v>123</v>
      </c>
      <c r="AH284" t="s">
        <v>124</v>
      </c>
      <c r="AI284" t="s">
        <v>2834</v>
      </c>
      <c r="AJ284" t="s">
        <v>126</v>
      </c>
      <c r="AK284" t="s">
        <v>127</v>
      </c>
      <c r="AM284" t="s">
        <v>2835</v>
      </c>
      <c r="AN284" t="s">
        <v>2836</v>
      </c>
      <c r="AO284" t="s">
        <v>2837</v>
      </c>
      <c r="AP284" t="s">
        <v>131</v>
      </c>
      <c r="AQ284" t="s">
        <v>132</v>
      </c>
      <c r="AR284" t="s">
        <v>284</v>
      </c>
      <c r="AS284" t="s">
        <v>285</v>
      </c>
      <c r="AU284" t="s">
        <v>135</v>
      </c>
      <c r="AV284" t="s">
        <v>389</v>
      </c>
      <c r="AW284" t="s">
        <v>136</v>
      </c>
      <c r="AX284" t="s">
        <v>177</v>
      </c>
      <c r="AY284" t="s">
        <v>138</v>
      </c>
      <c r="AZ284" t="s">
        <v>2838</v>
      </c>
      <c r="BB284" t="s">
        <v>140</v>
      </c>
    </row>
    <row r="285" spans="1:54" x14ac:dyDescent="0.35">
      <c r="A285" t="s">
        <v>2829</v>
      </c>
      <c r="B285" t="s">
        <v>107</v>
      </c>
      <c r="C285" t="s">
        <v>107</v>
      </c>
      <c r="E285" t="s">
        <v>108</v>
      </c>
      <c r="F285" t="s">
        <v>268</v>
      </c>
      <c r="G285" t="s">
        <v>269</v>
      </c>
      <c r="H285" t="s">
        <v>2268</v>
      </c>
      <c r="I285" t="s">
        <v>271</v>
      </c>
      <c r="J285" t="s">
        <v>113</v>
      </c>
      <c r="K285" t="s">
        <v>114</v>
      </c>
      <c r="L285" t="s">
        <v>114</v>
      </c>
      <c r="M285" t="s">
        <v>114</v>
      </c>
      <c r="N285" t="s">
        <v>114</v>
      </c>
      <c r="O285" t="s">
        <v>114</v>
      </c>
      <c r="P285" t="s">
        <v>114</v>
      </c>
      <c r="Q285" t="s">
        <v>114</v>
      </c>
      <c r="R285" t="s">
        <v>180</v>
      </c>
      <c r="S285" t="s">
        <v>114</v>
      </c>
      <c r="T285" t="s">
        <v>180</v>
      </c>
      <c r="V285" t="s">
        <v>114</v>
      </c>
      <c r="W285" t="s">
        <v>1111</v>
      </c>
      <c r="Y285" t="s">
        <v>2830</v>
      </c>
      <c r="Z285" t="s">
        <v>2831</v>
      </c>
      <c r="AA285" t="s">
        <v>2832</v>
      </c>
      <c r="AB285" t="s">
        <v>2833</v>
      </c>
      <c r="AC285" t="s">
        <v>2831</v>
      </c>
      <c r="AG285" t="s">
        <v>123</v>
      </c>
      <c r="AH285" t="s">
        <v>124</v>
      </c>
      <c r="AI285" t="s">
        <v>2834</v>
      </c>
      <c r="AJ285" t="s">
        <v>126</v>
      </c>
      <c r="AK285" t="s">
        <v>127</v>
      </c>
      <c r="AM285" t="s">
        <v>2835</v>
      </c>
      <c r="AN285" t="s">
        <v>2836</v>
      </c>
      <c r="AO285" t="s">
        <v>2837</v>
      </c>
      <c r="AP285" t="s">
        <v>131</v>
      </c>
      <c r="AQ285" t="s">
        <v>132</v>
      </c>
      <c r="AR285" t="s">
        <v>284</v>
      </c>
      <c r="AS285" t="s">
        <v>285</v>
      </c>
      <c r="AU285" t="s">
        <v>135</v>
      </c>
      <c r="AV285" t="s">
        <v>389</v>
      </c>
      <c r="AW285" t="s">
        <v>136</v>
      </c>
      <c r="AX285" t="s">
        <v>272</v>
      </c>
      <c r="AY285" t="s">
        <v>273</v>
      </c>
      <c r="AZ285" t="s">
        <v>2838</v>
      </c>
      <c r="BB285" t="s">
        <v>140</v>
      </c>
    </row>
    <row r="286" spans="1:54" x14ac:dyDescent="0.35">
      <c r="A286" t="s">
        <v>2839</v>
      </c>
      <c r="B286" t="s">
        <v>336</v>
      </c>
      <c r="C286" t="s">
        <v>336</v>
      </c>
      <c r="D286" t="s">
        <v>337</v>
      </c>
      <c r="E286" t="s">
        <v>108</v>
      </c>
      <c r="F286" t="s">
        <v>499</v>
      </c>
      <c r="G286" t="s">
        <v>500</v>
      </c>
      <c r="H286" t="s">
        <v>501</v>
      </c>
      <c r="I286" t="s">
        <v>341</v>
      </c>
      <c r="J286" t="s">
        <v>113</v>
      </c>
      <c r="K286" t="s">
        <v>113</v>
      </c>
      <c r="L286" t="s">
        <v>502</v>
      </c>
      <c r="M286" t="s">
        <v>502</v>
      </c>
      <c r="N286" t="s">
        <v>114</v>
      </c>
      <c r="O286" t="s">
        <v>275</v>
      </c>
      <c r="P286" t="s">
        <v>2840</v>
      </c>
      <c r="Q286" t="s">
        <v>180</v>
      </c>
      <c r="R286" t="s">
        <v>180</v>
      </c>
      <c r="S286" t="s">
        <v>114</v>
      </c>
      <c r="T286" t="s">
        <v>114</v>
      </c>
      <c r="V286" t="s">
        <v>114</v>
      </c>
      <c r="W286" t="s">
        <v>1151</v>
      </c>
      <c r="X286" t="s">
        <v>2840</v>
      </c>
      <c r="Y286" t="s">
        <v>2841</v>
      </c>
      <c r="AA286" t="s">
        <v>2842</v>
      </c>
      <c r="AD286" t="s">
        <v>2843</v>
      </c>
      <c r="AE286" t="s">
        <v>346</v>
      </c>
      <c r="AF286" t="s">
        <v>347</v>
      </c>
      <c r="AG286" t="s">
        <v>123</v>
      </c>
      <c r="AH286" t="s">
        <v>124</v>
      </c>
      <c r="AI286" t="s">
        <v>2844</v>
      </c>
      <c r="AJ286" t="s">
        <v>126</v>
      </c>
      <c r="AK286" t="s">
        <v>127</v>
      </c>
      <c r="AM286" t="s">
        <v>2845</v>
      </c>
      <c r="AN286" t="s">
        <v>2846</v>
      </c>
      <c r="AO286" t="s">
        <v>2847</v>
      </c>
      <c r="AP286" t="s">
        <v>131</v>
      </c>
      <c r="AQ286" t="s">
        <v>132</v>
      </c>
      <c r="AR286" t="s">
        <v>2848</v>
      </c>
      <c r="AS286" t="s">
        <v>2849</v>
      </c>
      <c r="AU286" t="s">
        <v>2850</v>
      </c>
      <c r="AV286" t="s">
        <v>798</v>
      </c>
      <c r="AW286" t="s">
        <v>136</v>
      </c>
      <c r="AX286" t="s">
        <v>177</v>
      </c>
      <c r="AY286" t="s">
        <v>517</v>
      </c>
      <c r="AZ286" t="s">
        <v>2851</v>
      </c>
      <c r="BB286" t="s">
        <v>140</v>
      </c>
    </row>
    <row r="287" spans="1:54" x14ac:dyDescent="0.35">
      <c r="A287" t="s">
        <v>2852</v>
      </c>
      <c r="B287" t="s">
        <v>107</v>
      </c>
      <c r="C287" t="s">
        <v>107</v>
      </c>
      <c r="E287" t="s">
        <v>108</v>
      </c>
      <c r="F287" t="s">
        <v>158</v>
      </c>
      <c r="G287" t="s">
        <v>159</v>
      </c>
      <c r="H287" t="s">
        <v>111</v>
      </c>
      <c r="I287" t="s">
        <v>341</v>
      </c>
      <c r="J287" t="s">
        <v>113</v>
      </c>
      <c r="K287" t="s">
        <v>114</v>
      </c>
      <c r="L287" t="s">
        <v>161</v>
      </c>
      <c r="M287" t="s">
        <v>161</v>
      </c>
      <c r="N287" t="s">
        <v>114</v>
      </c>
      <c r="O287" t="s">
        <v>1110</v>
      </c>
      <c r="P287" t="s">
        <v>1111</v>
      </c>
      <c r="Q287" t="s">
        <v>114</v>
      </c>
      <c r="R287" t="s">
        <v>180</v>
      </c>
      <c r="S287" t="s">
        <v>114</v>
      </c>
      <c r="T287" t="s">
        <v>180</v>
      </c>
      <c r="V287" t="s">
        <v>114</v>
      </c>
      <c r="W287" t="s">
        <v>1111</v>
      </c>
      <c r="Y287" t="s">
        <v>2853</v>
      </c>
      <c r="Z287" t="s">
        <v>2854</v>
      </c>
      <c r="AA287" t="s">
        <v>2855</v>
      </c>
      <c r="AB287" t="s">
        <v>2856</v>
      </c>
      <c r="AC287" t="s">
        <v>2857</v>
      </c>
      <c r="AG287" t="s">
        <v>123</v>
      </c>
      <c r="AH287" t="s">
        <v>124</v>
      </c>
      <c r="AI287" t="s">
        <v>2858</v>
      </c>
      <c r="AJ287" t="s">
        <v>126</v>
      </c>
      <c r="AK287" t="s">
        <v>127</v>
      </c>
      <c r="AM287" t="s">
        <v>2859</v>
      </c>
      <c r="AN287" t="s">
        <v>2860</v>
      </c>
      <c r="AO287" t="s">
        <v>2861</v>
      </c>
      <c r="AP287" t="s">
        <v>131</v>
      </c>
      <c r="AQ287" t="s">
        <v>132</v>
      </c>
      <c r="AR287" t="s">
        <v>432</v>
      </c>
      <c r="AS287" t="s">
        <v>2862</v>
      </c>
      <c r="AU287" t="s">
        <v>758</v>
      </c>
      <c r="AW287" t="s">
        <v>155</v>
      </c>
      <c r="AX287" t="s">
        <v>177</v>
      </c>
      <c r="AY287" t="s">
        <v>138</v>
      </c>
      <c r="AZ287" t="s">
        <v>2863</v>
      </c>
      <c r="BB287" t="s">
        <v>140</v>
      </c>
    </row>
    <row r="288" spans="1:54" x14ac:dyDescent="0.35">
      <c r="A288" t="s">
        <v>2852</v>
      </c>
      <c r="B288" t="s">
        <v>107</v>
      </c>
      <c r="C288" t="s">
        <v>107</v>
      </c>
      <c r="E288" t="s">
        <v>108</v>
      </c>
      <c r="F288" t="s">
        <v>268</v>
      </c>
      <c r="G288" t="s">
        <v>269</v>
      </c>
      <c r="H288" t="s">
        <v>2268</v>
      </c>
      <c r="I288" t="s">
        <v>271</v>
      </c>
      <c r="J288" t="s">
        <v>113</v>
      </c>
      <c r="K288" t="s">
        <v>114</v>
      </c>
      <c r="L288" t="s">
        <v>114</v>
      </c>
      <c r="M288" t="s">
        <v>114</v>
      </c>
      <c r="N288" t="s">
        <v>114</v>
      </c>
      <c r="O288" t="s">
        <v>114</v>
      </c>
      <c r="P288" t="s">
        <v>114</v>
      </c>
      <c r="Q288" t="s">
        <v>114</v>
      </c>
      <c r="R288" t="s">
        <v>180</v>
      </c>
      <c r="S288" t="s">
        <v>114</v>
      </c>
      <c r="T288" t="s">
        <v>180</v>
      </c>
      <c r="V288" t="s">
        <v>114</v>
      </c>
      <c r="W288" t="s">
        <v>1111</v>
      </c>
      <c r="Y288" t="s">
        <v>2853</v>
      </c>
      <c r="Z288" t="s">
        <v>2854</v>
      </c>
      <c r="AA288" t="s">
        <v>2855</v>
      </c>
      <c r="AB288" t="s">
        <v>2856</v>
      </c>
      <c r="AC288" t="s">
        <v>2857</v>
      </c>
      <c r="AG288" t="s">
        <v>123</v>
      </c>
      <c r="AH288" t="s">
        <v>124</v>
      </c>
      <c r="AI288" t="s">
        <v>2858</v>
      </c>
      <c r="AJ288" t="s">
        <v>126</v>
      </c>
      <c r="AK288" t="s">
        <v>127</v>
      </c>
      <c r="AM288" t="s">
        <v>2859</v>
      </c>
      <c r="AN288" t="s">
        <v>2860</v>
      </c>
      <c r="AO288" t="s">
        <v>2861</v>
      </c>
      <c r="AP288" t="s">
        <v>131</v>
      </c>
      <c r="AQ288" t="s">
        <v>132</v>
      </c>
      <c r="AR288" t="s">
        <v>432</v>
      </c>
      <c r="AS288" t="s">
        <v>2862</v>
      </c>
      <c r="AU288" t="s">
        <v>758</v>
      </c>
      <c r="AW288" t="s">
        <v>155</v>
      </c>
      <c r="AX288" t="s">
        <v>272</v>
      </c>
      <c r="AY288" t="s">
        <v>273</v>
      </c>
      <c r="AZ288" t="s">
        <v>2863</v>
      </c>
      <c r="BB288" t="s">
        <v>140</v>
      </c>
    </row>
    <row r="289" spans="1:54" x14ac:dyDescent="0.35">
      <c r="A289" t="s">
        <v>2864</v>
      </c>
      <c r="B289" t="s">
        <v>107</v>
      </c>
      <c r="C289" t="s">
        <v>107</v>
      </c>
      <c r="E289" t="s">
        <v>108</v>
      </c>
      <c r="F289" t="s">
        <v>268</v>
      </c>
      <c r="G289" t="s">
        <v>269</v>
      </c>
      <c r="H289" t="s">
        <v>2268</v>
      </c>
      <c r="I289" t="s">
        <v>271</v>
      </c>
      <c r="J289" t="s">
        <v>113</v>
      </c>
      <c r="K289" t="s">
        <v>114</v>
      </c>
      <c r="L289" t="s">
        <v>114</v>
      </c>
      <c r="M289" t="s">
        <v>114</v>
      </c>
      <c r="N289" t="s">
        <v>114</v>
      </c>
      <c r="O289" t="s">
        <v>114</v>
      </c>
      <c r="P289" t="s">
        <v>114</v>
      </c>
      <c r="Q289" t="s">
        <v>114</v>
      </c>
      <c r="R289" t="s">
        <v>142</v>
      </c>
      <c r="S289" t="s">
        <v>114</v>
      </c>
      <c r="T289" t="s">
        <v>142</v>
      </c>
      <c r="V289" t="s">
        <v>114</v>
      </c>
      <c r="W289" t="s">
        <v>1111</v>
      </c>
      <c r="Y289" t="s">
        <v>2865</v>
      </c>
      <c r="Z289" t="s">
        <v>2866</v>
      </c>
      <c r="AA289" t="s">
        <v>2867</v>
      </c>
      <c r="AB289" t="s">
        <v>2868</v>
      </c>
      <c r="AC289" t="s">
        <v>2866</v>
      </c>
      <c r="AG289" t="s">
        <v>123</v>
      </c>
      <c r="AH289" t="s">
        <v>124</v>
      </c>
      <c r="AI289" t="s">
        <v>2869</v>
      </c>
      <c r="AJ289" t="s">
        <v>126</v>
      </c>
      <c r="AK289" t="s">
        <v>127</v>
      </c>
      <c r="AM289" t="s">
        <v>2870</v>
      </c>
      <c r="AN289" t="s">
        <v>2871</v>
      </c>
      <c r="AO289" t="s">
        <v>2872</v>
      </c>
      <c r="AP289" t="s">
        <v>131</v>
      </c>
      <c r="AQ289" t="s">
        <v>403</v>
      </c>
      <c r="AR289" t="s">
        <v>466</v>
      </c>
      <c r="AS289" t="s">
        <v>467</v>
      </c>
      <c r="AU289" t="s">
        <v>175</v>
      </c>
      <c r="AW289" t="s">
        <v>136</v>
      </c>
      <c r="AX289" t="s">
        <v>272</v>
      </c>
      <c r="AY289" t="s">
        <v>273</v>
      </c>
      <c r="AZ289" t="s">
        <v>2873</v>
      </c>
      <c r="BB289" t="s">
        <v>140</v>
      </c>
    </row>
    <row r="290" spans="1:54" x14ac:dyDescent="0.35">
      <c r="A290" t="s">
        <v>2864</v>
      </c>
      <c r="B290" t="s">
        <v>107</v>
      </c>
      <c r="C290" t="s">
        <v>107</v>
      </c>
      <c r="E290" t="s">
        <v>108</v>
      </c>
      <c r="F290" t="s">
        <v>158</v>
      </c>
      <c r="G290" t="s">
        <v>159</v>
      </c>
      <c r="H290" t="s">
        <v>111</v>
      </c>
      <c r="I290" t="s">
        <v>341</v>
      </c>
      <c r="J290" t="s">
        <v>113</v>
      </c>
      <c r="K290" t="s">
        <v>114</v>
      </c>
      <c r="L290" t="s">
        <v>161</v>
      </c>
      <c r="M290" t="s">
        <v>161</v>
      </c>
      <c r="N290" t="s">
        <v>114</v>
      </c>
      <c r="O290" t="s">
        <v>1110</v>
      </c>
      <c r="P290" t="s">
        <v>1111</v>
      </c>
      <c r="Q290" t="s">
        <v>114</v>
      </c>
      <c r="R290" t="s">
        <v>142</v>
      </c>
      <c r="S290" t="s">
        <v>114</v>
      </c>
      <c r="T290" t="s">
        <v>142</v>
      </c>
      <c r="V290" t="s">
        <v>114</v>
      </c>
      <c r="W290" t="s">
        <v>1111</v>
      </c>
      <c r="Y290" t="s">
        <v>2865</v>
      </c>
      <c r="Z290" t="s">
        <v>2866</v>
      </c>
      <c r="AA290" t="s">
        <v>2867</v>
      </c>
      <c r="AB290" t="s">
        <v>2868</v>
      </c>
      <c r="AC290" t="s">
        <v>2866</v>
      </c>
      <c r="AG290" t="s">
        <v>123</v>
      </c>
      <c r="AH290" t="s">
        <v>124</v>
      </c>
      <c r="AI290" t="s">
        <v>2869</v>
      </c>
      <c r="AJ290" t="s">
        <v>126</v>
      </c>
      <c r="AK290" t="s">
        <v>127</v>
      </c>
      <c r="AM290" t="s">
        <v>2870</v>
      </c>
      <c r="AN290" t="s">
        <v>2871</v>
      </c>
      <c r="AO290" t="s">
        <v>2872</v>
      </c>
      <c r="AP290" t="s">
        <v>131</v>
      </c>
      <c r="AQ290" t="s">
        <v>403</v>
      </c>
      <c r="AR290" t="s">
        <v>466</v>
      </c>
      <c r="AS290" t="s">
        <v>467</v>
      </c>
      <c r="AU290" t="s">
        <v>175</v>
      </c>
      <c r="AW290" t="s">
        <v>136</v>
      </c>
      <c r="AX290" t="s">
        <v>177</v>
      </c>
      <c r="AY290" t="s">
        <v>138</v>
      </c>
      <c r="AZ290" t="s">
        <v>2873</v>
      </c>
      <c r="BB290" t="s">
        <v>140</v>
      </c>
    </row>
    <row r="291" spans="1:54" x14ac:dyDescent="0.35">
      <c r="A291" t="s">
        <v>2874</v>
      </c>
      <c r="B291" t="s">
        <v>107</v>
      </c>
      <c r="C291" t="s">
        <v>107</v>
      </c>
      <c r="E291" t="s">
        <v>108</v>
      </c>
      <c r="F291" t="s">
        <v>158</v>
      </c>
      <c r="G291" t="s">
        <v>159</v>
      </c>
      <c r="H291" t="s">
        <v>111</v>
      </c>
      <c r="I291" t="s">
        <v>341</v>
      </c>
      <c r="J291" t="s">
        <v>113</v>
      </c>
      <c r="K291" t="s">
        <v>114</v>
      </c>
      <c r="L291" t="s">
        <v>161</v>
      </c>
      <c r="M291" t="s">
        <v>161</v>
      </c>
      <c r="N291" t="s">
        <v>1679</v>
      </c>
      <c r="O291" t="s">
        <v>1110</v>
      </c>
      <c r="P291" t="s">
        <v>1680</v>
      </c>
      <c r="Q291" t="s">
        <v>114</v>
      </c>
      <c r="R291" t="s">
        <v>180</v>
      </c>
      <c r="S291" t="s">
        <v>114</v>
      </c>
      <c r="T291" t="s">
        <v>180</v>
      </c>
      <c r="V291" t="s">
        <v>114</v>
      </c>
      <c r="W291" t="s">
        <v>1680</v>
      </c>
      <c r="Y291" t="s">
        <v>2875</v>
      </c>
      <c r="Z291" t="s">
        <v>2876</v>
      </c>
      <c r="AA291" t="s">
        <v>2877</v>
      </c>
      <c r="AB291" t="s">
        <v>2878</v>
      </c>
      <c r="AC291" t="s">
        <v>2879</v>
      </c>
      <c r="AG291" t="s">
        <v>123</v>
      </c>
      <c r="AH291" t="s">
        <v>124</v>
      </c>
      <c r="AI291" t="s">
        <v>2880</v>
      </c>
      <c r="AJ291" t="s">
        <v>126</v>
      </c>
      <c r="AK291" t="s">
        <v>127</v>
      </c>
      <c r="AM291" t="s">
        <v>2881</v>
      </c>
      <c r="AN291" t="s">
        <v>2882</v>
      </c>
      <c r="AO291" t="s">
        <v>2883</v>
      </c>
      <c r="AP291" t="s">
        <v>131</v>
      </c>
      <c r="AQ291" t="s">
        <v>132</v>
      </c>
      <c r="AR291" t="s">
        <v>352</v>
      </c>
      <c r="AS291" t="s">
        <v>667</v>
      </c>
      <c r="AU291" t="s">
        <v>1478</v>
      </c>
      <c r="AW291" t="s">
        <v>655</v>
      </c>
      <c r="AX291" t="s">
        <v>177</v>
      </c>
      <c r="AY291" t="s">
        <v>138</v>
      </c>
      <c r="AZ291" t="s">
        <v>2884</v>
      </c>
      <c r="BB291" t="s">
        <v>140</v>
      </c>
    </row>
    <row r="292" spans="1:54" x14ac:dyDescent="0.35">
      <c r="A292" t="s">
        <v>2874</v>
      </c>
      <c r="B292" t="s">
        <v>107</v>
      </c>
      <c r="C292" t="s">
        <v>107</v>
      </c>
      <c r="E292" t="s">
        <v>108</v>
      </c>
      <c r="F292" t="s">
        <v>268</v>
      </c>
      <c r="G292" t="s">
        <v>269</v>
      </c>
      <c r="H292" t="s">
        <v>2268</v>
      </c>
      <c r="I292" t="s">
        <v>271</v>
      </c>
      <c r="J292" t="s">
        <v>113</v>
      </c>
      <c r="K292" t="s">
        <v>114</v>
      </c>
      <c r="L292" t="s">
        <v>114</v>
      </c>
      <c r="M292" t="s">
        <v>114</v>
      </c>
      <c r="N292" t="s">
        <v>114</v>
      </c>
      <c r="O292" t="s">
        <v>114</v>
      </c>
      <c r="P292" t="s">
        <v>114</v>
      </c>
      <c r="Q292" t="s">
        <v>114</v>
      </c>
      <c r="R292" t="s">
        <v>180</v>
      </c>
      <c r="S292" t="s">
        <v>114</v>
      </c>
      <c r="T292" t="s">
        <v>180</v>
      </c>
      <c r="V292" t="s">
        <v>114</v>
      </c>
      <c r="W292" t="s">
        <v>1680</v>
      </c>
      <c r="Y292" t="s">
        <v>2875</v>
      </c>
      <c r="Z292" t="s">
        <v>2876</v>
      </c>
      <c r="AA292" t="s">
        <v>2877</v>
      </c>
      <c r="AB292" t="s">
        <v>2878</v>
      </c>
      <c r="AC292" t="s">
        <v>2879</v>
      </c>
      <c r="AG292" t="s">
        <v>123</v>
      </c>
      <c r="AH292" t="s">
        <v>124</v>
      </c>
      <c r="AI292" t="s">
        <v>2880</v>
      </c>
      <c r="AJ292" t="s">
        <v>126</v>
      </c>
      <c r="AK292" t="s">
        <v>127</v>
      </c>
      <c r="AM292" t="s">
        <v>2881</v>
      </c>
      <c r="AN292" t="s">
        <v>2882</v>
      </c>
      <c r="AO292" t="s">
        <v>2883</v>
      </c>
      <c r="AP292" t="s">
        <v>131</v>
      </c>
      <c r="AQ292" t="s">
        <v>132</v>
      </c>
      <c r="AR292" t="s">
        <v>352</v>
      </c>
      <c r="AS292" t="s">
        <v>667</v>
      </c>
      <c r="AU292" t="s">
        <v>1478</v>
      </c>
      <c r="AW292" t="s">
        <v>655</v>
      </c>
      <c r="AX292" t="s">
        <v>272</v>
      </c>
      <c r="AY292" t="s">
        <v>273</v>
      </c>
      <c r="AZ292" t="s">
        <v>2884</v>
      </c>
      <c r="BB292" t="s">
        <v>140</v>
      </c>
    </row>
    <row r="293" spans="1:54" x14ac:dyDescent="0.35">
      <c r="A293" t="s">
        <v>2885</v>
      </c>
      <c r="B293" t="s">
        <v>107</v>
      </c>
      <c r="C293" t="s">
        <v>107</v>
      </c>
      <c r="E293" t="s">
        <v>108</v>
      </c>
      <c r="F293" t="s">
        <v>158</v>
      </c>
      <c r="G293" t="s">
        <v>159</v>
      </c>
      <c r="H293" t="s">
        <v>111</v>
      </c>
      <c r="I293" t="s">
        <v>341</v>
      </c>
      <c r="J293" t="s">
        <v>1548</v>
      </c>
      <c r="K293" t="s">
        <v>114</v>
      </c>
      <c r="L293" t="s">
        <v>161</v>
      </c>
      <c r="M293" t="s">
        <v>1549</v>
      </c>
      <c r="N293" t="s">
        <v>114</v>
      </c>
      <c r="O293" t="s">
        <v>1550</v>
      </c>
      <c r="P293" t="s">
        <v>2886</v>
      </c>
      <c r="Q293" t="s">
        <v>114</v>
      </c>
      <c r="R293" t="s">
        <v>180</v>
      </c>
      <c r="S293" t="s">
        <v>114</v>
      </c>
      <c r="T293" t="s">
        <v>180</v>
      </c>
      <c r="V293" t="s">
        <v>114</v>
      </c>
      <c r="W293" t="s">
        <v>2886</v>
      </c>
      <c r="Y293" t="s">
        <v>2887</v>
      </c>
      <c r="Z293" t="s">
        <v>2888</v>
      </c>
      <c r="AA293" t="s">
        <v>2889</v>
      </c>
      <c r="AB293" t="s">
        <v>2890</v>
      </c>
      <c r="AC293" t="s">
        <v>2888</v>
      </c>
      <c r="AG293" t="s">
        <v>123</v>
      </c>
      <c r="AH293" t="s">
        <v>124</v>
      </c>
      <c r="AI293" t="s">
        <v>2891</v>
      </c>
      <c r="AJ293" t="s">
        <v>126</v>
      </c>
      <c r="AK293" t="s">
        <v>127</v>
      </c>
      <c r="AM293" t="s">
        <v>2892</v>
      </c>
      <c r="AN293" t="s">
        <v>2893</v>
      </c>
      <c r="AO293" t="s">
        <v>2894</v>
      </c>
      <c r="AP293" t="s">
        <v>131</v>
      </c>
      <c r="AQ293" t="s">
        <v>132</v>
      </c>
      <c r="AR293" t="s">
        <v>989</v>
      </c>
      <c r="AS293" t="s">
        <v>2895</v>
      </c>
      <c r="AU293" t="s">
        <v>1072</v>
      </c>
      <c r="AW293" t="s">
        <v>136</v>
      </c>
      <c r="AX293" t="s">
        <v>1562</v>
      </c>
      <c r="AY293" t="s">
        <v>138</v>
      </c>
      <c r="AZ293" t="s">
        <v>2896</v>
      </c>
      <c r="BB293" t="s">
        <v>140</v>
      </c>
    </row>
    <row r="294" spans="1:54" x14ac:dyDescent="0.35">
      <c r="A294" t="s">
        <v>2885</v>
      </c>
      <c r="B294" t="s">
        <v>107</v>
      </c>
      <c r="C294" t="s">
        <v>107</v>
      </c>
      <c r="E294" t="s">
        <v>108</v>
      </c>
      <c r="F294" t="s">
        <v>268</v>
      </c>
      <c r="G294" t="s">
        <v>269</v>
      </c>
      <c r="H294" t="s">
        <v>2268</v>
      </c>
      <c r="I294" t="s">
        <v>271</v>
      </c>
      <c r="J294" t="s">
        <v>113</v>
      </c>
      <c r="K294" t="s">
        <v>114</v>
      </c>
      <c r="L294" t="s">
        <v>114</v>
      </c>
      <c r="M294" t="s">
        <v>114</v>
      </c>
      <c r="N294" t="s">
        <v>114</v>
      </c>
      <c r="O294" t="s">
        <v>114</v>
      </c>
      <c r="P294" t="s">
        <v>114</v>
      </c>
      <c r="Q294" t="s">
        <v>114</v>
      </c>
      <c r="R294" t="s">
        <v>180</v>
      </c>
      <c r="S294" t="s">
        <v>114</v>
      </c>
      <c r="T294" t="s">
        <v>180</v>
      </c>
      <c r="V294" t="s">
        <v>114</v>
      </c>
      <c r="W294" t="s">
        <v>2886</v>
      </c>
      <c r="Y294" t="s">
        <v>2887</v>
      </c>
      <c r="Z294" t="s">
        <v>2888</v>
      </c>
      <c r="AA294" t="s">
        <v>2889</v>
      </c>
      <c r="AB294" t="s">
        <v>2890</v>
      </c>
      <c r="AC294" t="s">
        <v>2888</v>
      </c>
      <c r="AG294" t="s">
        <v>123</v>
      </c>
      <c r="AH294" t="s">
        <v>124</v>
      </c>
      <c r="AI294" t="s">
        <v>2891</v>
      </c>
      <c r="AJ294" t="s">
        <v>126</v>
      </c>
      <c r="AK294" t="s">
        <v>127</v>
      </c>
      <c r="AM294" t="s">
        <v>2892</v>
      </c>
      <c r="AN294" t="s">
        <v>2893</v>
      </c>
      <c r="AO294" t="s">
        <v>2894</v>
      </c>
      <c r="AP294" t="s">
        <v>131</v>
      </c>
      <c r="AQ294" t="s">
        <v>132</v>
      </c>
      <c r="AR294" t="s">
        <v>989</v>
      </c>
      <c r="AS294" t="s">
        <v>2895</v>
      </c>
      <c r="AU294" t="s">
        <v>1072</v>
      </c>
      <c r="AW294" t="s">
        <v>136</v>
      </c>
      <c r="AX294" t="s">
        <v>272</v>
      </c>
      <c r="AY294" t="s">
        <v>273</v>
      </c>
      <c r="AZ294" t="s">
        <v>2896</v>
      </c>
      <c r="BB294" t="s">
        <v>140</v>
      </c>
    </row>
    <row r="295" spans="1:54" x14ac:dyDescent="0.35">
      <c r="A295" t="s">
        <v>2897</v>
      </c>
      <c r="B295" t="s">
        <v>107</v>
      </c>
      <c r="C295" t="s">
        <v>107</v>
      </c>
      <c r="E295" t="s">
        <v>108</v>
      </c>
      <c r="F295" t="s">
        <v>158</v>
      </c>
      <c r="G295" t="s">
        <v>159</v>
      </c>
      <c r="H295" t="s">
        <v>111</v>
      </c>
      <c r="I295" t="s">
        <v>341</v>
      </c>
      <c r="J295" t="s">
        <v>113</v>
      </c>
      <c r="K295" t="s">
        <v>114</v>
      </c>
      <c r="L295" t="s">
        <v>161</v>
      </c>
      <c r="M295" t="s">
        <v>161</v>
      </c>
      <c r="N295" t="s">
        <v>114</v>
      </c>
      <c r="O295" t="s">
        <v>1110</v>
      </c>
      <c r="P295" t="s">
        <v>1111</v>
      </c>
      <c r="Q295" t="s">
        <v>114</v>
      </c>
      <c r="R295" t="s">
        <v>180</v>
      </c>
      <c r="S295" t="s">
        <v>114</v>
      </c>
      <c r="T295" t="s">
        <v>180</v>
      </c>
      <c r="V295" t="s">
        <v>114</v>
      </c>
      <c r="W295" t="s">
        <v>1111</v>
      </c>
      <c r="Y295" t="s">
        <v>2898</v>
      </c>
      <c r="Z295" t="s">
        <v>2899</v>
      </c>
      <c r="AA295" t="s">
        <v>2900</v>
      </c>
      <c r="AB295" t="s">
        <v>2901</v>
      </c>
      <c r="AC295" t="s">
        <v>2899</v>
      </c>
      <c r="AG295" t="s">
        <v>123</v>
      </c>
      <c r="AH295" t="s">
        <v>124</v>
      </c>
      <c r="AI295" t="s">
        <v>2902</v>
      </c>
      <c r="AJ295" t="s">
        <v>126</v>
      </c>
      <c r="AK295" t="s">
        <v>127</v>
      </c>
      <c r="AM295" t="s">
        <v>2903</v>
      </c>
      <c r="AN295" t="s">
        <v>2904</v>
      </c>
      <c r="AO295" t="s">
        <v>2905</v>
      </c>
      <c r="AP295" t="s">
        <v>131</v>
      </c>
      <c r="AQ295" t="s">
        <v>132</v>
      </c>
      <c r="AR295" t="s">
        <v>2906</v>
      </c>
      <c r="AS295" t="s">
        <v>2907</v>
      </c>
      <c r="AU295" t="s">
        <v>654</v>
      </c>
      <c r="AW295" t="s">
        <v>136</v>
      </c>
      <c r="AX295" t="s">
        <v>177</v>
      </c>
      <c r="AY295" t="s">
        <v>138</v>
      </c>
      <c r="AZ295" t="s">
        <v>2908</v>
      </c>
      <c r="BB295" t="s">
        <v>140</v>
      </c>
    </row>
    <row r="296" spans="1:54" x14ac:dyDescent="0.35">
      <c r="A296" t="s">
        <v>2897</v>
      </c>
      <c r="B296" t="s">
        <v>107</v>
      </c>
      <c r="C296" t="s">
        <v>107</v>
      </c>
      <c r="E296" t="s">
        <v>108</v>
      </c>
      <c r="F296" t="s">
        <v>268</v>
      </c>
      <c r="G296" t="s">
        <v>269</v>
      </c>
      <c r="H296" t="s">
        <v>2268</v>
      </c>
      <c r="I296" t="s">
        <v>271</v>
      </c>
      <c r="J296" t="s">
        <v>113</v>
      </c>
      <c r="K296" t="s">
        <v>114</v>
      </c>
      <c r="L296" t="s">
        <v>114</v>
      </c>
      <c r="M296" t="s">
        <v>114</v>
      </c>
      <c r="N296" t="s">
        <v>114</v>
      </c>
      <c r="O296" t="s">
        <v>114</v>
      </c>
      <c r="P296" t="s">
        <v>114</v>
      </c>
      <c r="Q296" t="s">
        <v>114</v>
      </c>
      <c r="R296" t="s">
        <v>180</v>
      </c>
      <c r="S296" t="s">
        <v>114</v>
      </c>
      <c r="T296" t="s">
        <v>180</v>
      </c>
      <c r="V296" t="s">
        <v>114</v>
      </c>
      <c r="W296" t="s">
        <v>1111</v>
      </c>
      <c r="Y296" t="s">
        <v>2898</v>
      </c>
      <c r="Z296" t="s">
        <v>2899</v>
      </c>
      <c r="AA296" t="s">
        <v>2900</v>
      </c>
      <c r="AB296" t="s">
        <v>2901</v>
      </c>
      <c r="AC296" t="s">
        <v>2899</v>
      </c>
      <c r="AG296" t="s">
        <v>123</v>
      </c>
      <c r="AH296" t="s">
        <v>124</v>
      </c>
      <c r="AI296" t="s">
        <v>2902</v>
      </c>
      <c r="AJ296" t="s">
        <v>126</v>
      </c>
      <c r="AK296" t="s">
        <v>127</v>
      </c>
      <c r="AM296" t="s">
        <v>2903</v>
      </c>
      <c r="AN296" t="s">
        <v>2904</v>
      </c>
      <c r="AO296" t="s">
        <v>2905</v>
      </c>
      <c r="AP296" t="s">
        <v>131</v>
      </c>
      <c r="AQ296" t="s">
        <v>132</v>
      </c>
      <c r="AR296" t="s">
        <v>2906</v>
      </c>
      <c r="AS296" t="s">
        <v>2907</v>
      </c>
      <c r="AU296" t="s">
        <v>654</v>
      </c>
      <c r="AW296" t="s">
        <v>136</v>
      </c>
      <c r="AX296" t="s">
        <v>272</v>
      </c>
      <c r="AY296" t="s">
        <v>273</v>
      </c>
      <c r="AZ296" t="s">
        <v>2908</v>
      </c>
      <c r="BB296" t="s">
        <v>140</v>
      </c>
    </row>
    <row r="297" spans="1:54" x14ac:dyDescent="0.35">
      <c r="A297" t="s">
        <v>2909</v>
      </c>
      <c r="B297" t="s">
        <v>107</v>
      </c>
      <c r="C297" t="s">
        <v>107</v>
      </c>
      <c r="E297" t="s">
        <v>108</v>
      </c>
      <c r="F297" t="s">
        <v>268</v>
      </c>
      <c r="G297" t="s">
        <v>269</v>
      </c>
      <c r="H297" t="s">
        <v>2268</v>
      </c>
      <c r="I297" t="s">
        <v>271</v>
      </c>
      <c r="J297" t="s">
        <v>113</v>
      </c>
      <c r="K297" t="s">
        <v>114</v>
      </c>
      <c r="L297" t="s">
        <v>114</v>
      </c>
      <c r="M297" t="s">
        <v>114</v>
      </c>
      <c r="N297" t="s">
        <v>114</v>
      </c>
      <c r="O297" t="s">
        <v>114</v>
      </c>
      <c r="P297" t="s">
        <v>114</v>
      </c>
      <c r="Q297" t="s">
        <v>114</v>
      </c>
      <c r="R297" t="s">
        <v>180</v>
      </c>
      <c r="S297" t="s">
        <v>114</v>
      </c>
      <c r="T297" t="s">
        <v>180</v>
      </c>
      <c r="V297" t="s">
        <v>114</v>
      </c>
      <c r="W297" t="s">
        <v>2886</v>
      </c>
      <c r="Y297" t="s">
        <v>2910</v>
      </c>
      <c r="Z297" t="s">
        <v>2911</v>
      </c>
      <c r="AA297" t="s">
        <v>2912</v>
      </c>
      <c r="AB297" t="s">
        <v>2913</v>
      </c>
      <c r="AC297" t="s">
        <v>2914</v>
      </c>
      <c r="AG297" t="s">
        <v>123</v>
      </c>
      <c r="AH297" t="s">
        <v>124</v>
      </c>
      <c r="AI297" t="s">
        <v>2915</v>
      </c>
      <c r="AJ297" t="s">
        <v>126</v>
      </c>
      <c r="AK297" t="s">
        <v>127</v>
      </c>
      <c r="AM297" t="s">
        <v>2916</v>
      </c>
      <c r="AN297" t="s">
        <v>2917</v>
      </c>
      <c r="AO297" t="s">
        <v>2918</v>
      </c>
      <c r="AP297" t="s">
        <v>131</v>
      </c>
      <c r="AQ297" t="s">
        <v>233</v>
      </c>
      <c r="AR297" t="s">
        <v>2919</v>
      </c>
      <c r="AS297" t="s">
        <v>2920</v>
      </c>
      <c r="AU297" t="s">
        <v>1490</v>
      </c>
      <c r="AW297" t="s">
        <v>176</v>
      </c>
      <c r="AX297" t="s">
        <v>272</v>
      </c>
      <c r="AY297" t="s">
        <v>273</v>
      </c>
      <c r="AZ297" t="s">
        <v>2921</v>
      </c>
      <c r="BB297" t="s">
        <v>140</v>
      </c>
    </row>
    <row r="298" spans="1:54" x14ac:dyDescent="0.35">
      <c r="A298" t="s">
        <v>2909</v>
      </c>
      <c r="B298" t="s">
        <v>107</v>
      </c>
      <c r="C298" t="s">
        <v>107</v>
      </c>
      <c r="E298" t="s">
        <v>108</v>
      </c>
      <c r="F298" t="s">
        <v>158</v>
      </c>
      <c r="G298" t="s">
        <v>159</v>
      </c>
      <c r="H298" t="s">
        <v>111</v>
      </c>
      <c r="I298" t="s">
        <v>341</v>
      </c>
      <c r="J298" t="s">
        <v>1548</v>
      </c>
      <c r="K298" t="s">
        <v>114</v>
      </c>
      <c r="L298" t="s">
        <v>161</v>
      </c>
      <c r="M298" t="s">
        <v>1549</v>
      </c>
      <c r="N298" t="s">
        <v>114</v>
      </c>
      <c r="O298" t="s">
        <v>1550</v>
      </c>
      <c r="P298" t="s">
        <v>2886</v>
      </c>
      <c r="Q298" t="s">
        <v>114</v>
      </c>
      <c r="R298" t="s">
        <v>180</v>
      </c>
      <c r="S298" t="s">
        <v>114</v>
      </c>
      <c r="T298" t="s">
        <v>180</v>
      </c>
      <c r="V298" t="s">
        <v>114</v>
      </c>
      <c r="W298" t="s">
        <v>2886</v>
      </c>
      <c r="Y298" t="s">
        <v>2910</v>
      </c>
      <c r="Z298" t="s">
        <v>2911</v>
      </c>
      <c r="AA298" t="s">
        <v>2912</v>
      </c>
      <c r="AB298" t="s">
        <v>2913</v>
      </c>
      <c r="AC298" t="s">
        <v>2914</v>
      </c>
      <c r="AG298" t="s">
        <v>123</v>
      </c>
      <c r="AH298" t="s">
        <v>124</v>
      </c>
      <c r="AI298" t="s">
        <v>2915</v>
      </c>
      <c r="AJ298" t="s">
        <v>126</v>
      </c>
      <c r="AK298" t="s">
        <v>127</v>
      </c>
      <c r="AM298" t="s">
        <v>2916</v>
      </c>
      <c r="AN298" t="s">
        <v>2917</v>
      </c>
      <c r="AO298" t="s">
        <v>2918</v>
      </c>
      <c r="AP298" t="s">
        <v>131</v>
      </c>
      <c r="AQ298" t="s">
        <v>233</v>
      </c>
      <c r="AR298" t="s">
        <v>2919</v>
      </c>
      <c r="AS298" t="s">
        <v>2920</v>
      </c>
      <c r="AU298" t="s">
        <v>1490</v>
      </c>
      <c r="AW298" t="s">
        <v>176</v>
      </c>
      <c r="AX298" t="s">
        <v>1562</v>
      </c>
      <c r="AY298" t="s">
        <v>138</v>
      </c>
      <c r="AZ298" t="s">
        <v>2921</v>
      </c>
      <c r="BB298" t="s">
        <v>140</v>
      </c>
    </row>
    <row r="299" spans="1:54" x14ac:dyDescent="0.35">
      <c r="A299" t="s">
        <v>2922</v>
      </c>
      <c r="B299" t="s">
        <v>336</v>
      </c>
      <c r="C299" t="s">
        <v>336</v>
      </c>
      <c r="D299" t="s">
        <v>337</v>
      </c>
      <c r="E299" t="s">
        <v>108</v>
      </c>
      <c r="F299" t="s">
        <v>158</v>
      </c>
      <c r="G299" t="s">
        <v>159</v>
      </c>
      <c r="H299" t="s">
        <v>111</v>
      </c>
      <c r="I299" t="s">
        <v>341</v>
      </c>
      <c r="J299" t="s">
        <v>113</v>
      </c>
      <c r="K299" t="s">
        <v>113</v>
      </c>
      <c r="L299" t="s">
        <v>161</v>
      </c>
      <c r="M299" t="s">
        <v>161</v>
      </c>
      <c r="N299" t="s">
        <v>114</v>
      </c>
      <c r="O299" t="s">
        <v>1110</v>
      </c>
      <c r="P299" t="s">
        <v>1111</v>
      </c>
      <c r="Q299" t="s">
        <v>114</v>
      </c>
      <c r="R299" t="s">
        <v>180</v>
      </c>
      <c r="S299" t="s">
        <v>114</v>
      </c>
      <c r="T299" t="s">
        <v>180</v>
      </c>
      <c r="V299" t="s">
        <v>114</v>
      </c>
      <c r="W299" t="s">
        <v>1111</v>
      </c>
      <c r="X299" t="s">
        <v>1111</v>
      </c>
      <c r="Y299" t="s">
        <v>2923</v>
      </c>
      <c r="Z299" t="s">
        <v>2924</v>
      </c>
      <c r="AD299" t="s">
        <v>2925</v>
      </c>
      <c r="AE299" t="s">
        <v>346</v>
      </c>
      <c r="AF299" t="s">
        <v>1881</v>
      </c>
      <c r="AG299" t="s">
        <v>123</v>
      </c>
      <c r="AH299" t="s">
        <v>124</v>
      </c>
      <c r="AJ299" t="s">
        <v>126</v>
      </c>
      <c r="AM299" t="s">
        <v>2881</v>
      </c>
      <c r="AN299" t="s">
        <v>2882</v>
      </c>
      <c r="AO299" t="s">
        <v>2883</v>
      </c>
      <c r="AP299" t="s">
        <v>131</v>
      </c>
      <c r="AQ299" t="s">
        <v>132</v>
      </c>
      <c r="AR299" t="s">
        <v>352</v>
      </c>
      <c r="AS299" t="s">
        <v>667</v>
      </c>
      <c r="AU299" t="s">
        <v>1478</v>
      </c>
      <c r="AW299" t="s">
        <v>655</v>
      </c>
      <c r="AX299" t="s">
        <v>177</v>
      </c>
      <c r="AY299" t="s">
        <v>138</v>
      </c>
      <c r="AZ299" t="s">
        <v>2926</v>
      </c>
      <c r="BB299" t="s">
        <v>140</v>
      </c>
    </row>
    <row r="300" spans="1:54" x14ac:dyDescent="0.35">
      <c r="A300" t="s">
        <v>2922</v>
      </c>
      <c r="B300" t="s">
        <v>336</v>
      </c>
      <c r="C300" t="s">
        <v>336</v>
      </c>
      <c r="D300" t="s">
        <v>337</v>
      </c>
      <c r="E300" t="s">
        <v>108</v>
      </c>
      <c r="F300" t="s">
        <v>268</v>
      </c>
      <c r="G300" t="s">
        <v>269</v>
      </c>
      <c r="H300" t="s">
        <v>2268</v>
      </c>
      <c r="I300" t="s">
        <v>271</v>
      </c>
      <c r="J300" t="s">
        <v>113</v>
      </c>
      <c r="K300" t="s">
        <v>113</v>
      </c>
      <c r="L300" t="s">
        <v>114</v>
      </c>
      <c r="M300" t="s">
        <v>114</v>
      </c>
      <c r="N300" t="s">
        <v>114</v>
      </c>
      <c r="O300" t="s">
        <v>114</v>
      </c>
      <c r="P300" t="s">
        <v>114</v>
      </c>
      <c r="Q300" t="s">
        <v>114</v>
      </c>
      <c r="R300" t="s">
        <v>180</v>
      </c>
      <c r="S300" t="s">
        <v>114</v>
      </c>
      <c r="T300" t="s">
        <v>180</v>
      </c>
      <c r="V300" t="s">
        <v>114</v>
      </c>
      <c r="W300" t="s">
        <v>1111</v>
      </c>
      <c r="X300" t="s">
        <v>114</v>
      </c>
      <c r="Y300" t="s">
        <v>2923</v>
      </c>
      <c r="Z300" t="s">
        <v>2924</v>
      </c>
      <c r="AD300" t="s">
        <v>2925</v>
      </c>
      <c r="AE300" t="s">
        <v>346</v>
      </c>
      <c r="AF300" t="s">
        <v>1881</v>
      </c>
      <c r="AG300" t="s">
        <v>123</v>
      </c>
      <c r="AH300" t="s">
        <v>124</v>
      </c>
      <c r="AJ300" t="s">
        <v>126</v>
      </c>
      <c r="AM300" t="s">
        <v>2881</v>
      </c>
      <c r="AN300" t="s">
        <v>2882</v>
      </c>
      <c r="AO300" t="s">
        <v>2883</v>
      </c>
      <c r="AP300" t="s">
        <v>131</v>
      </c>
      <c r="AQ300" t="s">
        <v>132</v>
      </c>
      <c r="AR300" t="s">
        <v>352</v>
      </c>
      <c r="AS300" t="s">
        <v>667</v>
      </c>
      <c r="AU300" t="s">
        <v>1478</v>
      </c>
      <c r="AW300" t="s">
        <v>655</v>
      </c>
      <c r="AX300" t="s">
        <v>272</v>
      </c>
      <c r="AY300" t="s">
        <v>273</v>
      </c>
      <c r="AZ300" t="s">
        <v>2926</v>
      </c>
      <c r="BB300" t="s">
        <v>140</v>
      </c>
    </row>
    <row r="301" spans="1:54" x14ac:dyDescent="0.35">
      <c r="A301" t="s">
        <v>2927</v>
      </c>
      <c r="B301" t="s">
        <v>107</v>
      </c>
      <c r="C301" t="s">
        <v>107</v>
      </c>
      <c r="E301" t="s">
        <v>108</v>
      </c>
      <c r="F301" t="s">
        <v>158</v>
      </c>
      <c r="G301" t="s">
        <v>159</v>
      </c>
      <c r="H301" t="s">
        <v>111</v>
      </c>
      <c r="I301" t="s">
        <v>341</v>
      </c>
      <c r="J301" t="s">
        <v>113</v>
      </c>
      <c r="K301" t="s">
        <v>114</v>
      </c>
      <c r="L301" t="s">
        <v>161</v>
      </c>
      <c r="M301" t="s">
        <v>161</v>
      </c>
      <c r="N301" t="s">
        <v>2928</v>
      </c>
      <c r="O301" t="s">
        <v>1110</v>
      </c>
      <c r="P301" t="s">
        <v>895</v>
      </c>
      <c r="Q301" t="s">
        <v>114</v>
      </c>
      <c r="R301" t="s">
        <v>142</v>
      </c>
      <c r="S301" t="s">
        <v>114</v>
      </c>
      <c r="T301" t="s">
        <v>142</v>
      </c>
      <c r="V301" t="s">
        <v>114</v>
      </c>
      <c r="W301" t="s">
        <v>895</v>
      </c>
      <c r="Y301" t="s">
        <v>2929</v>
      </c>
      <c r="Z301" t="s">
        <v>2930</v>
      </c>
      <c r="AA301" t="s">
        <v>2931</v>
      </c>
      <c r="AB301" t="s">
        <v>2932</v>
      </c>
      <c r="AC301" t="s">
        <v>2930</v>
      </c>
      <c r="AG301" t="s">
        <v>123</v>
      </c>
      <c r="AH301" t="s">
        <v>124</v>
      </c>
      <c r="AI301" t="s">
        <v>2933</v>
      </c>
      <c r="AJ301" t="s">
        <v>126</v>
      </c>
      <c r="AK301" t="s">
        <v>127</v>
      </c>
      <c r="AM301" t="s">
        <v>2934</v>
      </c>
      <c r="AN301" t="s">
        <v>2935</v>
      </c>
      <c r="AO301" t="s">
        <v>2936</v>
      </c>
      <c r="AP301" t="s">
        <v>131</v>
      </c>
      <c r="AQ301" t="s">
        <v>132</v>
      </c>
      <c r="AR301" t="s">
        <v>387</v>
      </c>
      <c r="AS301" t="s">
        <v>2019</v>
      </c>
      <c r="AU301" t="s">
        <v>668</v>
      </c>
      <c r="AW301" t="s">
        <v>136</v>
      </c>
      <c r="AX301" t="s">
        <v>177</v>
      </c>
      <c r="AY301" t="s">
        <v>138</v>
      </c>
      <c r="AZ301" t="s">
        <v>2937</v>
      </c>
      <c r="BB301" t="s">
        <v>140</v>
      </c>
    </row>
    <row r="302" spans="1:54" x14ac:dyDescent="0.35">
      <c r="A302" t="s">
        <v>2927</v>
      </c>
      <c r="B302" t="s">
        <v>107</v>
      </c>
      <c r="C302" t="s">
        <v>107</v>
      </c>
      <c r="E302" t="s">
        <v>108</v>
      </c>
      <c r="F302" t="s">
        <v>268</v>
      </c>
      <c r="G302" t="s">
        <v>269</v>
      </c>
      <c r="H302" t="s">
        <v>2268</v>
      </c>
      <c r="I302" t="s">
        <v>271</v>
      </c>
      <c r="J302" t="s">
        <v>113</v>
      </c>
      <c r="K302" t="s">
        <v>114</v>
      </c>
      <c r="L302" t="s">
        <v>114</v>
      </c>
      <c r="M302" t="s">
        <v>114</v>
      </c>
      <c r="N302" t="s">
        <v>114</v>
      </c>
      <c r="O302" t="s">
        <v>114</v>
      </c>
      <c r="P302" t="s">
        <v>114</v>
      </c>
      <c r="Q302" t="s">
        <v>114</v>
      </c>
      <c r="R302" t="s">
        <v>142</v>
      </c>
      <c r="S302" t="s">
        <v>114</v>
      </c>
      <c r="T302" t="s">
        <v>142</v>
      </c>
      <c r="V302" t="s">
        <v>114</v>
      </c>
      <c r="W302" t="s">
        <v>895</v>
      </c>
      <c r="Y302" t="s">
        <v>2929</v>
      </c>
      <c r="Z302" t="s">
        <v>2930</v>
      </c>
      <c r="AA302" t="s">
        <v>2931</v>
      </c>
      <c r="AB302" t="s">
        <v>2932</v>
      </c>
      <c r="AC302" t="s">
        <v>2930</v>
      </c>
      <c r="AG302" t="s">
        <v>123</v>
      </c>
      <c r="AH302" t="s">
        <v>124</v>
      </c>
      <c r="AI302" t="s">
        <v>2933</v>
      </c>
      <c r="AJ302" t="s">
        <v>126</v>
      </c>
      <c r="AK302" t="s">
        <v>127</v>
      </c>
      <c r="AM302" t="s">
        <v>2934</v>
      </c>
      <c r="AN302" t="s">
        <v>2935</v>
      </c>
      <c r="AO302" t="s">
        <v>2936</v>
      </c>
      <c r="AP302" t="s">
        <v>131</v>
      </c>
      <c r="AQ302" t="s">
        <v>132</v>
      </c>
      <c r="AR302" t="s">
        <v>387</v>
      </c>
      <c r="AS302" t="s">
        <v>2019</v>
      </c>
      <c r="AU302" t="s">
        <v>668</v>
      </c>
      <c r="AW302" t="s">
        <v>136</v>
      </c>
      <c r="AX302" t="s">
        <v>272</v>
      </c>
      <c r="AY302" t="s">
        <v>273</v>
      </c>
      <c r="AZ302" t="s">
        <v>2937</v>
      </c>
      <c r="BB302" t="s">
        <v>140</v>
      </c>
    </row>
    <row r="303" spans="1:54" x14ac:dyDescent="0.35">
      <c r="A303" t="s">
        <v>2938</v>
      </c>
      <c r="B303" t="s">
        <v>107</v>
      </c>
      <c r="C303" t="s">
        <v>107</v>
      </c>
      <c r="E303" t="s">
        <v>108</v>
      </c>
      <c r="F303" t="s">
        <v>158</v>
      </c>
      <c r="G303" t="s">
        <v>159</v>
      </c>
      <c r="H303" t="s">
        <v>111</v>
      </c>
      <c r="I303" t="s">
        <v>341</v>
      </c>
      <c r="J303" t="s">
        <v>113</v>
      </c>
      <c r="K303" t="s">
        <v>114</v>
      </c>
      <c r="L303" t="s">
        <v>161</v>
      </c>
      <c r="M303" t="s">
        <v>161</v>
      </c>
      <c r="N303" t="s">
        <v>436</v>
      </c>
      <c r="O303" t="s">
        <v>1110</v>
      </c>
      <c r="P303" t="s">
        <v>1876</v>
      </c>
      <c r="Q303" t="s">
        <v>2939</v>
      </c>
      <c r="R303" t="s">
        <v>2939</v>
      </c>
      <c r="S303" t="s">
        <v>114</v>
      </c>
      <c r="T303" t="s">
        <v>114</v>
      </c>
      <c r="V303" t="s">
        <v>114</v>
      </c>
      <c r="W303" t="s">
        <v>2940</v>
      </c>
      <c r="Y303" t="s">
        <v>2941</v>
      </c>
      <c r="Z303" t="s">
        <v>2942</v>
      </c>
      <c r="AA303" t="s">
        <v>2943</v>
      </c>
      <c r="AB303" t="s">
        <v>2944</v>
      </c>
      <c r="AC303" t="s">
        <v>2942</v>
      </c>
      <c r="AG303" t="s">
        <v>123</v>
      </c>
      <c r="AH303" t="s">
        <v>124</v>
      </c>
      <c r="AI303" t="s">
        <v>2945</v>
      </c>
      <c r="AJ303" t="s">
        <v>126</v>
      </c>
      <c r="AK303" t="s">
        <v>127</v>
      </c>
      <c r="AM303" t="s">
        <v>2946</v>
      </c>
      <c r="AN303" t="s">
        <v>2947</v>
      </c>
      <c r="AO303" t="s">
        <v>2948</v>
      </c>
      <c r="AP303" t="s">
        <v>131</v>
      </c>
      <c r="AQ303" t="s">
        <v>132</v>
      </c>
      <c r="AR303" t="s">
        <v>152</v>
      </c>
      <c r="AS303" t="s">
        <v>2949</v>
      </c>
      <c r="AU303" t="s">
        <v>2195</v>
      </c>
      <c r="AV303" t="s">
        <v>2195</v>
      </c>
      <c r="AW303" t="s">
        <v>136</v>
      </c>
      <c r="AX303" t="s">
        <v>177</v>
      </c>
      <c r="AY303" t="s">
        <v>138</v>
      </c>
      <c r="AZ303" t="s">
        <v>2950</v>
      </c>
      <c r="BB303" t="s">
        <v>140</v>
      </c>
    </row>
    <row r="304" spans="1:54" x14ac:dyDescent="0.35">
      <c r="A304" t="s">
        <v>2938</v>
      </c>
      <c r="B304" t="s">
        <v>107</v>
      </c>
      <c r="C304" t="s">
        <v>107</v>
      </c>
      <c r="E304" t="s">
        <v>108</v>
      </c>
      <c r="F304" t="s">
        <v>268</v>
      </c>
      <c r="G304" t="s">
        <v>269</v>
      </c>
      <c r="H304" t="s">
        <v>2268</v>
      </c>
      <c r="I304" t="s">
        <v>271</v>
      </c>
      <c r="J304" t="s">
        <v>113</v>
      </c>
      <c r="K304" t="s">
        <v>114</v>
      </c>
      <c r="L304" t="s">
        <v>114</v>
      </c>
      <c r="M304" t="s">
        <v>114</v>
      </c>
      <c r="N304" t="s">
        <v>114</v>
      </c>
      <c r="O304" t="s">
        <v>114</v>
      </c>
      <c r="P304" t="s">
        <v>114</v>
      </c>
      <c r="Q304" t="s">
        <v>2939</v>
      </c>
      <c r="R304" t="s">
        <v>2939</v>
      </c>
      <c r="S304" t="s">
        <v>114</v>
      </c>
      <c r="T304" t="s">
        <v>114</v>
      </c>
      <c r="V304" t="s">
        <v>114</v>
      </c>
      <c r="W304" t="s">
        <v>2940</v>
      </c>
      <c r="Y304" t="s">
        <v>2941</v>
      </c>
      <c r="Z304" t="s">
        <v>2942</v>
      </c>
      <c r="AA304" t="s">
        <v>2943</v>
      </c>
      <c r="AB304" t="s">
        <v>2944</v>
      </c>
      <c r="AC304" t="s">
        <v>2942</v>
      </c>
      <c r="AG304" t="s">
        <v>123</v>
      </c>
      <c r="AH304" t="s">
        <v>124</v>
      </c>
      <c r="AI304" t="s">
        <v>2945</v>
      </c>
      <c r="AJ304" t="s">
        <v>126</v>
      </c>
      <c r="AK304" t="s">
        <v>127</v>
      </c>
      <c r="AM304" t="s">
        <v>2946</v>
      </c>
      <c r="AN304" t="s">
        <v>2947</v>
      </c>
      <c r="AO304" t="s">
        <v>2948</v>
      </c>
      <c r="AP304" t="s">
        <v>131</v>
      </c>
      <c r="AQ304" t="s">
        <v>132</v>
      </c>
      <c r="AR304" t="s">
        <v>152</v>
      </c>
      <c r="AS304" t="s">
        <v>2949</v>
      </c>
      <c r="AU304" t="s">
        <v>2195</v>
      </c>
      <c r="AV304" t="s">
        <v>2195</v>
      </c>
      <c r="AW304" t="s">
        <v>136</v>
      </c>
      <c r="AX304" t="s">
        <v>272</v>
      </c>
      <c r="AY304" t="s">
        <v>273</v>
      </c>
      <c r="AZ304" t="s">
        <v>2950</v>
      </c>
      <c r="BB304" t="s">
        <v>140</v>
      </c>
    </row>
    <row r="305" spans="1:54" x14ac:dyDescent="0.35">
      <c r="A305" t="s">
        <v>2951</v>
      </c>
      <c r="B305" t="s">
        <v>107</v>
      </c>
      <c r="C305" t="s">
        <v>107</v>
      </c>
      <c r="E305" t="s">
        <v>108</v>
      </c>
      <c r="F305" t="s">
        <v>158</v>
      </c>
      <c r="G305" t="s">
        <v>159</v>
      </c>
      <c r="H305" t="s">
        <v>111</v>
      </c>
      <c r="I305" t="s">
        <v>341</v>
      </c>
      <c r="J305" t="s">
        <v>113</v>
      </c>
      <c r="K305" t="s">
        <v>114</v>
      </c>
      <c r="L305" t="s">
        <v>161</v>
      </c>
      <c r="M305" t="s">
        <v>161</v>
      </c>
      <c r="N305" t="s">
        <v>2928</v>
      </c>
      <c r="O305" t="s">
        <v>1110</v>
      </c>
      <c r="P305" t="s">
        <v>895</v>
      </c>
      <c r="Q305" t="s">
        <v>114</v>
      </c>
      <c r="R305" t="s">
        <v>180</v>
      </c>
      <c r="S305" t="s">
        <v>114</v>
      </c>
      <c r="T305" t="s">
        <v>180</v>
      </c>
      <c r="V305" t="s">
        <v>114</v>
      </c>
      <c r="W305" t="s">
        <v>895</v>
      </c>
      <c r="Y305" t="s">
        <v>2952</v>
      </c>
      <c r="Z305" t="s">
        <v>2953</v>
      </c>
      <c r="AA305" t="s">
        <v>2954</v>
      </c>
      <c r="AB305" t="s">
        <v>2955</v>
      </c>
      <c r="AC305" t="s">
        <v>2953</v>
      </c>
      <c r="AG305" t="s">
        <v>123</v>
      </c>
      <c r="AH305" t="s">
        <v>124</v>
      </c>
      <c r="AI305" t="s">
        <v>2956</v>
      </c>
      <c r="AJ305" t="s">
        <v>126</v>
      </c>
      <c r="AK305" t="s">
        <v>127</v>
      </c>
      <c r="AM305" t="s">
        <v>2957</v>
      </c>
      <c r="AN305" t="s">
        <v>2958</v>
      </c>
      <c r="AO305" t="s">
        <v>2959</v>
      </c>
      <c r="AP305" t="s">
        <v>131</v>
      </c>
      <c r="AQ305" t="s">
        <v>132</v>
      </c>
      <c r="AR305" t="s">
        <v>352</v>
      </c>
      <c r="AS305" t="s">
        <v>353</v>
      </c>
      <c r="AU305" t="s">
        <v>1490</v>
      </c>
      <c r="AW305" t="s">
        <v>136</v>
      </c>
      <c r="AX305" t="s">
        <v>177</v>
      </c>
      <c r="AY305" t="s">
        <v>138</v>
      </c>
      <c r="AZ305" t="s">
        <v>2960</v>
      </c>
      <c r="BB305" t="s">
        <v>140</v>
      </c>
    </row>
    <row r="306" spans="1:54" x14ac:dyDescent="0.35">
      <c r="A306" t="s">
        <v>2951</v>
      </c>
      <c r="B306" t="s">
        <v>107</v>
      </c>
      <c r="C306" t="s">
        <v>107</v>
      </c>
      <c r="E306" t="s">
        <v>108</v>
      </c>
      <c r="F306" t="s">
        <v>268</v>
      </c>
      <c r="G306" t="s">
        <v>269</v>
      </c>
      <c r="H306" t="s">
        <v>2268</v>
      </c>
      <c r="I306" t="s">
        <v>271</v>
      </c>
      <c r="J306" t="s">
        <v>113</v>
      </c>
      <c r="K306" t="s">
        <v>114</v>
      </c>
      <c r="L306" t="s">
        <v>114</v>
      </c>
      <c r="M306" t="s">
        <v>114</v>
      </c>
      <c r="N306" t="s">
        <v>114</v>
      </c>
      <c r="O306" t="s">
        <v>114</v>
      </c>
      <c r="P306" t="s">
        <v>114</v>
      </c>
      <c r="Q306" t="s">
        <v>114</v>
      </c>
      <c r="R306" t="s">
        <v>180</v>
      </c>
      <c r="S306" t="s">
        <v>114</v>
      </c>
      <c r="T306" t="s">
        <v>180</v>
      </c>
      <c r="V306" t="s">
        <v>114</v>
      </c>
      <c r="W306" t="s">
        <v>895</v>
      </c>
      <c r="Y306" t="s">
        <v>2952</v>
      </c>
      <c r="Z306" t="s">
        <v>2953</v>
      </c>
      <c r="AA306" t="s">
        <v>2954</v>
      </c>
      <c r="AB306" t="s">
        <v>2955</v>
      </c>
      <c r="AC306" t="s">
        <v>2953</v>
      </c>
      <c r="AG306" t="s">
        <v>123</v>
      </c>
      <c r="AH306" t="s">
        <v>124</v>
      </c>
      <c r="AI306" t="s">
        <v>2956</v>
      </c>
      <c r="AJ306" t="s">
        <v>126</v>
      </c>
      <c r="AK306" t="s">
        <v>127</v>
      </c>
      <c r="AM306" t="s">
        <v>2957</v>
      </c>
      <c r="AN306" t="s">
        <v>2958</v>
      </c>
      <c r="AO306" t="s">
        <v>2959</v>
      </c>
      <c r="AP306" t="s">
        <v>131</v>
      </c>
      <c r="AQ306" t="s">
        <v>132</v>
      </c>
      <c r="AR306" t="s">
        <v>352</v>
      </c>
      <c r="AS306" t="s">
        <v>353</v>
      </c>
      <c r="AU306" t="s">
        <v>1490</v>
      </c>
      <c r="AW306" t="s">
        <v>136</v>
      </c>
      <c r="AX306" t="s">
        <v>272</v>
      </c>
      <c r="AY306" t="s">
        <v>273</v>
      </c>
      <c r="AZ306" t="s">
        <v>2960</v>
      </c>
      <c r="BB306" t="s">
        <v>140</v>
      </c>
    </row>
    <row r="307" spans="1:54" x14ac:dyDescent="0.35">
      <c r="A307" t="s">
        <v>2961</v>
      </c>
      <c r="B307" t="s">
        <v>107</v>
      </c>
      <c r="C307" t="s">
        <v>107</v>
      </c>
      <c r="E307" t="s">
        <v>108</v>
      </c>
      <c r="F307" t="s">
        <v>158</v>
      </c>
      <c r="G307" t="s">
        <v>159</v>
      </c>
      <c r="H307" t="s">
        <v>111</v>
      </c>
      <c r="I307" t="s">
        <v>341</v>
      </c>
      <c r="J307" t="s">
        <v>113</v>
      </c>
      <c r="K307" t="s">
        <v>114</v>
      </c>
      <c r="L307" t="s">
        <v>161</v>
      </c>
      <c r="M307" t="s">
        <v>161</v>
      </c>
      <c r="N307" t="s">
        <v>114</v>
      </c>
      <c r="O307" t="s">
        <v>1110</v>
      </c>
      <c r="P307" t="s">
        <v>1111</v>
      </c>
      <c r="Q307" t="s">
        <v>114</v>
      </c>
      <c r="R307" t="s">
        <v>180</v>
      </c>
      <c r="S307" t="s">
        <v>114</v>
      </c>
      <c r="T307" t="s">
        <v>180</v>
      </c>
      <c r="V307" t="s">
        <v>114</v>
      </c>
      <c r="W307" t="s">
        <v>1111</v>
      </c>
      <c r="Y307" t="s">
        <v>2962</v>
      </c>
      <c r="Z307" t="s">
        <v>2963</v>
      </c>
      <c r="AA307" t="s">
        <v>2964</v>
      </c>
      <c r="AB307" t="s">
        <v>2965</v>
      </c>
      <c r="AC307" t="s">
        <v>2963</v>
      </c>
      <c r="AG307" t="s">
        <v>123</v>
      </c>
      <c r="AH307" t="s">
        <v>124</v>
      </c>
      <c r="AI307" t="s">
        <v>2966</v>
      </c>
      <c r="AJ307" t="s">
        <v>126</v>
      </c>
      <c r="AK307" t="s">
        <v>127</v>
      </c>
      <c r="AM307" t="s">
        <v>2967</v>
      </c>
      <c r="AN307" t="s">
        <v>2968</v>
      </c>
      <c r="AO307" t="s">
        <v>2969</v>
      </c>
      <c r="AP307" t="s">
        <v>131</v>
      </c>
      <c r="AQ307" t="s">
        <v>132</v>
      </c>
      <c r="AR307" t="s">
        <v>2970</v>
      </c>
      <c r="AS307" t="s">
        <v>2971</v>
      </c>
      <c r="AU307" t="s">
        <v>965</v>
      </c>
      <c r="AV307" t="s">
        <v>389</v>
      </c>
      <c r="AW307" t="s">
        <v>136</v>
      </c>
      <c r="AX307" t="s">
        <v>177</v>
      </c>
      <c r="AY307" t="s">
        <v>138</v>
      </c>
      <c r="AZ307" t="s">
        <v>2972</v>
      </c>
      <c r="BB307" t="s">
        <v>140</v>
      </c>
    </row>
    <row r="308" spans="1:54" x14ac:dyDescent="0.35">
      <c r="A308" t="s">
        <v>2961</v>
      </c>
      <c r="B308" t="s">
        <v>107</v>
      </c>
      <c r="C308" t="s">
        <v>107</v>
      </c>
      <c r="E308" t="s">
        <v>108</v>
      </c>
      <c r="F308" t="s">
        <v>268</v>
      </c>
      <c r="G308" t="s">
        <v>269</v>
      </c>
      <c r="H308" t="s">
        <v>2268</v>
      </c>
      <c r="I308" t="s">
        <v>271</v>
      </c>
      <c r="J308" t="s">
        <v>113</v>
      </c>
      <c r="K308" t="s">
        <v>114</v>
      </c>
      <c r="L308" t="s">
        <v>114</v>
      </c>
      <c r="M308" t="s">
        <v>114</v>
      </c>
      <c r="N308" t="s">
        <v>114</v>
      </c>
      <c r="O308" t="s">
        <v>114</v>
      </c>
      <c r="P308" t="s">
        <v>114</v>
      </c>
      <c r="Q308" t="s">
        <v>114</v>
      </c>
      <c r="R308" t="s">
        <v>180</v>
      </c>
      <c r="S308" t="s">
        <v>114</v>
      </c>
      <c r="T308" t="s">
        <v>180</v>
      </c>
      <c r="V308" t="s">
        <v>114</v>
      </c>
      <c r="W308" t="s">
        <v>1111</v>
      </c>
      <c r="Y308" t="s">
        <v>2962</v>
      </c>
      <c r="Z308" t="s">
        <v>2963</v>
      </c>
      <c r="AA308" t="s">
        <v>2964</v>
      </c>
      <c r="AB308" t="s">
        <v>2965</v>
      </c>
      <c r="AC308" t="s">
        <v>2963</v>
      </c>
      <c r="AG308" t="s">
        <v>123</v>
      </c>
      <c r="AH308" t="s">
        <v>124</v>
      </c>
      <c r="AI308" t="s">
        <v>2966</v>
      </c>
      <c r="AJ308" t="s">
        <v>126</v>
      </c>
      <c r="AK308" t="s">
        <v>127</v>
      </c>
      <c r="AM308" t="s">
        <v>2967</v>
      </c>
      <c r="AN308" t="s">
        <v>2968</v>
      </c>
      <c r="AO308" t="s">
        <v>2969</v>
      </c>
      <c r="AP308" t="s">
        <v>131</v>
      </c>
      <c r="AQ308" t="s">
        <v>132</v>
      </c>
      <c r="AR308" t="s">
        <v>2970</v>
      </c>
      <c r="AS308" t="s">
        <v>2971</v>
      </c>
      <c r="AU308" t="s">
        <v>965</v>
      </c>
      <c r="AV308" t="s">
        <v>389</v>
      </c>
      <c r="AW308" t="s">
        <v>136</v>
      </c>
      <c r="AX308" t="s">
        <v>272</v>
      </c>
      <c r="AY308" t="s">
        <v>273</v>
      </c>
      <c r="AZ308" t="s">
        <v>2972</v>
      </c>
      <c r="BB308" t="s">
        <v>140</v>
      </c>
    </row>
    <row r="309" spans="1:54" x14ac:dyDescent="0.35">
      <c r="A309" t="s">
        <v>2973</v>
      </c>
      <c r="B309" t="s">
        <v>107</v>
      </c>
      <c r="C309" t="s">
        <v>107</v>
      </c>
      <c r="E309" t="s">
        <v>108</v>
      </c>
      <c r="F309" t="s">
        <v>268</v>
      </c>
      <c r="G309" t="s">
        <v>269</v>
      </c>
      <c r="H309" t="s">
        <v>2268</v>
      </c>
      <c r="I309" t="s">
        <v>271</v>
      </c>
      <c r="J309" t="s">
        <v>113</v>
      </c>
      <c r="K309" t="s">
        <v>114</v>
      </c>
      <c r="L309" t="s">
        <v>114</v>
      </c>
      <c r="M309" t="s">
        <v>114</v>
      </c>
      <c r="N309" t="s">
        <v>114</v>
      </c>
      <c r="O309" t="s">
        <v>114</v>
      </c>
      <c r="P309" t="s">
        <v>114</v>
      </c>
      <c r="Q309" t="s">
        <v>114</v>
      </c>
      <c r="R309" t="s">
        <v>180</v>
      </c>
      <c r="S309" t="s">
        <v>114</v>
      </c>
      <c r="T309" t="s">
        <v>180</v>
      </c>
      <c r="V309" t="s">
        <v>114</v>
      </c>
      <c r="W309" t="s">
        <v>1876</v>
      </c>
      <c r="Y309" t="s">
        <v>2974</v>
      </c>
      <c r="Z309" t="s">
        <v>2975</v>
      </c>
      <c r="AA309" t="s">
        <v>2976</v>
      </c>
      <c r="AB309" t="s">
        <v>2977</v>
      </c>
      <c r="AC309" t="s">
        <v>2978</v>
      </c>
      <c r="AG309" t="s">
        <v>123</v>
      </c>
      <c r="AH309" t="s">
        <v>124</v>
      </c>
      <c r="AI309" t="s">
        <v>2979</v>
      </c>
      <c r="AJ309" t="s">
        <v>126</v>
      </c>
      <c r="AK309" t="s">
        <v>127</v>
      </c>
      <c r="AM309" t="s">
        <v>2980</v>
      </c>
      <c r="AN309" t="s">
        <v>2981</v>
      </c>
      <c r="AO309" t="s">
        <v>2982</v>
      </c>
      <c r="AP309" t="s">
        <v>131</v>
      </c>
      <c r="AQ309" t="s">
        <v>132</v>
      </c>
      <c r="AR309" t="s">
        <v>284</v>
      </c>
      <c r="AS309" t="s">
        <v>285</v>
      </c>
      <c r="AU309" t="s">
        <v>219</v>
      </c>
      <c r="AW309" t="s">
        <v>655</v>
      </c>
      <c r="AX309" t="s">
        <v>272</v>
      </c>
      <c r="AY309" t="s">
        <v>273</v>
      </c>
      <c r="AZ309" t="s">
        <v>2983</v>
      </c>
      <c r="BB309" t="s">
        <v>140</v>
      </c>
    </row>
    <row r="310" spans="1:54" x14ac:dyDescent="0.35">
      <c r="A310" t="s">
        <v>2973</v>
      </c>
      <c r="B310" t="s">
        <v>107</v>
      </c>
      <c r="C310" t="s">
        <v>107</v>
      </c>
      <c r="E310" t="s">
        <v>108</v>
      </c>
      <c r="F310" t="s">
        <v>158</v>
      </c>
      <c r="G310" t="s">
        <v>159</v>
      </c>
      <c r="H310" t="s">
        <v>111</v>
      </c>
      <c r="I310" t="s">
        <v>341</v>
      </c>
      <c r="J310" t="s">
        <v>113</v>
      </c>
      <c r="K310" t="s">
        <v>114</v>
      </c>
      <c r="L310" t="s">
        <v>161</v>
      </c>
      <c r="M310" t="s">
        <v>161</v>
      </c>
      <c r="N310" t="s">
        <v>436</v>
      </c>
      <c r="O310" t="s">
        <v>1110</v>
      </c>
      <c r="P310" t="s">
        <v>1876</v>
      </c>
      <c r="Q310" t="s">
        <v>114</v>
      </c>
      <c r="R310" t="s">
        <v>180</v>
      </c>
      <c r="S310" t="s">
        <v>114</v>
      </c>
      <c r="T310" t="s">
        <v>180</v>
      </c>
      <c r="V310" t="s">
        <v>114</v>
      </c>
      <c r="W310" t="s">
        <v>1876</v>
      </c>
      <c r="Y310" t="s">
        <v>2974</v>
      </c>
      <c r="Z310" t="s">
        <v>2975</v>
      </c>
      <c r="AA310" t="s">
        <v>2976</v>
      </c>
      <c r="AB310" t="s">
        <v>2977</v>
      </c>
      <c r="AC310" t="s">
        <v>2978</v>
      </c>
      <c r="AG310" t="s">
        <v>123</v>
      </c>
      <c r="AH310" t="s">
        <v>124</v>
      </c>
      <c r="AI310" t="s">
        <v>2979</v>
      </c>
      <c r="AJ310" t="s">
        <v>126</v>
      </c>
      <c r="AK310" t="s">
        <v>127</v>
      </c>
      <c r="AM310" t="s">
        <v>2980</v>
      </c>
      <c r="AN310" t="s">
        <v>2981</v>
      </c>
      <c r="AO310" t="s">
        <v>2982</v>
      </c>
      <c r="AP310" t="s">
        <v>131</v>
      </c>
      <c r="AQ310" t="s">
        <v>132</v>
      </c>
      <c r="AR310" t="s">
        <v>284</v>
      </c>
      <c r="AS310" t="s">
        <v>285</v>
      </c>
      <c r="AU310" t="s">
        <v>219</v>
      </c>
      <c r="AW310" t="s">
        <v>655</v>
      </c>
      <c r="AX310" t="s">
        <v>177</v>
      </c>
      <c r="AY310" t="s">
        <v>138</v>
      </c>
      <c r="AZ310" t="s">
        <v>2983</v>
      </c>
      <c r="BB310" t="s">
        <v>140</v>
      </c>
    </row>
    <row r="311" spans="1:54" x14ac:dyDescent="0.35">
      <c r="A311" t="s">
        <v>2984</v>
      </c>
      <c r="B311" t="s">
        <v>107</v>
      </c>
      <c r="C311" t="s">
        <v>107</v>
      </c>
      <c r="F311" t="s">
        <v>358</v>
      </c>
      <c r="G311" t="s">
        <v>359</v>
      </c>
      <c r="H311" t="s">
        <v>360</v>
      </c>
      <c r="I311" t="s">
        <v>341</v>
      </c>
      <c r="J311" t="s">
        <v>113</v>
      </c>
      <c r="K311" t="s">
        <v>114</v>
      </c>
      <c r="L311" t="s">
        <v>114</v>
      </c>
      <c r="M311" t="s">
        <v>114</v>
      </c>
      <c r="N311" t="s">
        <v>114</v>
      </c>
      <c r="O311" t="s">
        <v>114</v>
      </c>
      <c r="P311" t="s">
        <v>114</v>
      </c>
      <c r="Q311" t="s">
        <v>114</v>
      </c>
      <c r="R311" t="s">
        <v>114</v>
      </c>
      <c r="S311" t="s">
        <v>114</v>
      </c>
      <c r="T311" t="s">
        <v>114</v>
      </c>
      <c r="V311" t="s">
        <v>114</v>
      </c>
      <c r="W311" t="s">
        <v>114</v>
      </c>
      <c r="Y311" t="s">
        <v>2985</v>
      </c>
      <c r="Z311" t="s">
        <v>2985</v>
      </c>
      <c r="AA311" t="s">
        <v>2986</v>
      </c>
      <c r="AB311" t="s">
        <v>2987</v>
      </c>
      <c r="AC311" t="s">
        <v>2988</v>
      </c>
      <c r="AG311" t="s">
        <v>123</v>
      </c>
      <c r="AH311" t="s">
        <v>124</v>
      </c>
      <c r="AI311" t="s">
        <v>2989</v>
      </c>
      <c r="AJ311" t="s">
        <v>126</v>
      </c>
      <c r="AK311" t="s">
        <v>127</v>
      </c>
      <c r="AM311" t="s">
        <v>2990</v>
      </c>
      <c r="AN311" t="s">
        <v>2991</v>
      </c>
      <c r="AO311" t="s">
        <v>2992</v>
      </c>
      <c r="AP311" t="s">
        <v>131</v>
      </c>
      <c r="AQ311" t="s">
        <v>132</v>
      </c>
      <c r="AR311" t="s">
        <v>1146</v>
      </c>
      <c r="AS311" t="s">
        <v>2993</v>
      </c>
      <c r="AU311" t="s">
        <v>354</v>
      </c>
      <c r="AX311" t="s">
        <v>177</v>
      </c>
      <c r="AY311" t="s">
        <v>364</v>
      </c>
      <c r="AZ311" t="s">
        <v>2994</v>
      </c>
      <c r="BB311" t="s">
        <v>140</v>
      </c>
    </row>
    <row r="312" spans="1:54" x14ac:dyDescent="0.35">
      <c r="A312" t="s">
        <v>2995</v>
      </c>
      <c r="B312" t="s">
        <v>107</v>
      </c>
      <c r="C312" t="s">
        <v>107</v>
      </c>
      <c r="E312" t="s">
        <v>108</v>
      </c>
      <c r="F312" t="s">
        <v>158</v>
      </c>
      <c r="G312" t="s">
        <v>159</v>
      </c>
      <c r="H312" t="s">
        <v>111</v>
      </c>
      <c r="I312" t="s">
        <v>341</v>
      </c>
      <c r="J312" t="s">
        <v>113</v>
      </c>
      <c r="K312" t="s">
        <v>114</v>
      </c>
      <c r="L312" t="s">
        <v>161</v>
      </c>
      <c r="M312" t="s">
        <v>161</v>
      </c>
      <c r="N312" t="s">
        <v>114</v>
      </c>
      <c r="O312" t="s">
        <v>1110</v>
      </c>
      <c r="P312" t="s">
        <v>1111</v>
      </c>
      <c r="Q312" t="s">
        <v>114</v>
      </c>
      <c r="R312" t="s">
        <v>180</v>
      </c>
      <c r="S312" t="s">
        <v>114</v>
      </c>
      <c r="T312" t="s">
        <v>180</v>
      </c>
      <c r="V312" t="s">
        <v>114</v>
      </c>
      <c r="W312" t="s">
        <v>1111</v>
      </c>
      <c r="Y312" t="s">
        <v>2996</v>
      </c>
      <c r="Z312" t="s">
        <v>2997</v>
      </c>
      <c r="AA312" t="s">
        <v>2998</v>
      </c>
      <c r="AB312" t="s">
        <v>2999</v>
      </c>
      <c r="AC312" t="s">
        <v>3000</v>
      </c>
      <c r="AG312" t="s">
        <v>123</v>
      </c>
      <c r="AH312" t="s">
        <v>124</v>
      </c>
      <c r="AI312" t="s">
        <v>3001</v>
      </c>
      <c r="AJ312" t="s">
        <v>126</v>
      </c>
      <c r="AK312" t="s">
        <v>127</v>
      </c>
      <c r="AM312" t="s">
        <v>3002</v>
      </c>
      <c r="AN312" t="s">
        <v>3003</v>
      </c>
      <c r="AO312" t="s">
        <v>3004</v>
      </c>
      <c r="AP312" t="s">
        <v>131</v>
      </c>
      <c r="AQ312" t="s">
        <v>132</v>
      </c>
      <c r="AR312" t="s">
        <v>1056</v>
      </c>
      <c r="AS312" t="s">
        <v>3005</v>
      </c>
      <c r="AU312" t="s">
        <v>1403</v>
      </c>
      <c r="AW312" t="s">
        <v>176</v>
      </c>
      <c r="AX312" t="s">
        <v>177</v>
      </c>
      <c r="AY312" t="s">
        <v>138</v>
      </c>
      <c r="AZ312" t="s">
        <v>3006</v>
      </c>
      <c r="BB312" t="s">
        <v>140</v>
      </c>
    </row>
    <row r="313" spans="1:54" x14ac:dyDescent="0.35">
      <c r="A313" t="s">
        <v>2995</v>
      </c>
      <c r="B313" t="s">
        <v>107</v>
      </c>
      <c r="C313" t="s">
        <v>107</v>
      </c>
      <c r="E313" t="s">
        <v>108</v>
      </c>
      <c r="F313" t="s">
        <v>268</v>
      </c>
      <c r="G313" t="s">
        <v>269</v>
      </c>
      <c r="H313" t="s">
        <v>2268</v>
      </c>
      <c r="I313" t="s">
        <v>271</v>
      </c>
      <c r="J313" t="s">
        <v>113</v>
      </c>
      <c r="K313" t="s">
        <v>114</v>
      </c>
      <c r="L313" t="s">
        <v>114</v>
      </c>
      <c r="M313" t="s">
        <v>114</v>
      </c>
      <c r="N313" t="s">
        <v>114</v>
      </c>
      <c r="O313" t="s">
        <v>114</v>
      </c>
      <c r="P313" t="s">
        <v>114</v>
      </c>
      <c r="Q313" t="s">
        <v>114</v>
      </c>
      <c r="R313" t="s">
        <v>180</v>
      </c>
      <c r="S313" t="s">
        <v>114</v>
      </c>
      <c r="T313" t="s">
        <v>180</v>
      </c>
      <c r="V313" t="s">
        <v>114</v>
      </c>
      <c r="W313" t="s">
        <v>1111</v>
      </c>
      <c r="Y313" t="s">
        <v>2996</v>
      </c>
      <c r="Z313" t="s">
        <v>2997</v>
      </c>
      <c r="AA313" t="s">
        <v>2998</v>
      </c>
      <c r="AB313" t="s">
        <v>2999</v>
      </c>
      <c r="AC313" t="s">
        <v>3000</v>
      </c>
      <c r="AG313" t="s">
        <v>123</v>
      </c>
      <c r="AH313" t="s">
        <v>124</v>
      </c>
      <c r="AI313" t="s">
        <v>3001</v>
      </c>
      <c r="AJ313" t="s">
        <v>126</v>
      </c>
      <c r="AK313" t="s">
        <v>127</v>
      </c>
      <c r="AM313" t="s">
        <v>3002</v>
      </c>
      <c r="AN313" t="s">
        <v>3003</v>
      </c>
      <c r="AO313" t="s">
        <v>3004</v>
      </c>
      <c r="AP313" t="s">
        <v>131</v>
      </c>
      <c r="AQ313" t="s">
        <v>132</v>
      </c>
      <c r="AR313" t="s">
        <v>1056</v>
      </c>
      <c r="AS313" t="s">
        <v>3005</v>
      </c>
      <c r="AU313" t="s">
        <v>1403</v>
      </c>
      <c r="AW313" t="s">
        <v>176</v>
      </c>
      <c r="AX313" t="s">
        <v>272</v>
      </c>
      <c r="AY313" t="s">
        <v>273</v>
      </c>
      <c r="AZ313" t="s">
        <v>3006</v>
      </c>
      <c r="BB313" t="s">
        <v>140</v>
      </c>
    </row>
    <row r="314" spans="1:54" x14ac:dyDescent="0.35">
      <c r="A314" t="s">
        <v>3007</v>
      </c>
      <c r="B314" t="s">
        <v>107</v>
      </c>
      <c r="C314" t="s">
        <v>107</v>
      </c>
      <c r="E314" t="s">
        <v>108</v>
      </c>
      <c r="F314" t="s">
        <v>268</v>
      </c>
      <c r="G314" t="s">
        <v>269</v>
      </c>
      <c r="H314" t="s">
        <v>2268</v>
      </c>
      <c r="I314" t="s">
        <v>271</v>
      </c>
      <c r="J314" t="s">
        <v>113</v>
      </c>
      <c r="K314" t="s">
        <v>114</v>
      </c>
      <c r="L314" t="s">
        <v>114</v>
      </c>
      <c r="M314" t="s">
        <v>114</v>
      </c>
      <c r="N314" t="s">
        <v>114</v>
      </c>
      <c r="O314" t="s">
        <v>114</v>
      </c>
      <c r="P314" t="s">
        <v>114</v>
      </c>
      <c r="Q314" t="s">
        <v>114</v>
      </c>
      <c r="R314" t="s">
        <v>142</v>
      </c>
      <c r="S314" t="s">
        <v>114</v>
      </c>
      <c r="T314" t="s">
        <v>142</v>
      </c>
      <c r="V314" t="s">
        <v>114</v>
      </c>
      <c r="W314" t="s">
        <v>1575</v>
      </c>
      <c r="Y314" t="s">
        <v>3008</v>
      </c>
      <c r="Z314" t="s">
        <v>3009</v>
      </c>
      <c r="AA314" t="s">
        <v>3010</v>
      </c>
      <c r="AB314" t="s">
        <v>3011</v>
      </c>
      <c r="AC314" t="s">
        <v>3012</v>
      </c>
      <c r="AG314" t="s">
        <v>123</v>
      </c>
      <c r="AH314" t="s">
        <v>124</v>
      </c>
      <c r="AI314" t="s">
        <v>3013</v>
      </c>
      <c r="AJ314" t="s">
        <v>126</v>
      </c>
      <c r="AK314" t="s">
        <v>127</v>
      </c>
      <c r="AM314" t="s">
        <v>3014</v>
      </c>
      <c r="AN314" t="s">
        <v>3015</v>
      </c>
      <c r="AO314" t="s">
        <v>3016</v>
      </c>
      <c r="AP314" t="s">
        <v>131</v>
      </c>
      <c r="AQ314" t="s">
        <v>132</v>
      </c>
      <c r="AR314" t="s">
        <v>466</v>
      </c>
      <c r="AS314" t="s">
        <v>584</v>
      </c>
      <c r="AU314" t="s">
        <v>204</v>
      </c>
      <c r="AW314" t="s">
        <v>155</v>
      </c>
      <c r="AX314" t="s">
        <v>272</v>
      </c>
      <c r="AY314" t="s">
        <v>273</v>
      </c>
      <c r="AZ314" t="s">
        <v>3017</v>
      </c>
      <c r="BB314" t="s">
        <v>140</v>
      </c>
    </row>
    <row r="315" spans="1:54" x14ac:dyDescent="0.35">
      <c r="A315" t="s">
        <v>3007</v>
      </c>
      <c r="B315" t="s">
        <v>107</v>
      </c>
      <c r="C315" t="s">
        <v>107</v>
      </c>
      <c r="E315" t="s">
        <v>108</v>
      </c>
      <c r="F315" t="s">
        <v>158</v>
      </c>
      <c r="G315" t="s">
        <v>159</v>
      </c>
      <c r="H315" t="s">
        <v>111</v>
      </c>
      <c r="I315" t="s">
        <v>341</v>
      </c>
      <c r="J315" t="s">
        <v>113</v>
      </c>
      <c r="K315" t="s">
        <v>114</v>
      </c>
      <c r="L315" t="s">
        <v>161</v>
      </c>
      <c r="M315" t="s">
        <v>161</v>
      </c>
      <c r="N315" t="s">
        <v>762</v>
      </c>
      <c r="O315" t="s">
        <v>1110</v>
      </c>
      <c r="P315" t="s">
        <v>1575</v>
      </c>
      <c r="Q315" t="s">
        <v>114</v>
      </c>
      <c r="R315" t="s">
        <v>142</v>
      </c>
      <c r="S315" t="s">
        <v>114</v>
      </c>
      <c r="T315" t="s">
        <v>142</v>
      </c>
      <c r="V315" t="s">
        <v>114</v>
      </c>
      <c r="W315" t="s">
        <v>1575</v>
      </c>
      <c r="Y315" t="s">
        <v>3008</v>
      </c>
      <c r="Z315" t="s">
        <v>3009</v>
      </c>
      <c r="AA315" t="s">
        <v>3010</v>
      </c>
      <c r="AB315" t="s">
        <v>3011</v>
      </c>
      <c r="AC315" t="s">
        <v>3012</v>
      </c>
      <c r="AG315" t="s">
        <v>123</v>
      </c>
      <c r="AH315" t="s">
        <v>124</v>
      </c>
      <c r="AI315" t="s">
        <v>3013</v>
      </c>
      <c r="AJ315" t="s">
        <v>126</v>
      </c>
      <c r="AK315" t="s">
        <v>127</v>
      </c>
      <c r="AM315" t="s">
        <v>3014</v>
      </c>
      <c r="AN315" t="s">
        <v>3015</v>
      </c>
      <c r="AO315" t="s">
        <v>3016</v>
      </c>
      <c r="AP315" t="s">
        <v>131</v>
      </c>
      <c r="AQ315" t="s">
        <v>132</v>
      </c>
      <c r="AR315" t="s">
        <v>466</v>
      </c>
      <c r="AS315" t="s">
        <v>584</v>
      </c>
      <c r="AU315" t="s">
        <v>204</v>
      </c>
      <c r="AW315" t="s">
        <v>155</v>
      </c>
      <c r="AX315" t="s">
        <v>177</v>
      </c>
      <c r="AY315" t="s">
        <v>138</v>
      </c>
      <c r="AZ315" t="s">
        <v>3017</v>
      </c>
      <c r="BB315" t="s">
        <v>140</v>
      </c>
    </row>
    <row r="316" spans="1:54" x14ac:dyDescent="0.35">
      <c r="A316" t="s">
        <v>3018</v>
      </c>
      <c r="B316" t="s">
        <v>107</v>
      </c>
      <c r="C316" t="s">
        <v>107</v>
      </c>
      <c r="F316" t="s">
        <v>358</v>
      </c>
      <c r="G316" t="s">
        <v>359</v>
      </c>
      <c r="H316" t="s">
        <v>360</v>
      </c>
      <c r="I316" t="s">
        <v>341</v>
      </c>
      <c r="J316" t="s">
        <v>113</v>
      </c>
      <c r="K316" t="s">
        <v>114</v>
      </c>
      <c r="L316" t="s">
        <v>114</v>
      </c>
      <c r="M316" t="s">
        <v>114</v>
      </c>
      <c r="N316" t="s">
        <v>114</v>
      </c>
      <c r="O316" t="s">
        <v>114</v>
      </c>
      <c r="P316" t="s">
        <v>114</v>
      </c>
      <c r="Q316" t="s">
        <v>114</v>
      </c>
      <c r="R316" t="s">
        <v>114</v>
      </c>
      <c r="S316" t="s">
        <v>114</v>
      </c>
      <c r="T316" t="s">
        <v>114</v>
      </c>
      <c r="V316" t="s">
        <v>114</v>
      </c>
      <c r="W316" t="s">
        <v>114</v>
      </c>
      <c r="Y316" t="s">
        <v>3019</v>
      </c>
      <c r="Z316" t="s">
        <v>3019</v>
      </c>
      <c r="AA316" t="s">
        <v>3020</v>
      </c>
      <c r="AB316" t="s">
        <v>3021</v>
      </c>
      <c r="AC316" t="s">
        <v>3022</v>
      </c>
      <c r="AG316" t="s">
        <v>123</v>
      </c>
      <c r="AH316" t="s">
        <v>124</v>
      </c>
      <c r="AI316" t="s">
        <v>3023</v>
      </c>
      <c r="AJ316" t="s">
        <v>126</v>
      </c>
      <c r="AK316" t="s">
        <v>127</v>
      </c>
      <c r="AM316" t="s">
        <v>3024</v>
      </c>
      <c r="AN316" t="s">
        <v>3025</v>
      </c>
      <c r="AO316" t="s">
        <v>3026</v>
      </c>
      <c r="AP316" t="s">
        <v>131</v>
      </c>
      <c r="AQ316" t="s">
        <v>132</v>
      </c>
      <c r="AR316" t="s">
        <v>152</v>
      </c>
      <c r="AS316" t="s">
        <v>3027</v>
      </c>
      <c r="AU316" t="s">
        <v>906</v>
      </c>
      <c r="AX316" t="s">
        <v>177</v>
      </c>
      <c r="AY316" t="s">
        <v>364</v>
      </c>
      <c r="AZ316" t="s">
        <v>3028</v>
      </c>
      <c r="BB316" t="s">
        <v>140</v>
      </c>
    </row>
    <row r="317" spans="1:54" x14ac:dyDescent="0.35">
      <c r="A317" t="s">
        <v>3029</v>
      </c>
      <c r="B317" t="s">
        <v>107</v>
      </c>
      <c r="C317" t="s">
        <v>107</v>
      </c>
      <c r="F317" t="s">
        <v>613</v>
      </c>
      <c r="G317" t="s">
        <v>614</v>
      </c>
      <c r="H317" t="s">
        <v>615</v>
      </c>
      <c r="I317" t="s">
        <v>271</v>
      </c>
      <c r="J317" t="s">
        <v>113</v>
      </c>
      <c r="K317" t="s">
        <v>114</v>
      </c>
      <c r="L317" t="s">
        <v>114</v>
      </c>
      <c r="M317" t="s">
        <v>114</v>
      </c>
      <c r="N317" t="s">
        <v>114</v>
      </c>
      <c r="O317" t="s">
        <v>114</v>
      </c>
      <c r="P317" t="s">
        <v>114</v>
      </c>
      <c r="Q317" t="s">
        <v>114</v>
      </c>
      <c r="R317" t="s">
        <v>114</v>
      </c>
      <c r="S317" t="s">
        <v>114</v>
      </c>
      <c r="T317" t="s">
        <v>114</v>
      </c>
      <c r="V317" t="s">
        <v>114</v>
      </c>
      <c r="W317" t="s">
        <v>114</v>
      </c>
      <c r="Y317" t="s">
        <v>3030</v>
      </c>
      <c r="Z317" t="s">
        <v>3030</v>
      </c>
      <c r="AA317" t="s">
        <v>3031</v>
      </c>
      <c r="AB317" t="s">
        <v>3032</v>
      </c>
      <c r="AC317" t="s">
        <v>3033</v>
      </c>
      <c r="AG317" t="s">
        <v>123</v>
      </c>
      <c r="AH317" t="s">
        <v>124</v>
      </c>
      <c r="AI317" t="s">
        <v>3034</v>
      </c>
      <c r="AJ317" t="s">
        <v>126</v>
      </c>
      <c r="AK317" t="s">
        <v>127</v>
      </c>
      <c r="AM317" t="s">
        <v>3035</v>
      </c>
      <c r="AN317" t="s">
        <v>3036</v>
      </c>
      <c r="AO317" t="s">
        <v>3037</v>
      </c>
      <c r="AP317" t="s">
        <v>131</v>
      </c>
      <c r="AQ317" t="s">
        <v>132</v>
      </c>
      <c r="AR317" t="s">
        <v>387</v>
      </c>
      <c r="AS317" t="s">
        <v>3038</v>
      </c>
      <c r="AU317" t="s">
        <v>2008</v>
      </c>
      <c r="AV317" t="s">
        <v>300</v>
      </c>
      <c r="AX317" t="s">
        <v>177</v>
      </c>
      <c r="AY317" t="s">
        <v>627</v>
      </c>
      <c r="AZ317" t="s">
        <v>3039</v>
      </c>
      <c r="BB317" t="s">
        <v>140</v>
      </c>
    </row>
    <row r="318" spans="1:54" x14ac:dyDescent="0.35">
      <c r="A318" t="s">
        <v>3040</v>
      </c>
      <c r="B318" t="s">
        <v>107</v>
      </c>
      <c r="C318" t="s">
        <v>107</v>
      </c>
      <c r="F318" t="s">
        <v>358</v>
      </c>
      <c r="G318" t="s">
        <v>359</v>
      </c>
      <c r="H318" t="s">
        <v>360</v>
      </c>
      <c r="I318" t="s">
        <v>341</v>
      </c>
      <c r="J318" t="s">
        <v>113</v>
      </c>
      <c r="K318" t="s">
        <v>114</v>
      </c>
      <c r="L318" t="s">
        <v>114</v>
      </c>
      <c r="M318" t="s">
        <v>114</v>
      </c>
      <c r="N318" t="s">
        <v>114</v>
      </c>
      <c r="O318" t="s">
        <v>114</v>
      </c>
      <c r="P318" t="s">
        <v>114</v>
      </c>
      <c r="Q318" t="s">
        <v>114</v>
      </c>
      <c r="R318" t="s">
        <v>114</v>
      </c>
      <c r="S318" t="s">
        <v>114</v>
      </c>
      <c r="T318" t="s">
        <v>114</v>
      </c>
      <c r="V318" t="s">
        <v>114</v>
      </c>
      <c r="W318" t="s">
        <v>114</v>
      </c>
      <c r="Y318" t="s">
        <v>3041</v>
      </c>
      <c r="Z318" t="s">
        <v>3041</v>
      </c>
      <c r="AA318" t="s">
        <v>3042</v>
      </c>
      <c r="AB318" t="s">
        <v>3043</v>
      </c>
      <c r="AC318" t="s">
        <v>3044</v>
      </c>
      <c r="AG318" t="s">
        <v>123</v>
      </c>
      <c r="AH318" t="s">
        <v>124</v>
      </c>
      <c r="AI318" t="s">
        <v>3045</v>
      </c>
      <c r="AJ318" t="s">
        <v>126</v>
      </c>
      <c r="AK318" t="s">
        <v>127</v>
      </c>
      <c r="AM318" t="s">
        <v>3046</v>
      </c>
      <c r="AN318" t="s">
        <v>3047</v>
      </c>
      <c r="AO318" t="s">
        <v>3048</v>
      </c>
      <c r="AP318" t="s">
        <v>131</v>
      </c>
      <c r="AQ318" t="s">
        <v>132</v>
      </c>
      <c r="AR318" t="s">
        <v>2134</v>
      </c>
      <c r="AS318" t="s">
        <v>2135</v>
      </c>
      <c r="AU318" t="s">
        <v>3049</v>
      </c>
      <c r="AX318" t="s">
        <v>177</v>
      </c>
      <c r="AY318" t="s">
        <v>364</v>
      </c>
      <c r="AZ318" t="s">
        <v>3050</v>
      </c>
      <c r="BB318" t="s">
        <v>140</v>
      </c>
    </row>
    <row r="319" spans="1:54" x14ac:dyDescent="0.35">
      <c r="A319" t="s">
        <v>3040</v>
      </c>
      <c r="B319" t="s">
        <v>107</v>
      </c>
      <c r="C319" t="s">
        <v>107</v>
      </c>
      <c r="F319" t="s">
        <v>533</v>
      </c>
      <c r="G319" t="s">
        <v>534</v>
      </c>
      <c r="H319" t="s">
        <v>2360</v>
      </c>
      <c r="I319" t="s">
        <v>536</v>
      </c>
      <c r="J319" t="s">
        <v>113</v>
      </c>
      <c r="K319" t="s">
        <v>114</v>
      </c>
      <c r="L319" t="s">
        <v>114</v>
      </c>
      <c r="M319" t="s">
        <v>114</v>
      </c>
      <c r="N319" t="s">
        <v>114</v>
      </c>
      <c r="O319" t="s">
        <v>114</v>
      </c>
      <c r="P319" t="s">
        <v>114</v>
      </c>
      <c r="Q319" t="s">
        <v>114</v>
      </c>
      <c r="R319" t="s">
        <v>114</v>
      </c>
      <c r="S319" t="s">
        <v>114</v>
      </c>
      <c r="T319" t="s">
        <v>114</v>
      </c>
      <c r="V319" t="s">
        <v>114</v>
      </c>
      <c r="W319" t="s">
        <v>114</v>
      </c>
      <c r="Y319" t="s">
        <v>3041</v>
      </c>
      <c r="Z319" t="s">
        <v>3041</v>
      </c>
      <c r="AA319" t="s">
        <v>3042</v>
      </c>
      <c r="AB319" t="s">
        <v>3043</v>
      </c>
      <c r="AC319" t="s">
        <v>3044</v>
      </c>
      <c r="AG319" t="s">
        <v>123</v>
      </c>
      <c r="AH319" t="s">
        <v>124</v>
      </c>
      <c r="AI319" t="s">
        <v>3045</v>
      </c>
      <c r="AJ319" t="s">
        <v>126</v>
      </c>
      <c r="AK319" t="s">
        <v>127</v>
      </c>
      <c r="AM319" t="s">
        <v>3046</v>
      </c>
      <c r="AN319" t="s">
        <v>3047</v>
      </c>
      <c r="AO319" t="s">
        <v>3048</v>
      </c>
      <c r="AP319" t="s">
        <v>131</v>
      </c>
      <c r="AQ319" t="s">
        <v>132</v>
      </c>
      <c r="AR319" t="s">
        <v>2134</v>
      </c>
      <c r="AS319" t="s">
        <v>2135</v>
      </c>
      <c r="AU319" t="s">
        <v>3049</v>
      </c>
      <c r="AX319" t="s">
        <v>547</v>
      </c>
      <c r="AY319" t="s">
        <v>364</v>
      </c>
      <c r="AZ319" t="s">
        <v>3050</v>
      </c>
      <c r="BB319" t="s">
        <v>140</v>
      </c>
    </row>
    <row r="320" spans="1:54" x14ac:dyDescent="0.35">
      <c r="A320" t="s">
        <v>3051</v>
      </c>
      <c r="B320" t="s">
        <v>107</v>
      </c>
      <c r="C320" t="s">
        <v>107</v>
      </c>
      <c r="E320" t="s">
        <v>108</v>
      </c>
      <c r="F320" t="s">
        <v>158</v>
      </c>
      <c r="G320" t="s">
        <v>159</v>
      </c>
      <c r="H320" t="s">
        <v>111</v>
      </c>
      <c r="I320" t="s">
        <v>341</v>
      </c>
      <c r="J320" t="s">
        <v>113</v>
      </c>
      <c r="K320" t="s">
        <v>114</v>
      </c>
      <c r="L320" t="s">
        <v>161</v>
      </c>
      <c r="M320" t="s">
        <v>161</v>
      </c>
      <c r="N320" t="s">
        <v>114</v>
      </c>
      <c r="O320" t="s">
        <v>1110</v>
      </c>
      <c r="P320" t="s">
        <v>1111</v>
      </c>
      <c r="Q320" t="s">
        <v>114</v>
      </c>
      <c r="R320" t="s">
        <v>180</v>
      </c>
      <c r="S320" t="s">
        <v>114</v>
      </c>
      <c r="T320" t="s">
        <v>180</v>
      </c>
      <c r="V320" t="s">
        <v>114</v>
      </c>
      <c r="W320" t="s">
        <v>1111</v>
      </c>
      <c r="Y320" t="s">
        <v>3052</v>
      </c>
      <c r="Z320" t="s">
        <v>3053</v>
      </c>
      <c r="AA320" t="s">
        <v>3054</v>
      </c>
      <c r="AB320" t="s">
        <v>3055</v>
      </c>
      <c r="AC320" t="s">
        <v>3053</v>
      </c>
      <c r="AG320" t="s">
        <v>123</v>
      </c>
      <c r="AH320" t="s">
        <v>124</v>
      </c>
      <c r="AI320" t="s">
        <v>3056</v>
      </c>
      <c r="AJ320" t="s">
        <v>126</v>
      </c>
      <c r="AK320" t="s">
        <v>127</v>
      </c>
      <c r="AM320" t="s">
        <v>3057</v>
      </c>
      <c r="AN320" t="s">
        <v>3058</v>
      </c>
      <c r="AO320" t="s">
        <v>3059</v>
      </c>
      <c r="AP320" t="s">
        <v>131</v>
      </c>
      <c r="AQ320" t="s">
        <v>132</v>
      </c>
      <c r="AR320" t="s">
        <v>352</v>
      </c>
      <c r="AS320" t="s">
        <v>667</v>
      </c>
      <c r="AU320" t="s">
        <v>1135</v>
      </c>
      <c r="AW320" t="s">
        <v>136</v>
      </c>
      <c r="AX320" t="s">
        <v>177</v>
      </c>
      <c r="AY320" t="s">
        <v>138</v>
      </c>
      <c r="AZ320" t="s">
        <v>3060</v>
      </c>
      <c r="BB320" t="s">
        <v>140</v>
      </c>
    </row>
    <row r="321" spans="1:54" x14ac:dyDescent="0.35">
      <c r="A321" t="s">
        <v>3051</v>
      </c>
      <c r="B321" t="s">
        <v>107</v>
      </c>
      <c r="C321" t="s">
        <v>107</v>
      </c>
      <c r="E321" t="s">
        <v>108</v>
      </c>
      <c r="F321" t="s">
        <v>268</v>
      </c>
      <c r="G321" t="s">
        <v>269</v>
      </c>
      <c r="H321" t="s">
        <v>2268</v>
      </c>
      <c r="I321" t="s">
        <v>271</v>
      </c>
      <c r="J321" t="s">
        <v>113</v>
      </c>
      <c r="K321" t="s">
        <v>114</v>
      </c>
      <c r="L321" t="s">
        <v>114</v>
      </c>
      <c r="M321" t="s">
        <v>114</v>
      </c>
      <c r="N321" t="s">
        <v>114</v>
      </c>
      <c r="O321" t="s">
        <v>114</v>
      </c>
      <c r="P321" t="s">
        <v>114</v>
      </c>
      <c r="Q321" t="s">
        <v>114</v>
      </c>
      <c r="R321" t="s">
        <v>180</v>
      </c>
      <c r="S321" t="s">
        <v>114</v>
      </c>
      <c r="T321" t="s">
        <v>180</v>
      </c>
      <c r="V321" t="s">
        <v>114</v>
      </c>
      <c r="W321" t="s">
        <v>1111</v>
      </c>
      <c r="Y321" t="s">
        <v>3052</v>
      </c>
      <c r="Z321" t="s">
        <v>3053</v>
      </c>
      <c r="AA321" t="s">
        <v>3054</v>
      </c>
      <c r="AB321" t="s">
        <v>3055</v>
      </c>
      <c r="AC321" t="s">
        <v>3053</v>
      </c>
      <c r="AG321" t="s">
        <v>123</v>
      </c>
      <c r="AH321" t="s">
        <v>124</v>
      </c>
      <c r="AI321" t="s">
        <v>3056</v>
      </c>
      <c r="AJ321" t="s">
        <v>126</v>
      </c>
      <c r="AK321" t="s">
        <v>127</v>
      </c>
      <c r="AM321" t="s">
        <v>3057</v>
      </c>
      <c r="AN321" t="s">
        <v>3058</v>
      </c>
      <c r="AO321" t="s">
        <v>3059</v>
      </c>
      <c r="AP321" t="s">
        <v>131</v>
      </c>
      <c r="AQ321" t="s">
        <v>132</v>
      </c>
      <c r="AR321" t="s">
        <v>352</v>
      </c>
      <c r="AS321" t="s">
        <v>667</v>
      </c>
      <c r="AU321" t="s">
        <v>1135</v>
      </c>
      <c r="AW321" t="s">
        <v>136</v>
      </c>
      <c r="AX321" t="s">
        <v>272</v>
      </c>
      <c r="AY321" t="s">
        <v>273</v>
      </c>
      <c r="AZ321" t="s">
        <v>3060</v>
      </c>
      <c r="BB321" t="s">
        <v>140</v>
      </c>
    </row>
    <row r="322" spans="1:54" x14ac:dyDescent="0.35">
      <c r="A322" t="s">
        <v>3061</v>
      </c>
      <c r="B322" t="s">
        <v>107</v>
      </c>
      <c r="C322" t="s">
        <v>107</v>
      </c>
      <c r="E322" t="s">
        <v>108</v>
      </c>
      <c r="F322" t="s">
        <v>158</v>
      </c>
      <c r="G322" t="s">
        <v>159</v>
      </c>
      <c r="H322" t="s">
        <v>111</v>
      </c>
      <c r="I322" t="s">
        <v>341</v>
      </c>
      <c r="J322" t="s">
        <v>113</v>
      </c>
      <c r="K322" t="s">
        <v>114</v>
      </c>
      <c r="L322" t="s">
        <v>161</v>
      </c>
      <c r="M322" t="s">
        <v>161</v>
      </c>
      <c r="N322" t="s">
        <v>762</v>
      </c>
      <c r="O322" t="s">
        <v>1110</v>
      </c>
      <c r="P322" t="s">
        <v>1575</v>
      </c>
      <c r="Q322" t="s">
        <v>114</v>
      </c>
      <c r="R322" t="s">
        <v>180</v>
      </c>
      <c r="S322" t="s">
        <v>114</v>
      </c>
      <c r="T322" t="s">
        <v>180</v>
      </c>
      <c r="V322" t="s">
        <v>114</v>
      </c>
      <c r="W322" t="s">
        <v>1575</v>
      </c>
      <c r="Y322" t="s">
        <v>3062</v>
      </c>
      <c r="Z322" t="s">
        <v>3063</v>
      </c>
      <c r="AA322" t="s">
        <v>3064</v>
      </c>
      <c r="AB322" t="s">
        <v>3065</v>
      </c>
      <c r="AC322" t="s">
        <v>3066</v>
      </c>
      <c r="AG322" t="s">
        <v>123</v>
      </c>
      <c r="AH322" t="s">
        <v>124</v>
      </c>
      <c r="AI322" t="s">
        <v>3067</v>
      </c>
      <c r="AJ322" t="s">
        <v>126</v>
      </c>
      <c r="AK322" t="s">
        <v>127</v>
      </c>
      <c r="AM322" t="s">
        <v>3068</v>
      </c>
      <c r="AN322" t="s">
        <v>3069</v>
      </c>
      <c r="AO322" t="s">
        <v>3070</v>
      </c>
      <c r="AP322" t="s">
        <v>131</v>
      </c>
      <c r="AQ322" t="s">
        <v>132</v>
      </c>
      <c r="AR322" t="s">
        <v>756</v>
      </c>
      <c r="AS322" t="s">
        <v>1832</v>
      </c>
      <c r="AU322" t="s">
        <v>572</v>
      </c>
      <c r="AW322" t="s">
        <v>176</v>
      </c>
      <c r="AX322" t="s">
        <v>177</v>
      </c>
      <c r="AY322" t="s">
        <v>138</v>
      </c>
      <c r="AZ322" t="s">
        <v>3071</v>
      </c>
      <c r="BB322" t="s">
        <v>140</v>
      </c>
    </row>
    <row r="323" spans="1:54" x14ac:dyDescent="0.35">
      <c r="A323" t="s">
        <v>3061</v>
      </c>
      <c r="B323" t="s">
        <v>107</v>
      </c>
      <c r="C323" t="s">
        <v>107</v>
      </c>
      <c r="E323" t="s">
        <v>108</v>
      </c>
      <c r="F323" t="s">
        <v>268</v>
      </c>
      <c r="G323" t="s">
        <v>269</v>
      </c>
      <c r="H323" t="s">
        <v>2268</v>
      </c>
      <c r="I323" t="s">
        <v>271</v>
      </c>
      <c r="J323" t="s">
        <v>113</v>
      </c>
      <c r="K323" t="s">
        <v>114</v>
      </c>
      <c r="L323" t="s">
        <v>114</v>
      </c>
      <c r="M323" t="s">
        <v>114</v>
      </c>
      <c r="N323" t="s">
        <v>114</v>
      </c>
      <c r="O323" t="s">
        <v>114</v>
      </c>
      <c r="P323" t="s">
        <v>114</v>
      </c>
      <c r="Q323" t="s">
        <v>114</v>
      </c>
      <c r="R323" t="s">
        <v>180</v>
      </c>
      <c r="S323" t="s">
        <v>114</v>
      </c>
      <c r="T323" t="s">
        <v>180</v>
      </c>
      <c r="V323" t="s">
        <v>114</v>
      </c>
      <c r="W323" t="s">
        <v>1575</v>
      </c>
      <c r="Y323" t="s">
        <v>3062</v>
      </c>
      <c r="Z323" t="s">
        <v>3063</v>
      </c>
      <c r="AA323" t="s">
        <v>3064</v>
      </c>
      <c r="AB323" t="s">
        <v>3065</v>
      </c>
      <c r="AC323" t="s">
        <v>3066</v>
      </c>
      <c r="AG323" t="s">
        <v>123</v>
      </c>
      <c r="AH323" t="s">
        <v>124</v>
      </c>
      <c r="AI323" t="s">
        <v>3067</v>
      </c>
      <c r="AJ323" t="s">
        <v>126</v>
      </c>
      <c r="AK323" t="s">
        <v>127</v>
      </c>
      <c r="AM323" t="s">
        <v>3068</v>
      </c>
      <c r="AN323" t="s">
        <v>3069</v>
      </c>
      <c r="AO323" t="s">
        <v>3070</v>
      </c>
      <c r="AP323" t="s">
        <v>131</v>
      </c>
      <c r="AQ323" t="s">
        <v>132</v>
      </c>
      <c r="AR323" t="s">
        <v>756</v>
      </c>
      <c r="AS323" t="s">
        <v>1832</v>
      </c>
      <c r="AU323" t="s">
        <v>572</v>
      </c>
      <c r="AW323" t="s">
        <v>176</v>
      </c>
      <c r="AX323" t="s">
        <v>272</v>
      </c>
      <c r="AY323" t="s">
        <v>273</v>
      </c>
      <c r="AZ323" t="s">
        <v>3071</v>
      </c>
      <c r="BB323" t="s">
        <v>140</v>
      </c>
    </row>
    <row r="324" spans="1:54" x14ac:dyDescent="0.35">
      <c r="A324" t="s">
        <v>3072</v>
      </c>
      <c r="B324" t="s">
        <v>107</v>
      </c>
      <c r="C324" t="s">
        <v>107</v>
      </c>
      <c r="E324" t="s">
        <v>108</v>
      </c>
      <c r="F324" t="s">
        <v>158</v>
      </c>
      <c r="G324" t="s">
        <v>159</v>
      </c>
      <c r="H324" t="s">
        <v>111</v>
      </c>
      <c r="I324" t="s">
        <v>341</v>
      </c>
      <c r="J324" t="s">
        <v>113</v>
      </c>
      <c r="K324" t="s">
        <v>114</v>
      </c>
      <c r="L324" t="s">
        <v>161</v>
      </c>
      <c r="M324" t="s">
        <v>161</v>
      </c>
      <c r="N324" t="s">
        <v>994</v>
      </c>
      <c r="O324" t="s">
        <v>1110</v>
      </c>
      <c r="P324" t="s">
        <v>1151</v>
      </c>
      <c r="Q324" t="s">
        <v>180</v>
      </c>
      <c r="R324" t="s">
        <v>180</v>
      </c>
      <c r="S324" t="s">
        <v>114</v>
      </c>
      <c r="T324" t="s">
        <v>114</v>
      </c>
      <c r="V324" t="s">
        <v>114</v>
      </c>
      <c r="W324" t="s">
        <v>3073</v>
      </c>
      <c r="Y324" t="s">
        <v>3074</v>
      </c>
      <c r="Z324" t="s">
        <v>3075</v>
      </c>
      <c r="AA324" t="s">
        <v>3076</v>
      </c>
      <c r="AB324" t="s">
        <v>3077</v>
      </c>
      <c r="AC324" t="s">
        <v>3075</v>
      </c>
      <c r="AG324" t="s">
        <v>123</v>
      </c>
      <c r="AH324" t="s">
        <v>124</v>
      </c>
      <c r="AI324" t="s">
        <v>3078</v>
      </c>
      <c r="AJ324" t="s">
        <v>126</v>
      </c>
      <c r="AK324" t="s">
        <v>127</v>
      </c>
      <c r="AM324" t="s">
        <v>3079</v>
      </c>
      <c r="AN324" t="s">
        <v>3080</v>
      </c>
      <c r="AO324" t="s">
        <v>3081</v>
      </c>
      <c r="AP324" t="s">
        <v>131</v>
      </c>
      <c r="AQ324" t="s">
        <v>132</v>
      </c>
      <c r="AR324" t="s">
        <v>3082</v>
      </c>
      <c r="AS324" t="s">
        <v>3083</v>
      </c>
      <c r="AU324" t="s">
        <v>300</v>
      </c>
      <c r="AW324" t="s">
        <v>136</v>
      </c>
      <c r="AX324" t="s">
        <v>177</v>
      </c>
      <c r="AY324" t="s">
        <v>138</v>
      </c>
      <c r="AZ324" t="s">
        <v>3084</v>
      </c>
      <c r="BB324" t="s">
        <v>140</v>
      </c>
    </row>
    <row r="325" spans="1:54" x14ac:dyDescent="0.35">
      <c r="A325" t="s">
        <v>3072</v>
      </c>
      <c r="B325" t="s">
        <v>107</v>
      </c>
      <c r="C325" t="s">
        <v>107</v>
      </c>
      <c r="E325" t="s">
        <v>108</v>
      </c>
      <c r="F325" t="s">
        <v>268</v>
      </c>
      <c r="G325" t="s">
        <v>269</v>
      </c>
      <c r="H325" t="s">
        <v>2268</v>
      </c>
      <c r="I325" t="s">
        <v>271</v>
      </c>
      <c r="J325" t="s">
        <v>113</v>
      </c>
      <c r="K325" t="s">
        <v>114</v>
      </c>
      <c r="L325" t="s">
        <v>114</v>
      </c>
      <c r="M325" t="s">
        <v>114</v>
      </c>
      <c r="N325" t="s">
        <v>114</v>
      </c>
      <c r="O325" t="s">
        <v>114</v>
      </c>
      <c r="P325" t="s">
        <v>114</v>
      </c>
      <c r="Q325" t="s">
        <v>180</v>
      </c>
      <c r="R325" t="s">
        <v>180</v>
      </c>
      <c r="S325" t="s">
        <v>114</v>
      </c>
      <c r="T325" t="s">
        <v>114</v>
      </c>
      <c r="V325" t="s">
        <v>114</v>
      </c>
      <c r="W325" t="s">
        <v>3073</v>
      </c>
      <c r="Y325" t="s">
        <v>3074</v>
      </c>
      <c r="Z325" t="s">
        <v>3075</v>
      </c>
      <c r="AA325" t="s">
        <v>3076</v>
      </c>
      <c r="AB325" t="s">
        <v>3077</v>
      </c>
      <c r="AC325" t="s">
        <v>3075</v>
      </c>
      <c r="AG325" t="s">
        <v>123</v>
      </c>
      <c r="AH325" t="s">
        <v>124</v>
      </c>
      <c r="AI325" t="s">
        <v>3078</v>
      </c>
      <c r="AJ325" t="s">
        <v>126</v>
      </c>
      <c r="AK325" t="s">
        <v>127</v>
      </c>
      <c r="AM325" t="s">
        <v>3079</v>
      </c>
      <c r="AN325" t="s">
        <v>3080</v>
      </c>
      <c r="AO325" t="s">
        <v>3081</v>
      </c>
      <c r="AP325" t="s">
        <v>131</v>
      </c>
      <c r="AQ325" t="s">
        <v>132</v>
      </c>
      <c r="AR325" t="s">
        <v>3082</v>
      </c>
      <c r="AS325" t="s">
        <v>3083</v>
      </c>
      <c r="AU325" t="s">
        <v>300</v>
      </c>
      <c r="AW325" t="s">
        <v>136</v>
      </c>
      <c r="AX325" t="s">
        <v>272</v>
      </c>
      <c r="AY325" t="s">
        <v>273</v>
      </c>
      <c r="AZ325" t="s">
        <v>3084</v>
      </c>
      <c r="BB325" t="s">
        <v>140</v>
      </c>
    </row>
    <row r="326" spans="1:54" x14ac:dyDescent="0.35">
      <c r="A326" t="s">
        <v>3085</v>
      </c>
      <c r="B326" t="s">
        <v>107</v>
      </c>
      <c r="C326" t="s">
        <v>107</v>
      </c>
      <c r="E326" t="s">
        <v>108</v>
      </c>
      <c r="F326" t="s">
        <v>158</v>
      </c>
      <c r="G326" t="s">
        <v>159</v>
      </c>
      <c r="H326" t="s">
        <v>111</v>
      </c>
      <c r="I326" t="s">
        <v>341</v>
      </c>
      <c r="J326" t="s">
        <v>113</v>
      </c>
      <c r="K326" t="s">
        <v>114</v>
      </c>
      <c r="L326" t="s">
        <v>161</v>
      </c>
      <c r="M326" t="s">
        <v>161</v>
      </c>
      <c r="N326" t="s">
        <v>994</v>
      </c>
      <c r="O326" t="s">
        <v>1110</v>
      </c>
      <c r="P326" t="s">
        <v>1151</v>
      </c>
      <c r="Q326" t="s">
        <v>114</v>
      </c>
      <c r="R326" t="s">
        <v>142</v>
      </c>
      <c r="S326" t="s">
        <v>114</v>
      </c>
      <c r="T326" t="s">
        <v>142</v>
      </c>
      <c r="V326" t="s">
        <v>114</v>
      </c>
      <c r="W326" t="s">
        <v>1151</v>
      </c>
      <c r="Y326" t="s">
        <v>3086</v>
      </c>
      <c r="Z326" t="s">
        <v>3087</v>
      </c>
      <c r="AA326" t="s">
        <v>3088</v>
      </c>
      <c r="AB326" t="s">
        <v>3089</v>
      </c>
      <c r="AC326" t="s">
        <v>3087</v>
      </c>
      <c r="AG326" t="s">
        <v>123</v>
      </c>
      <c r="AH326" t="s">
        <v>124</v>
      </c>
      <c r="AI326" t="s">
        <v>3090</v>
      </c>
      <c r="AJ326" t="s">
        <v>126</v>
      </c>
      <c r="AK326" t="s">
        <v>127</v>
      </c>
      <c r="AM326" t="s">
        <v>3091</v>
      </c>
      <c r="AN326" t="s">
        <v>3092</v>
      </c>
      <c r="AO326" t="s">
        <v>3093</v>
      </c>
      <c r="AP326" t="s">
        <v>131</v>
      </c>
      <c r="AQ326" t="s">
        <v>132</v>
      </c>
      <c r="AR326" t="s">
        <v>152</v>
      </c>
      <c r="AS326" t="s">
        <v>494</v>
      </c>
      <c r="AU326" t="s">
        <v>572</v>
      </c>
      <c r="AW326" t="s">
        <v>136</v>
      </c>
      <c r="AX326" t="s">
        <v>177</v>
      </c>
      <c r="AY326" t="s">
        <v>138</v>
      </c>
      <c r="AZ326" t="s">
        <v>3094</v>
      </c>
      <c r="BB326" t="s">
        <v>140</v>
      </c>
    </row>
    <row r="327" spans="1:54" x14ac:dyDescent="0.35">
      <c r="A327" t="s">
        <v>3085</v>
      </c>
      <c r="B327" t="s">
        <v>107</v>
      </c>
      <c r="C327" t="s">
        <v>107</v>
      </c>
      <c r="E327" t="s">
        <v>108</v>
      </c>
      <c r="F327" t="s">
        <v>268</v>
      </c>
      <c r="G327" t="s">
        <v>269</v>
      </c>
      <c r="H327" t="s">
        <v>2268</v>
      </c>
      <c r="I327" t="s">
        <v>271</v>
      </c>
      <c r="J327" t="s">
        <v>113</v>
      </c>
      <c r="K327" t="s">
        <v>114</v>
      </c>
      <c r="L327" t="s">
        <v>114</v>
      </c>
      <c r="M327" t="s">
        <v>114</v>
      </c>
      <c r="N327" t="s">
        <v>114</v>
      </c>
      <c r="O327" t="s">
        <v>114</v>
      </c>
      <c r="P327" t="s">
        <v>114</v>
      </c>
      <c r="Q327" t="s">
        <v>114</v>
      </c>
      <c r="R327" t="s">
        <v>142</v>
      </c>
      <c r="S327" t="s">
        <v>114</v>
      </c>
      <c r="T327" t="s">
        <v>142</v>
      </c>
      <c r="V327" t="s">
        <v>114</v>
      </c>
      <c r="W327" t="s">
        <v>1151</v>
      </c>
      <c r="Y327" t="s">
        <v>3086</v>
      </c>
      <c r="Z327" t="s">
        <v>3087</v>
      </c>
      <c r="AA327" t="s">
        <v>3088</v>
      </c>
      <c r="AB327" t="s">
        <v>3089</v>
      </c>
      <c r="AC327" t="s">
        <v>3087</v>
      </c>
      <c r="AG327" t="s">
        <v>123</v>
      </c>
      <c r="AH327" t="s">
        <v>124</v>
      </c>
      <c r="AI327" t="s">
        <v>3090</v>
      </c>
      <c r="AJ327" t="s">
        <v>126</v>
      </c>
      <c r="AK327" t="s">
        <v>127</v>
      </c>
      <c r="AM327" t="s">
        <v>3091</v>
      </c>
      <c r="AN327" t="s">
        <v>3092</v>
      </c>
      <c r="AO327" t="s">
        <v>3093</v>
      </c>
      <c r="AP327" t="s">
        <v>131</v>
      </c>
      <c r="AQ327" t="s">
        <v>132</v>
      </c>
      <c r="AR327" t="s">
        <v>152</v>
      </c>
      <c r="AS327" t="s">
        <v>494</v>
      </c>
      <c r="AU327" t="s">
        <v>572</v>
      </c>
      <c r="AW327" t="s">
        <v>136</v>
      </c>
      <c r="AX327" t="s">
        <v>272</v>
      </c>
      <c r="AY327" t="s">
        <v>273</v>
      </c>
      <c r="AZ327" t="s">
        <v>3094</v>
      </c>
      <c r="BB327" t="s">
        <v>140</v>
      </c>
    </row>
    <row r="328" spans="1:54" x14ac:dyDescent="0.35">
      <c r="A328" t="s">
        <v>3095</v>
      </c>
      <c r="B328" t="s">
        <v>107</v>
      </c>
      <c r="C328" t="s">
        <v>107</v>
      </c>
      <c r="E328" t="s">
        <v>108</v>
      </c>
      <c r="F328" t="s">
        <v>158</v>
      </c>
      <c r="G328" t="s">
        <v>159</v>
      </c>
      <c r="H328" t="s">
        <v>111</v>
      </c>
      <c r="I328" t="s">
        <v>341</v>
      </c>
      <c r="J328" t="s">
        <v>113</v>
      </c>
      <c r="K328" t="s">
        <v>114</v>
      </c>
      <c r="L328" t="s">
        <v>161</v>
      </c>
      <c r="M328" t="s">
        <v>161</v>
      </c>
      <c r="N328" t="s">
        <v>994</v>
      </c>
      <c r="O328" t="s">
        <v>1110</v>
      </c>
      <c r="P328" t="s">
        <v>1151</v>
      </c>
      <c r="Q328" t="s">
        <v>114</v>
      </c>
      <c r="R328" t="s">
        <v>180</v>
      </c>
      <c r="S328" t="s">
        <v>114</v>
      </c>
      <c r="T328" t="s">
        <v>180</v>
      </c>
      <c r="V328" t="s">
        <v>114</v>
      </c>
      <c r="W328" t="s">
        <v>1151</v>
      </c>
      <c r="Y328" t="s">
        <v>3096</v>
      </c>
      <c r="Z328" t="s">
        <v>3097</v>
      </c>
      <c r="AA328" t="s">
        <v>3098</v>
      </c>
      <c r="AB328" t="s">
        <v>3099</v>
      </c>
      <c r="AC328" t="s">
        <v>3097</v>
      </c>
      <c r="AG328" t="s">
        <v>123</v>
      </c>
      <c r="AH328" t="s">
        <v>124</v>
      </c>
      <c r="AI328" t="s">
        <v>3100</v>
      </c>
      <c r="AJ328" t="s">
        <v>126</v>
      </c>
      <c r="AK328" t="s">
        <v>127</v>
      </c>
      <c r="AM328" t="s">
        <v>3101</v>
      </c>
      <c r="AN328" t="s">
        <v>3102</v>
      </c>
      <c r="AO328" t="s">
        <v>3103</v>
      </c>
      <c r="AP328" t="s">
        <v>131</v>
      </c>
      <c r="AQ328" t="s">
        <v>132</v>
      </c>
      <c r="AR328" t="s">
        <v>743</v>
      </c>
      <c r="AS328" t="s">
        <v>3104</v>
      </c>
      <c r="AU328" t="s">
        <v>810</v>
      </c>
      <c r="AW328" t="s">
        <v>136</v>
      </c>
      <c r="AX328" t="s">
        <v>177</v>
      </c>
      <c r="AY328" t="s">
        <v>138</v>
      </c>
      <c r="AZ328" t="s">
        <v>3105</v>
      </c>
      <c r="BB328" t="s">
        <v>140</v>
      </c>
    </row>
    <row r="329" spans="1:54" x14ac:dyDescent="0.35">
      <c r="A329" t="s">
        <v>3095</v>
      </c>
      <c r="B329" t="s">
        <v>107</v>
      </c>
      <c r="C329" t="s">
        <v>107</v>
      </c>
      <c r="E329" t="s">
        <v>108</v>
      </c>
      <c r="F329" t="s">
        <v>268</v>
      </c>
      <c r="G329" t="s">
        <v>269</v>
      </c>
      <c r="H329" t="s">
        <v>2268</v>
      </c>
      <c r="I329" t="s">
        <v>271</v>
      </c>
      <c r="J329" t="s">
        <v>113</v>
      </c>
      <c r="K329" t="s">
        <v>114</v>
      </c>
      <c r="L329" t="s">
        <v>114</v>
      </c>
      <c r="M329" t="s">
        <v>114</v>
      </c>
      <c r="N329" t="s">
        <v>114</v>
      </c>
      <c r="O329" t="s">
        <v>114</v>
      </c>
      <c r="P329" t="s">
        <v>114</v>
      </c>
      <c r="Q329" t="s">
        <v>114</v>
      </c>
      <c r="R329" t="s">
        <v>180</v>
      </c>
      <c r="S329" t="s">
        <v>114</v>
      </c>
      <c r="T329" t="s">
        <v>180</v>
      </c>
      <c r="V329" t="s">
        <v>114</v>
      </c>
      <c r="W329" t="s">
        <v>1151</v>
      </c>
      <c r="Y329" t="s">
        <v>3096</v>
      </c>
      <c r="Z329" t="s">
        <v>3097</v>
      </c>
      <c r="AA329" t="s">
        <v>3098</v>
      </c>
      <c r="AB329" t="s">
        <v>3099</v>
      </c>
      <c r="AC329" t="s">
        <v>3097</v>
      </c>
      <c r="AG329" t="s">
        <v>123</v>
      </c>
      <c r="AH329" t="s">
        <v>124</v>
      </c>
      <c r="AI329" t="s">
        <v>3100</v>
      </c>
      <c r="AJ329" t="s">
        <v>126</v>
      </c>
      <c r="AK329" t="s">
        <v>127</v>
      </c>
      <c r="AM329" t="s">
        <v>3101</v>
      </c>
      <c r="AN329" t="s">
        <v>3102</v>
      </c>
      <c r="AO329" t="s">
        <v>3103</v>
      </c>
      <c r="AP329" t="s">
        <v>131</v>
      </c>
      <c r="AQ329" t="s">
        <v>132</v>
      </c>
      <c r="AR329" t="s">
        <v>743</v>
      </c>
      <c r="AS329" t="s">
        <v>3104</v>
      </c>
      <c r="AU329" t="s">
        <v>810</v>
      </c>
      <c r="AW329" t="s">
        <v>136</v>
      </c>
      <c r="AX329" t="s">
        <v>272</v>
      </c>
      <c r="AY329" t="s">
        <v>273</v>
      </c>
      <c r="AZ329" t="s">
        <v>3105</v>
      </c>
      <c r="BB329" t="s">
        <v>140</v>
      </c>
    </row>
    <row r="330" spans="1:54" x14ac:dyDescent="0.35">
      <c r="A330" t="s">
        <v>3106</v>
      </c>
      <c r="B330" t="s">
        <v>107</v>
      </c>
      <c r="C330" t="s">
        <v>107</v>
      </c>
      <c r="E330" t="s">
        <v>108</v>
      </c>
      <c r="F330" t="s">
        <v>158</v>
      </c>
      <c r="G330" t="s">
        <v>159</v>
      </c>
      <c r="H330" t="s">
        <v>111</v>
      </c>
      <c r="I330" t="s">
        <v>341</v>
      </c>
      <c r="J330" t="s">
        <v>113</v>
      </c>
      <c r="K330" t="s">
        <v>114</v>
      </c>
      <c r="L330" t="s">
        <v>161</v>
      </c>
      <c r="M330" t="s">
        <v>161</v>
      </c>
      <c r="N330" t="s">
        <v>994</v>
      </c>
      <c r="O330" t="s">
        <v>1110</v>
      </c>
      <c r="P330" t="s">
        <v>1151</v>
      </c>
      <c r="Q330" t="s">
        <v>114</v>
      </c>
      <c r="R330" t="s">
        <v>180</v>
      </c>
      <c r="S330" t="s">
        <v>114</v>
      </c>
      <c r="T330" t="s">
        <v>180</v>
      </c>
      <c r="V330" t="s">
        <v>114</v>
      </c>
      <c r="W330" t="s">
        <v>1151</v>
      </c>
      <c r="Y330" t="s">
        <v>3107</v>
      </c>
      <c r="Z330" t="s">
        <v>3108</v>
      </c>
      <c r="AA330" t="s">
        <v>3109</v>
      </c>
      <c r="AB330" t="s">
        <v>3099</v>
      </c>
      <c r="AC330" t="s">
        <v>3108</v>
      </c>
      <c r="AG330" t="s">
        <v>123</v>
      </c>
      <c r="AH330" t="s">
        <v>124</v>
      </c>
      <c r="AI330" t="s">
        <v>3110</v>
      </c>
      <c r="AJ330" t="s">
        <v>126</v>
      </c>
      <c r="AK330" t="s">
        <v>127</v>
      </c>
      <c r="AM330" t="s">
        <v>3111</v>
      </c>
      <c r="AN330" t="s">
        <v>3112</v>
      </c>
      <c r="AO330" t="s">
        <v>3113</v>
      </c>
      <c r="AP330" t="s">
        <v>131</v>
      </c>
      <c r="AQ330" t="s">
        <v>132</v>
      </c>
      <c r="AR330" t="s">
        <v>3114</v>
      </c>
      <c r="AS330" t="s">
        <v>3115</v>
      </c>
      <c r="AU330" t="s">
        <v>190</v>
      </c>
      <c r="AV330" t="s">
        <v>375</v>
      </c>
      <c r="AW330" t="s">
        <v>136</v>
      </c>
      <c r="AX330" t="s">
        <v>177</v>
      </c>
      <c r="AY330" t="s">
        <v>138</v>
      </c>
      <c r="AZ330" t="s">
        <v>3116</v>
      </c>
      <c r="BB330" t="s">
        <v>140</v>
      </c>
    </row>
    <row r="331" spans="1:54" x14ac:dyDescent="0.35">
      <c r="A331" t="s">
        <v>3106</v>
      </c>
      <c r="B331" t="s">
        <v>107</v>
      </c>
      <c r="C331" t="s">
        <v>107</v>
      </c>
      <c r="E331" t="s">
        <v>108</v>
      </c>
      <c r="F331" t="s">
        <v>268</v>
      </c>
      <c r="G331" t="s">
        <v>269</v>
      </c>
      <c r="H331" t="s">
        <v>2268</v>
      </c>
      <c r="I331" t="s">
        <v>271</v>
      </c>
      <c r="J331" t="s">
        <v>113</v>
      </c>
      <c r="K331" t="s">
        <v>114</v>
      </c>
      <c r="L331" t="s">
        <v>114</v>
      </c>
      <c r="M331" t="s">
        <v>114</v>
      </c>
      <c r="N331" t="s">
        <v>114</v>
      </c>
      <c r="O331" t="s">
        <v>114</v>
      </c>
      <c r="P331" t="s">
        <v>114</v>
      </c>
      <c r="Q331" t="s">
        <v>114</v>
      </c>
      <c r="R331" t="s">
        <v>180</v>
      </c>
      <c r="S331" t="s">
        <v>114</v>
      </c>
      <c r="T331" t="s">
        <v>180</v>
      </c>
      <c r="V331" t="s">
        <v>114</v>
      </c>
      <c r="W331" t="s">
        <v>1151</v>
      </c>
      <c r="Y331" t="s">
        <v>3107</v>
      </c>
      <c r="Z331" t="s">
        <v>3108</v>
      </c>
      <c r="AA331" t="s">
        <v>3109</v>
      </c>
      <c r="AB331" t="s">
        <v>3099</v>
      </c>
      <c r="AC331" t="s">
        <v>3108</v>
      </c>
      <c r="AG331" t="s">
        <v>123</v>
      </c>
      <c r="AH331" t="s">
        <v>124</v>
      </c>
      <c r="AI331" t="s">
        <v>3110</v>
      </c>
      <c r="AJ331" t="s">
        <v>126</v>
      </c>
      <c r="AK331" t="s">
        <v>127</v>
      </c>
      <c r="AM331" t="s">
        <v>3111</v>
      </c>
      <c r="AN331" t="s">
        <v>3112</v>
      </c>
      <c r="AO331" t="s">
        <v>3113</v>
      </c>
      <c r="AP331" t="s">
        <v>131</v>
      </c>
      <c r="AQ331" t="s">
        <v>132</v>
      </c>
      <c r="AR331" t="s">
        <v>3114</v>
      </c>
      <c r="AS331" t="s">
        <v>3115</v>
      </c>
      <c r="AU331" t="s">
        <v>190</v>
      </c>
      <c r="AV331" t="s">
        <v>375</v>
      </c>
      <c r="AW331" t="s">
        <v>136</v>
      </c>
      <c r="AX331" t="s">
        <v>272</v>
      </c>
      <c r="AY331" t="s">
        <v>273</v>
      </c>
      <c r="AZ331" t="s">
        <v>3116</v>
      </c>
      <c r="BB331" t="s">
        <v>140</v>
      </c>
    </row>
    <row r="332" spans="1:54" x14ac:dyDescent="0.35">
      <c r="A332" t="s">
        <v>3117</v>
      </c>
      <c r="B332" t="s">
        <v>107</v>
      </c>
      <c r="C332" t="s">
        <v>107</v>
      </c>
      <c r="E332" t="s">
        <v>108</v>
      </c>
      <c r="F332" t="s">
        <v>158</v>
      </c>
      <c r="G332" t="s">
        <v>159</v>
      </c>
      <c r="H332" t="s">
        <v>111</v>
      </c>
      <c r="I332" t="s">
        <v>341</v>
      </c>
      <c r="J332" t="s">
        <v>113</v>
      </c>
      <c r="K332" t="s">
        <v>114</v>
      </c>
      <c r="L332" t="s">
        <v>161</v>
      </c>
      <c r="M332" t="s">
        <v>161</v>
      </c>
      <c r="N332" t="s">
        <v>994</v>
      </c>
      <c r="O332" t="s">
        <v>1110</v>
      </c>
      <c r="P332" t="s">
        <v>1151</v>
      </c>
      <c r="Q332" t="s">
        <v>114</v>
      </c>
      <c r="R332" t="s">
        <v>142</v>
      </c>
      <c r="S332" t="s">
        <v>114</v>
      </c>
      <c r="T332" t="s">
        <v>142</v>
      </c>
      <c r="V332" t="s">
        <v>114</v>
      </c>
      <c r="W332" t="s">
        <v>1151</v>
      </c>
      <c r="Y332" t="s">
        <v>3118</v>
      </c>
      <c r="Z332" t="s">
        <v>3119</v>
      </c>
      <c r="AA332" t="s">
        <v>3120</v>
      </c>
      <c r="AB332" t="s">
        <v>3121</v>
      </c>
      <c r="AC332" t="s">
        <v>3119</v>
      </c>
      <c r="AG332" t="s">
        <v>123</v>
      </c>
      <c r="AH332" t="s">
        <v>124</v>
      </c>
      <c r="AI332" t="s">
        <v>3122</v>
      </c>
      <c r="AJ332" t="s">
        <v>126</v>
      </c>
      <c r="AK332" t="s">
        <v>127</v>
      </c>
      <c r="AM332" t="s">
        <v>3123</v>
      </c>
      <c r="AN332" t="s">
        <v>3124</v>
      </c>
      <c r="AO332" t="s">
        <v>3125</v>
      </c>
      <c r="AP332" t="s">
        <v>131</v>
      </c>
      <c r="AQ332" t="s">
        <v>132</v>
      </c>
      <c r="AR332" t="s">
        <v>152</v>
      </c>
      <c r="AS332" t="s">
        <v>1730</v>
      </c>
      <c r="AU332" t="s">
        <v>572</v>
      </c>
      <c r="AV332" t="s">
        <v>389</v>
      </c>
      <c r="AW332" t="s">
        <v>136</v>
      </c>
      <c r="AX332" t="s">
        <v>177</v>
      </c>
      <c r="AY332" t="s">
        <v>138</v>
      </c>
      <c r="AZ332" t="s">
        <v>3126</v>
      </c>
      <c r="BB332" t="s">
        <v>140</v>
      </c>
    </row>
    <row r="333" spans="1:54" x14ac:dyDescent="0.35">
      <c r="A333" t="s">
        <v>3117</v>
      </c>
      <c r="B333" t="s">
        <v>107</v>
      </c>
      <c r="C333" t="s">
        <v>107</v>
      </c>
      <c r="E333" t="s">
        <v>108</v>
      </c>
      <c r="F333" t="s">
        <v>268</v>
      </c>
      <c r="G333" t="s">
        <v>269</v>
      </c>
      <c r="H333" t="s">
        <v>2268</v>
      </c>
      <c r="I333" t="s">
        <v>271</v>
      </c>
      <c r="J333" t="s">
        <v>113</v>
      </c>
      <c r="K333" t="s">
        <v>114</v>
      </c>
      <c r="L333" t="s">
        <v>114</v>
      </c>
      <c r="M333" t="s">
        <v>114</v>
      </c>
      <c r="N333" t="s">
        <v>114</v>
      </c>
      <c r="O333" t="s">
        <v>114</v>
      </c>
      <c r="P333" t="s">
        <v>114</v>
      </c>
      <c r="Q333" t="s">
        <v>114</v>
      </c>
      <c r="R333" t="s">
        <v>142</v>
      </c>
      <c r="S333" t="s">
        <v>114</v>
      </c>
      <c r="T333" t="s">
        <v>142</v>
      </c>
      <c r="V333" t="s">
        <v>114</v>
      </c>
      <c r="W333" t="s">
        <v>1151</v>
      </c>
      <c r="Y333" t="s">
        <v>3118</v>
      </c>
      <c r="Z333" t="s">
        <v>3119</v>
      </c>
      <c r="AA333" t="s">
        <v>3120</v>
      </c>
      <c r="AB333" t="s">
        <v>3121</v>
      </c>
      <c r="AC333" t="s">
        <v>3119</v>
      </c>
      <c r="AG333" t="s">
        <v>123</v>
      </c>
      <c r="AH333" t="s">
        <v>124</v>
      </c>
      <c r="AI333" t="s">
        <v>3122</v>
      </c>
      <c r="AJ333" t="s">
        <v>126</v>
      </c>
      <c r="AK333" t="s">
        <v>127</v>
      </c>
      <c r="AM333" t="s">
        <v>3123</v>
      </c>
      <c r="AN333" t="s">
        <v>3124</v>
      </c>
      <c r="AO333" t="s">
        <v>3125</v>
      </c>
      <c r="AP333" t="s">
        <v>131</v>
      </c>
      <c r="AQ333" t="s">
        <v>132</v>
      </c>
      <c r="AR333" t="s">
        <v>152</v>
      </c>
      <c r="AS333" t="s">
        <v>1730</v>
      </c>
      <c r="AU333" t="s">
        <v>572</v>
      </c>
      <c r="AV333" t="s">
        <v>389</v>
      </c>
      <c r="AW333" t="s">
        <v>136</v>
      </c>
      <c r="AX333" t="s">
        <v>272</v>
      </c>
      <c r="AY333" t="s">
        <v>273</v>
      </c>
      <c r="AZ333" t="s">
        <v>3126</v>
      </c>
      <c r="BB333" t="s">
        <v>140</v>
      </c>
    </row>
    <row r="334" spans="1:54" x14ac:dyDescent="0.35">
      <c r="A334" t="s">
        <v>3127</v>
      </c>
      <c r="B334" t="s">
        <v>107</v>
      </c>
      <c r="C334" t="s">
        <v>107</v>
      </c>
      <c r="E334" t="s">
        <v>108</v>
      </c>
      <c r="F334" t="s">
        <v>268</v>
      </c>
      <c r="G334" t="s">
        <v>269</v>
      </c>
      <c r="H334" t="s">
        <v>2268</v>
      </c>
      <c r="I334" t="s">
        <v>271</v>
      </c>
      <c r="J334" t="s">
        <v>113</v>
      </c>
      <c r="K334" t="s">
        <v>114</v>
      </c>
      <c r="L334" t="s">
        <v>114</v>
      </c>
      <c r="M334" t="s">
        <v>114</v>
      </c>
      <c r="N334" t="s">
        <v>114</v>
      </c>
      <c r="O334" t="s">
        <v>114</v>
      </c>
      <c r="P334" t="s">
        <v>114</v>
      </c>
      <c r="Q334" t="s">
        <v>114</v>
      </c>
      <c r="R334" t="s">
        <v>3128</v>
      </c>
      <c r="S334" t="s">
        <v>114</v>
      </c>
      <c r="T334" t="s">
        <v>3128</v>
      </c>
      <c r="V334" t="s">
        <v>114</v>
      </c>
      <c r="W334" t="s">
        <v>1151</v>
      </c>
      <c r="Y334" t="s">
        <v>3129</v>
      </c>
      <c r="Z334" t="s">
        <v>3130</v>
      </c>
      <c r="AA334" t="s">
        <v>3131</v>
      </c>
      <c r="AB334" t="s">
        <v>3132</v>
      </c>
      <c r="AC334" t="s">
        <v>3130</v>
      </c>
      <c r="AG334" t="s">
        <v>123</v>
      </c>
      <c r="AH334" t="s">
        <v>124</v>
      </c>
      <c r="AI334" t="s">
        <v>3133</v>
      </c>
      <c r="AJ334" t="s">
        <v>126</v>
      </c>
      <c r="AK334" t="s">
        <v>127</v>
      </c>
      <c r="AM334" t="s">
        <v>3134</v>
      </c>
      <c r="AN334" t="s">
        <v>3135</v>
      </c>
      <c r="AO334" t="s">
        <v>3136</v>
      </c>
      <c r="AP334" t="s">
        <v>131</v>
      </c>
      <c r="AQ334" t="s">
        <v>132</v>
      </c>
      <c r="AR334" t="s">
        <v>152</v>
      </c>
      <c r="AS334" t="s">
        <v>3137</v>
      </c>
      <c r="AU334" t="s">
        <v>3138</v>
      </c>
      <c r="AW334" t="s">
        <v>136</v>
      </c>
      <c r="AX334" t="s">
        <v>272</v>
      </c>
      <c r="AY334" t="s">
        <v>273</v>
      </c>
      <c r="AZ334" t="s">
        <v>3139</v>
      </c>
      <c r="BB334" t="s">
        <v>140</v>
      </c>
    </row>
    <row r="335" spans="1:54" x14ac:dyDescent="0.35">
      <c r="A335" t="s">
        <v>3127</v>
      </c>
      <c r="B335" t="s">
        <v>107</v>
      </c>
      <c r="C335" t="s">
        <v>107</v>
      </c>
      <c r="E335" t="s">
        <v>108</v>
      </c>
      <c r="F335" t="s">
        <v>158</v>
      </c>
      <c r="G335" t="s">
        <v>159</v>
      </c>
      <c r="H335" t="s">
        <v>111</v>
      </c>
      <c r="I335" t="s">
        <v>341</v>
      </c>
      <c r="J335" t="s">
        <v>113</v>
      </c>
      <c r="K335" t="s">
        <v>114</v>
      </c>
      <c r="L335" t="s">
        <v>161</v>
      </c>
      <c r="M335" t="s">
        <v>161</v>
      </c>
      <c r="N335" t="s">
        <v>994</v>
      </c>
      <c r="O335" t="s">
        <v>1110</v>
      </c>
      <c r="P335" t="s">
        <v>1151</v>
      </c>
      <c r="Q335" t="s">
        <v>114</v>
      </c>
      <c r="R335" t="s">
        <v>3128</v>
      </c>
      <c r="S335" t="s">
        <v>114</v>
      </c>
      <c r="T335" t="s">
        <v>3128</v>
      </c>
      <c r="V335" t="s">
        <v>114</v>
      </c>
      <c r="W335" t="s">
        <v>1151</v>
      </c>
      <c r="Y335" t="s">
        <v>3129</v>
      </c>
      <c r="Z335" t="s">
        <v>3130</v>
      </c>
      <c r="AA335" t="s">
        <v>3131</v>
      </c>
      <c r="AB335" t="s">
        <v>3132</v>
      </c>
      <c r="AC335" t="s">
        <v>3130</v>
      </c>
      <c r="AG335" t="s">
        <v>123</v>
      </c>
      <c r="AH335" t="s">
        <v>124</v>
      </c>
      <c r="AI335" t="s">
        <v>3133</v>
      </c>
      <c r="AJ335" t="s">
        <v>126</v>
      </c>
      <c r="AK335" t="s">
        <v>127</v>
      </c>
      <c r="AM335" t="s">
        <v>3134</v>
      </c>
      <c r="AN335" t="s">
        <v>3135</v>
      </c>
      <c r="AO335" t="s">
        <v>3136</v>
      </c>
      <c r="AP335" t="s">
        <v>131</v>
      </c>
      <c r="AQ335" t="s">
        <v>132</v>
      </c>
      <c r="AR335" t="s">
        <v>152</v>
      </c>
      <c r="AS335" t="s">
        <v>3137</v>
      </c>
      <c r="AU335" t="s">
        <v>3138</v>
      </c>
      <c r="AW335" t="s">
        <v>136</v>
      </c>
      <c r="AX335" t="s">
        <v>177</v>
      </c>
      <c r="AY335" t="s">
        <v>138</v>
      </c>
      <c r="AZ335" t="s">
        <v>3139</v>
      </c>
      <c r="BB335" t="s">
        <v>140</v>
      </c>
    </row>
    <row r="336" spans="1:54" x14ac:dyDescent="0.35">
      <c r="A336" t="s">
        <v>3140</v>
      </c>
      <c r="B336" t="s">
        <v>107</v>
      </c>
      <c r="C336" t="s">
        <v>107</v>
      </c>
      <c r="E336" t="s">
        <v>108</v>
      </c>
      <c r="F336" t="s">
        <v>158</v>
      </c>
      <c r="G336" t="s">
        <v>159</v>
      </c>
      <c r="H336" t="s">
        <v>111</v>
      </c>
      <c r="I336" t="s">
        <v>341</v>
      </c>
      <c r="J336" t="s">
        <v>113</v>
      </c>
      <c r="K336" t="s">
        <v>114</v>
      </c>
      <c r="L336" t="s">
        <v>161</v>
      </c>
      <c r="M336" t="s">
        <v>161</v>
      </c>
      <c r="N336" t="s">
        <v>994</v>
      </c>
      <c r="O336" t="s">
        <v>1110</v>
      </c>
      <c r="P336" t="s">
        <v>1151</v>
      </c>
      <c r="Q336" t="s">
        <v>114</v>
      </c>
      <c r="R336" t="s">
        <v>180</v>
      </c>
      <c r="S336" t="s">
        <v>114</v>
      </c>
      <c r="T336" t="s">
        <v>180</v>
      </c>
      <c r="V336" t="s">
        <v>114</v>
      </c>
      <c r="W336" t="s">
        <v>1151</v>
      </c>
      <c r="Y336" t="s">
        <v>3141</v>
      </c>
      <c r="Z336" t="s">
        <v>3142</v>
      </c>
      <c r="AA336" t="s">
        <v>3143</v>
      </c>
      <c r="AB336" t="s">
        <v>3144</v>
      </c>
      <c r="AC336" t="s">
        <v>3142</v>
      </c>
      <c r="AG336" t="s">
        <v>123</v>
      </c>
      <c r="AH336" t="s">
        <v>124</v>
      </c>
      <c r="AI336" t="s">
        <v>3145</v>
      </c>
      <c r="AJ336" t="s">
        <v>126</v>
      </c>
      <c r="AK336" t="s">
        <v>127</v>
      </c>
      <c r="AM336" t="s">
        <v>3146</v>
      </c>
      <c r="AN336" t="s">
        <v>3147</v>
      </c>
      <c r="AO336" t="s">
        <v>3148</v>
      </c>
      <c r="AP336" t="s">
        <v>131</v>
      </c>
      <c r="AQ336" t="s">
        <v>132</v>
      </c>
      <c r="AR336" t="s">
        <v>596</v>
      </c>
      <c r="AS336" t="s">
        <v>3149</v>
      </c>
      <c r="AU336" t="s">
        <v>3150</v>
      </c>
      <c r="AW336" t="s">
        <v>136</v>
      </c>
      <c r="AX336" t="s">
        <v>177</v>
      </c>
      <c r="AY336" t="s">
        <v>138</v>
      </c>
      <c r="AZ336" t="s">
        <v>3151</v>
      </c>
      <c r="BB336" t="s">
        <v>140</v>
      </c>
    </row>
    <row r="337" spans="1:54" x14ac:dyDescent="0.35">
      <c r="A337" t="s">
        <v>3140</v>
      </c>
      <c r="B337" t="s">
        <v>107</v>
      </c>
      <c r="C337" t="s">
        <v>107</v>
      </c>
      <c r="E337" t="s">
        <v>108</v>
      </c>
      <c r="F337" t="s">
        <v>268</v>
      </c>
      <c r="G337" t="s">
        <v>269</v>
      </c>
      <c r="H337" t="s">
        <v>2268</v>
      </c>
      <c r="I337" t="s">
        <v>271</v>
      </c>
      <c r="J337" t="s">
        <v>113</v>
      </c>
      <c r="K337" t="s">
        <v>114</v>
      </c>
      <c r="L337" t="s">
        <v>114</v>
      </c>
      <c r="M337" t="s">
        <v>114</v>
      </c>
      <c r="N337" t="s">
        <v>114</v>
      </c>
      <c r="O337" t="s">
        <v>114</v>
      </c>
      <c r="P337" t="s">
        <v>114</v>
      </c>
      <c r="Q337" t="s">
        <v>114</v>
      </c>
      <c r="R337" t="s">
        <v>180</v>
      </c>
      <c r="S337" t="s">
        <v>114</v>
      </c>
      <c r="T337" t="s">
        <v>180</v>
      </c>
      <c r="V337" t="s">
        <v>114</v>
      </c>
      <c r="W337" t="s">
        <v>1151</v>
      </c>
      <c r="Y337" t="s">
        <v>3141</v>
      </c>
      <c r="Z337" t="s">
        <v>3142</v>
      </c>
      <c r="AA337" t="s">
        <v>3143</v>
      </c>
      <c r="AB337" t="s">
        <v>3144</v>
      </c>
      <c r="AC337" t="s">
        <v>3142</v>
      </c>
      <c r="AG337" t="s">
        <v>123</v>
      </c>
      <c r="AH337" t="s">
        <v>124</v>
      </c>
      <c r="AI337" t="s">
        <v>3145</v>
      </c>
      <c r="AJ337" t="s">
        <v>126</v>
      </c>
      <c r="AK337" t="s">
        <v>127</v>
      </c>
      <c r="AM337" t="s">
        <v>3146</v>
      </c>
      <c r="AN337" t="s">
        <v>3147</v>
      </c>
      <c r="AO337" t="s">
        <v>3148</v>
      </c>
      <c r="AP337" t="s">
        <v>131</v>
      </c>
      <c r="AQ337" t="s">
        <v>132</v>
      </c>
      <c r="AR337" t="s">
        <v>596</v>
      </c>
      <c r="AS337" t="s">
        <v>3149</v>
      </c>
      <c r="AU337" t="s">
        <v>3150</v>
      </c>
      <c r="AW337" t="s">
        <v>136</v>
      </c>
      <c r="AX337" t="s">
        <v>272</v>
      </c>
      <c r="AY337" t="s">
        <v>273</v>
      </c>
      <c r="AZ337" t="s">
        <v>3151</v>
      </c>
      <c r="BB337" t="s">
        <v>140</v>
      </c>
    </row>
    <row r="338" spans="1:54" x14ac:dyDescent="0.35">
      <c r="A338" t="s">
        <v>3152</v>
      </c>
      <c r="B338" t="s">
        <v>107</v>
      </c>
      <c r="C338" t="s">
        <v>107</v>
      </c>
      <c r="E338" t="s">
        <v>108</v>
      </c>
      <c r="F338" t="s">
        <v>268</v>
      </c>
      <c r="G338" t="s">
        <v>269</v>
      </c>
      <c r="H338" t="s">
        <v>2268</v>
      </c>
      <c r="I338" t="s">
        <v>271</v>
      </c>
      <c r="J338" t="s">
        <v>113</v>
      </c>
      <c r="K338" t="s">
        <v>114</v>
      </c>
      <c r="L338" t="s">
        <v>114</v>
      </c>
      <c r="M338" t="s">
        <v>114</v>
      </c>
      <c r="N338" t="s">
        <v>114</v>
      </c>
      <c r="O338" t="s">
        <v>114</v>
      </c>
      <c r="P338" t="s">
        <v>114</v>
      </c>
      <c r="Q338" t="s">
        <v>996</v>
      </c>
      <c r="R338" t="s">
        <v>118</v>
      </c>
      <c r="S338" t="s">
        <v>114</v>
      </c>
      <c r="T338" t="s">
        <v>997</v>
      </c>
      <c r="V338" t="s">
        <v>114</v>
      </c>
      <c r="W338" t="s">
        <v>275</v>
      </c>
      <c r="Y338" t="s">
        <v>3153</v>
      </c>
      <c r="Z338" t="s">
        <v>3154</v>
      </c>
      <c r="AA338" t="s">
        <v>3155</v>
      </c>
      <c r="AB338" t="s">
        <v>3156</v>
      </c>
      <c r="AC338" t="s">
        <v>3154</v>
      </c>
      <c r="AG338" t="s">
        <v>123</v>
      </c>
      <c r="AH338" t="s">
        <v>124</v>
      </c>
      <c r="AI338" t="s">
        <v>3157</v>
      </c>
      <c r="AJ338" t="s">
        <v>126</v>
      </c>
      <c r="AK338" t="s">
        <v>127</v>
      </c>
      <c r="AM338" t="s">
        <v>3158</v>
      </c>
      <c r="AN338" t="s">
        <v>3159</v>
      </c>
      <c r="AO338" t="s">
        <v>3160</v>
      </c>
      <c r="AP338" t="s">
        <v>131</v>
      </c>
      <c r="AQ338" t="s">
        <v>132</v>
      </c>
      <c r="AR338" t="s">
        <v>796</v>
      </c>
      <c r="AS338" t="s">
        <v>3161</v>
      </c>
      <c r="AU338" t="s">
        <v>625</v>
      </c>
      <c r="AW338" t="s">
        <v>136</v>
      </c>
      <c r="AX338" t="s">
        <v>272</v>
      </c>
      <c r="AY338" t="s">
        <v>273</v>
      </c>
      <c r="AZ338" t="s">
        <v>3162</v>
      </c>
      <c r="BB338" t="s">
        <v>140</v>
      </c>
    </row>
    <row r="339" spans="1:54" x14ac:dyDescent="0.35">
      <c r="A339" t="s">
        <v>3152</v>
      </c>
      <c r="B339" t="s">
        <v>107</v>
      </c>
      <c r="C339" t="s">
        <v>107</v>
      </c>
      <c r="E339" t="s">
        <v>108</v>
      </c>
      <c r="F339" t="s">
        <v>158</v>
      </c>
      <c r="G339" t="s">
        <v>159</v>
      </c>
      <c r="H339" t="s">
        <v>111</v>
      </c>
      <c r="I339" t="s">
        <v>341</v>
      </c>
      <c r="J339" t="s">
        <v>113</v>
      </c>
      <c r="K339" t="s">
        <v>114</v>
      </c>
      <c r="L339" t="s">
        <v>161</v>
      </c>
      <c r="M339" t="s">
        <v>161</v>
      </c>
      <c r="N339" t="s">
        <v>997</v>
      </c>
      <c r="O339" t="s">
        <v>1110</v>
      </c>
      <c r="P339" t="s">
        <v>457</v>
      </c>
      <c r="Q339" t="s">
        <v>996</v>
      </c>
      <c r="R339" t="s">
        <v>118</v>
      </c>
      <c r="S339" t="s">
        <v>114</v>
      </c>
      <c r="T339" t="s">
        <v>997</v>
      </c>
      <c r="V339" t="s">
        <v>114</v>
      </c>
      <c r="W339" t="s">
        <v>275</v>
      </c>
      <c r="Y339" t="s">
        <v>3153</v>
      </c>
      <c r="Z339" t="s">
        <v>3154</v>
      </c>
      <c r="AA339" t="s">
        <v>3155</v>
      </c>
      <c r="AB339" t="s">
        <v>3156</v>
      </c>
      <c r="AC339" t="s">
        <v>3154</v>
      </c>
      <c r="AG339" t="s">
        <v>123</v>
      </c>
      <c r="AH339" t="s">
        <v>124</v>
      </c>
      <c r="AI339" t="s">
        <v>3157</v>
      </c>
      <c r="AJ339" t="s">
        <v>126</v>
      </c>
      <c r="AK339" t="s">
        <v>127</v>
      </c>
      <c r="AM339" t="s">
        <v>3158</v>
      </c>
      <c r="AN339" t="s">
        <v>3159</v>
      </c>
      <c r="AO339" t="s">
        <v>3160</v>
      </c>
      <c r="AP339" t="s">
        <v>131</v>
      </c>
      <c r="AQ339" t="s">
        <v>132</v>
      </c>
      <c r="AR339" t="s">
        <v>796</v>
      </c>
      <c r="AS339" t="s">
        <v>3161</v>
      </c>
      <c r="AU339" t="s">
        <v>625</v>
      </c>
      <c r="AW339" t="s">
        <v>136</v>
      </c>
      <c r="AX339" t="s">
        <v>177</v>
      </c>
      <c r="AY339" t="s">
        <v>138</v>
      </c>
      <c r="AZ339" t="s">
        <v>3162</v>
      </c>
      <c r="BB339" t="s">
        <v>140</v>
      </c>
    </row>
    <row r="340" spans="1:54" x14ac:dyDescent="0.35">
      <c r="A340" t="s">
        <v>3163</v>
      </c>
      <c r="B340" t="s">
        <v>107</v>
      </c>
      <c r="C340" t="s">
        <v>107</v>
      </c>
      <c r="E340" t="s">
        <v>108</v>
      </c>
      <c r="F340" t="s">
        <v>158</v>
      </c>
      <c r="G340" t="s">
        <v>159</v>
      </c>
      <c r="H340" t="s">
        <v>111</v>
      </c>
      <c r="I340" t="s">
        <v>341</v>
      </c>
      <c r="J340" t="s">
        <v>113</v>
      </c>
      <c r="K340" t="s">
        <v>114</v>
      </c>
      <c r="L340" t="s">
        <v>161</v>
      </c>
      <c r="M340" t="s">
        <v>161</v>
      </c>
      <c r="N340" t="s">
        <v>994</v>
      </c>
      <c r="O340" t="s">
        <v>1110</v>
      </c>
      <c r="P340" t="s">
        <v>1151</v>
      </c>
      <c r="Q340" t="s">
        <v>114</v>
      </c>
      <c r="R340" t="s">
        <v>180</v>
      </c>
      <c r="S340" t="s">
        <v>114</v>
      </c>
      <c r="T340" t="s">
        <v>180</v>
      </c>
      <c r="V340" t="s">
        <v>114</v>
      </c>
      <c r="W340" t="s">
        <v>1151</v>
      </c>
      <c r="Y340" t="s">
        <v>3164</v>
      </c>
      <c r="Z340" t="s">
        <v>3165</v>
      </c>
      <c r="AA340" t="s">
        <v>3166</v>
      </c>
      <c r="AB340" t="s">
        <v>3167</v>
      </c>
      <c r="AC340" t="s">
        <v>3165</v>
      </c>
      <c r="AG340" t="s">
        <v>123</v>
      </c>
      <c r="AH340" t="s">
        <v>124</v>
      </c>
      <c r="AI340" t="s">
        <v>3168</v>
      </c>
      <c r="AJ340" t="s">
        <v>126</v>
      </c>
      <c r="AK340" t="s">
        <v>127</v>
      </c>
      <c r="AM340" t="s">
        <v>3169</v>
      </c>
      <c r="AN340" t="s">
        <v>3170</v>
      </c>
      <c r="AO340" t="s">
        <v>3171</v>
      </c>
      <c r="AP340" t="s">
        <v>131</v>
      </c>
      <c r="AQ340" t="s">
        <v>132</v>
      </c>
      <c r="AR340" t="s">
        <v>2848</v>
      </c>
      <c r="AS340" t="s">
        <v>2849</v>
      </c>
      <c r="AU340" t="s">
        <v>798</v>
      </c>
      <c r="AW340" t="s">
        <v>136</v>
      </c>
      <c r="AX340" t="s">
        <v>177</v>
      </c>
      <c r="AY340" t="s">
        <v>138</v>
      </c>
      <c r="AZ340" t="s">
        <v>3172</v>
      </c>
      <c r="BB340" t="s">
        <v>140</v>
      </c>
    </row>
    <row r="341" spans="1:54" x14ac:dyDescent="0.35">
      <c r="A341" t="s">
        <v>3163</v>
      </c>
      <c r="B341" t="s">
        <v>107</v>
      </c>
      <c r="C341" t="s">
        <v>107</v>
      </c>
      <c r="E341" t="s">
        <v>108</v>
      </c>
      <c r="F341" t="s">
        <v>268</v>
      </c>
      <c r="G341" t="s">
        <v>269</v>
      </c>
      <c r="H341" t="s">
        <v>2268</v>
      </c>
      <c r="I341" t="s">
        <v>271</v>
      </c>
      <c r="J341" t="s">
        <v>113</v>
      </c>
      <c r="K341" t="s">
        <v>114</v>
      </c>
      <c r="L341" t="s">
        <v>114</v>
      </c>
      <c r="M341" t="s">
        <v>114</v>
      </c>
      <c r="N341" t="s">
        <v>114</v>
      </c>
      <c r="O341" t="s">
        <v>114</v>
      </c>
      <c r="P341" t="s">
        <v>114</v>
      </c>
      <c r="Q341" t="s">
        <v>114</v>
      </c>
      <c r="R341" t="s">
        <v>180</v>
      </c>
      <c r="S341" t="s">
        <v>114</v>
      </c>
      <c r="T341" t="s">
        <v>180</v>
      </c>
      <c r="V341" t="s">
        <v>114</v>
      </c>
      <c r="W341" t="s">
        <v>1151</v>
      </c>
      <c r="Y341" t="s">
        <v>3164</v>
      </c>
      <c r="Z341" t="s">
        <v>3165</v>
      </c>
      <c r="AA341" t="s">
        <v>3166</v>
      </c>
      <c r="AB341" t="s">
        <v>3167</v>
      </c>
      <c r="AC341" t="s">
        <v>3165</v>
      </c>
      <c r="AG341" t="s">
        <v>123</v>
      </c>
      <c r="AH341" t="s">
        <v>124</v>
      </c>
      <c r="AI341" t="s">
        <v>3168</v>
      </c>
      <c r="AJ341" t="s">
        <v>126</v>
      </c>
      <c r="AK341" t="s">
        <v>127</v>
      </c>
      <c r="AM341" t="s">
        <v>3169</v>
      </c>
      <c r="AN341" t="s">
        <v>3170</v>
      </c>
      <c r="AO341" t="s">
        <v>3171</v>
      </c>
      <c r="AP341" t="s">
        <v>131</v>
      </c>
      <c r="AQ341" t="s">
        <v>132</v>
      </c>
      <c r="AR341" t="s">
        <v>2848</v>
      </c>
      <c r="AS341" t="s">
        <v>2849</v>
      </c>
      <c r="AU341" t="s">
        <v>798</v>
      </c>
      <c r="AW341" t="s">
        <v>136</v>
      </c>
      <c r="AX341" t="s">
        <v>272</v>
      </c>
      <c r="AY341" t="s">
        <v>273</v>
      </c>
      <c r="AZ341" t="s">
        <v>3172</v>
      </c>
      <c r="BB341" t="s">
        <v>140</v>
      </c>
    </row>
    <row r="342" spans="1:54" x14ac:dyDescent="0.35">
      <c r="A342" t="s">
        <v>3173</v>
      </c>
      <c r="B342" t="s">
        <v>107</v>
      </c>
      <c r="C342" t="s">
        <v>107</v>
      </c>
      <c r="E342" t="s">
        <v>108</v>
      </c>
      <c r="F342" t="s">
        <v>338</v>
      </c>
      <c r="G342" t="s">
        <v>339</v>
      </c>
      <c r="H342" t="s">
        <v>340</v>
      </c>
      <c r="I342" t="s">
        <v>341</v>
      </c>
      <c r="J342" t="s">
        <v>113</v>
      </c>
      <c r="K342" t="s">
        <v>114</v>
      </c>
      <c r="L342" t="s">
        <v>114</v>
      </c>
      <c r="M342" t="s">
        <v>114</v>
      </c>
      <c r="N342" t="s">
        <v>114</v>
      </c>
      <c r="O342" t="s">
        <v>114</v>
      </c>
      <c r="P342" t="s">
        <v>114</v>
      </c>
      <c r="Q342" t="s">
        <v>142</v>
      </c>
      <c r="R342" t="s">
        <v>142</v>
      </c>
      <c r="S342" t="s">
        <v>114</v>
      </c>
      <c r="T342" t="s">
        <v>114</v>
      </c>
      <c r="V342" t="s">
        <v>114</v>
      </c>
      <c r="W342" t="s">
        <v>3174</v>
      </c>
      <c r="Y342" t="s">
        <v>3175</v>
      </c>
      <c r="Z342" t="s">
        <v>3176</v>
      </c>
      <c r="AA342" t="s">
        <v>3177</v>
      </c>
      <c r="AB342" t="s">
        <v>3178</v>
      </c>
      <c r="AC342" t="s">
        <v>3176</v>
      </c>
      <c r="AG342" t="s">
        <v>123</v>
      </c>
      <c r="AH342" t="s">
        <v>124</v>
      </c>
      <c r="AI342" t="s">
        <v>3179</v>
      </c>
      <c r="AJ342" t="s">
        <v>126</v>
      </c>
      <c r="AK342" t="s">
        <v>127</v>
      </c>
      <c r="AM342" t="s">
        <v>3180</v>
      </c>
      <c r="AN342" t="s">
        <v>3181</v>
      </c>
      <c r="AO342" t="s">
        <v>3182</v>
      </c>
      <c r="AP342" t="s">
        <v>131</v>
      </c>
      <c r="AQ342" t="s">
        <v>132</v>
      </c>
      <c r="AR342" t="s">
        <v>152</v>
      </c>
      <c r="AS342" t="s">
        <v>3183</v>
      </c>
      <c r="AU342" t="s">
        <v>610</v>
      </c>
      <c r="AW342" t="s">
        <v>136</v>
      </c>
      <c r="AX342" t="s">
        <v>177</v>
      </c>
      <c r="AY342" t="s">
        <v>356</v>
      </c>
      <c r="AZ342" t="s">
        <v>3184</v>
      </c>
      <c r="BB342" t="s">
        <v>140</v>
      </c>
    </row>
    <row r="343" spans="1:54" x14ac:dyDescent="0.35">
      <c r="A343" t="s">
        <v>3173</v>
      </c>
      <c r="B343" t="s">
        <v>107</v>
      </c>
      <c r="C343" t="s">
        <v>107</v>
      </c>
      <c r="E343" t="s">
        <v>108</v>
      </c>
      <c r="F343" t="s">
        <v>358</v>
      </c>
      <c r="G343" t="s">
        <v>359</v>
      </c>
      <c r="H343" t="s">
        <v>360</v>
      </c>
      <c r="I343" t="s">
        <v>341</v>
      </c>
      <c r="J343" t="s">
        <v>113</v>
      </c>
      <c r="K343" t="s">
        <v>114</v>
      </c>
      <c r="L343" t="s">
        <v>361</v>
      </c>
      <c r="M343" t="s">
        <v>361</v>
      </c>
      <c r="N343" t="s">
        <v>113</v>
      </c>
      <c r="O343" t="s">
        <v>363</v>
      </c>
      <c r="P343" t="s">
        <v>562</v>
      </c>
      <c r="Q343" t="s">
        <v>142</v>
      </c>
      <c r="R343" t="s">
        <v>142</v>
      </c>
      <c r="S343" t="s">
        <v>114</v>
      </c>
      <c r="T343" t="s">
        <v>114</v>
      </c>
      <c r="V343" t="s">
        <v>114</v>
      </c>
      <c r="W343" t="s">
        <v>3174</v>
      </c>
      <c r="Y343" t="s">
        <v>3175</v>
      </c>
      <c r="Z343" t="s">
        <v>3176</v>
      </c>
      <c r="AA343" t="s">
        <v>3177</v>
      </c>
      <c r="AB343" t="s">
        <v>3178</v>
      </c>
      <c r="AC343" t="s">
        <v>3176</v>
      </c>
      <c r="AG343" t="s">
        <v>123</v>
      </c>
      <c r="AH343" t="s">
        <v>124</v>
      </c>
      <c r="AI343" t="s">
        <v>3179</v>
      </c>
      <c r="AJ343" t="s">
        <v>126</v>
      </c>
      <c r="AK343" t="s">
        <v>127</v>
      </c>
      <c r="AM343" t="s">
        <v>3180</v>
      </c>
      <c r="AN343" t="s">
        <v>3181</v>
      </c>
      <c r="AO343" t="s">
        <v>3182</v>
      </c>
      <c r="AP343" t="s">
        <v>131</v>
      </c>
      <c r="AQ343" t="s">
        <v>132</v>
      </c>
      <c r="AR343" t="s">
        <v>152</v>
      </c>
      <c r="AS343" t="s">
        <v>3183</v>
      </c>
      <c r="AU343" t="s">
        <v>610</v>
      </c>
      <c r="AW343" t="s">
        <v>136</v>
      </c>
      <c r="AX343" t="s">
        <v>177</v>
      </c>
      <c r="AY343" t="s">
        <v>364</v>
      </c>
      <c r="AZ343" t="s">
        <v>3184</v>
      </c>
      <c r="BB343" t="s">
        <v>140</v>
      </c>
    </row>
    <row r="344" spans="1:54" x14ac:dyDescent="0.35">
      <c r="A344" t="s">
        <v>3185</v>
      </c>
      <c r="B344" t="s">
        <v>107</v>
      </c>
      <c r="C344" t="s">
        <v>107</v>
      </c>
      <c r="E344" t="s">
        <v>108</v>
      </c>
      <c r="F344" t="s">
        <v>499</v>
      </c>
      <c r="G344" t="s">
        <v>500</v>
      </c>
      <c r="H344" t="s">
        <v>501</v>
      </c>
      <c r="I344" t="s">
        <v>341</v>
      </c>
      <c r="J344" t="s">
        <v>113</v>
      </c>
      <c r="K344" t="s">
        <v>114</v>
      </c>
      <c r="L344" t="s">
        <v>502</v>
      </c>
      <c r="M344" t="s">
        <v>502</v>
      </c>
      <c r="N344" t="s">
        <v>114</v>
      </c>
      <c r="O344" t="s">
        <v>275</v>
      </c>
      <c r="P344" t="s">
        <v>2840</v>
      </c>
      <c r="Q344" t="s">
        <v>114</v>
      </c>
      <c r="R344" t="s">
        <v>180</v>
      </c>
      <c r="S344" t="s">
        <v>114</v>
      </c>
      <c r="T344" t="s">
        <v>180</v>
      </c>
      <c r="V344" t="s">
        <v>114</v>
      </c>
      <c r="W344" t="s">
        <v>2840</v>
      </c>
      <c r="Y344" t="s">
        <v>3186</v>
      </c>
      <c r="Z344" t="s">
        <v>3187</v>
      </c>
      <c r="AA344" t="s">
        <v>3188</v>
      </c>
      <c r="AB344" t="s">
        <v>3189</v>
      </c>
      <c r="AC344" t="s">
        <v>3190</v>
      </c>
      <c r="AG344" t="s">
        <v>123</v>
      </c>
      <c r="AH344" t="s">
        <v>124</v>
      </c>
      <c r="AI344" t="s">
        <v>3191</v>
      </c>
      <c r="AJ344" t="s">
        <v>126</v>
      </c>
      <c r="AK344" t="s">
        <v>127</v>
      </c>
      <c r="AM344" t="s">
        <v>3192</v>
      </c>
      <c r="AN344" t="s">
        <v>3193</v>
      </c>
      <c r="AO344" t="s">
        <v>3194</v>
      </c>
      <c r="AP344" t="s">
        <v>131</v>
      </c>
      <c r="AQ344" t="s">
        <v>132</v>
      </c>
      <c r="AR344" t="s">
        <v>3195</v>
      </c>
      <c r="AS344" t="s">
        <v>3196</v>
      </c>
      <c r="AU344" t="s">
        <v>1072</v>
      </c>
      <c r="AW344" t="s">
        <v>655</v>
      </c>
      <c r="AX344" t="s">
        <v>177</v>
      </c>
      <c r="AY344" t="s">
        <v>517</v>
      </c>
      <c r="AZ344" t="s">
        <v>3197</v>
      </c>
      <c r="BB344" t="s">
        <v>140</v>
      </c>
    </row>
    <row r="345" spans="1:54" x14ac:dyDescent="0.35">
      <c r="A345" t="s">
        <v>3198</v>
      </c>
      <c r="B345" t="s">
        <v>107</v>
      </c>
      <c r="C345" t="s">
        <v>107</v>
      </c>
      <c r="E345" t="s">
        <v>108</v>
      </c>
      <c r="F345" t="s">
        <v>158</v>
      </c>
      <c r="G345" t="s">
        <v>159</v>
      </c>
      <c r="H345" t="s">
        <v>111</v>
      </c>
      <c r="I345" t="s">
        <v>341</v>
      </c>
      <c r="J345" t="s">
        <v>113</v>
      </c>
      <c r="K345" t="s">
        <v>114</v>
      </c>
      <c r="L345" t="s">
        <v>161</v>
      </c>
      <c r="M345" t="s">
        <v>161</v>
      </c>
      <c r="N345" t="s">
        <v>114</v>
      </c>
      <c r="O345" t="s">
        <v>1110</v>
      </c>
      <c r="P345" t="s">
        <v>1111</v>
      </c>
      <c r="Q345" t="s">
        <v>114</v>
      </c>
      <c r="R345" t="s">
        <v>180</v>
      </c>
      <c r="S345" t="s">
        <v>114</v>
      </c>
      <c r="T345" t="s">
        <v>180</v>
      </c>
      <c r="V345" t="s">
        <v>114</v>
      </c>
      <c r="W345" t="s">
        <v>1111</v>
      </c>
      <c r="Y345" t="s">
        <v>3199</v>
      </c>
      <c r="Z345" t="s">
        <v>3200</v>
      </c>
      <c r="AA345" t="s">
        <v>3201</v>
      </c>
      <c r="AB345" t="s">
        <v>3202</v>
      </c>
      <c r="AC345" t="s">
        <v>3200</v>
      </c>
      <c r="AG345" t="s">
        <v>123</v>
      </c>
      <c r="AH345" t="s">
        <v>124</v>
      </c>
      <c r="AI345" t="s">
        <v>3203</v>
      </c>
      <c r="AJ345" t="s">
        <v>126</v>
      </c>
      <c r="AK345" t="s">
        <v>127</v>
      </c>
      <c r="AM345" t="s">
        <v>3204</v>
      </c>
      <c r="AN345" t="s">
        <v>1410</v>
      </c>
      <c r="AO345" t="s">
        <v>3205</v>
      </c>
      <c r="AP345" t="s">
        <v>131</v>
      </c>
      <c r="AQ345" t="s">
        <v>132</v>
      </c>
      <c r="AR345" t="s">
        <v>1181</v>
      </c>
      <c r="AS345" t="s">
        <v>3206</v>
      </c>
      <c r="AU345" t="s">
        <v>406</v>
      </c>
      <c r="AW345" t="s">
        <v>136</v>
      </c>
      <c r="AX345" t="s">
        <v>177</v>
      </c>
      <c r="AY345" t="s">
        <v>138</v>
      </c>
      <c r="AZ345" t="s">
        <v>3207</v>
      </c>
      <c r="BB345" t="s">
        <v>140</v>
      </c>
    </row>
    <row r="346" spans="1:54" x14ac:dyDescent="0.35">
      <c r="A346" t="s">
        <v>3198</v>
      </c>
      <c r="B346" t="s">
        <v>107</v>
      </c>
      <c r="C346" t="s">
        <v>107</v>
      </c>
      <c r="E346" t="s">
        <v>108</v>
      </c>
      <c r="F346" t="s">
        <v>268</v>
      </c>
      <c r="G346" t="s">
        <v>269</v>
      </c>
      <c r="H346" t="s">
        <v>2268</v>
      </c>
      <c r="I346" t="s">
        <v>271</v>
      </c>
      <c r="J346" t="s">
        <v>113</v>
      </c>
      <c r="K346" t="s">
        <v>114</v>
      </c>
      <c r="L346" t="s">
        <v>114</v>
      </c>
      <c r="M346" t="s">
        <v>114</v>
      </c>
      <c r="N346" t="s">
        <v>114</v>
      </c>
      <c r="O346" t="s">
        <v>114</v>
      </c>
      <c r="P346" t="s">
        <v>114</v>
      </c>
      <c r="Q346" t="s">
        <v>114</v>
      </c>
      <c r="R346" t="s">
        <v>180</v>
      </c>
      <c r="S346" t="s">
        <v>114</v>
      </c>
      <c r="T346" t="s">
        <v>180</v>
      </c>
      <c r="V346" t="s">
        <v>114</v>
      </c>
      <c r="W346" t="s">
        <v>1111</v>
      </c>
      <c r="Y346" t="s">
        <v>3199</v>
      </c>
      <c r="Z346" t="s">
        <v>3200</v>
      </c>
      <c r="AA346" t="s">
        <v>3201</v>
      </c>
      <c r="AB346" t="s">
        <v>3202</v>
      </c>
      <c r="AC346" t="s">
        <v>3200</v>
      </c>
      <c r="AG346" t="s">
        <v>123</v>
      </c>
      <c r="AH346" t="s">
        <v>124</v>
      </c>
      <c r="AI346" t="s">
        <v>3203</v>
      </c>
      <c r="AJ346" t="s">
        <v>126</v>
      </c>
      <c r="AK346" t="s">
        <v>127</v>
      </c>
      <c r="AM346" t="s">
        <v>3204</v>
      </c>
      <c r="AN346" t="s">
        <v>1410</v>
      </c>
      <c r="AO346" t="s">
        <v>3205</v>
      </c>
      <c r="AP346" t="s">
        <v>131</v>
      </c>
      <c r="AQ346" t="s">
        <v>132</v>
      </c>
      <c r="AR346" t="s">
        <v>1181</v>
      </c>
      <c r="AS346" t="s">
        <v>3206</v>
      </c>
      <c r="AU346" t="s">
        <v>406</v>
      </c>
      <c r="AW346" t="s">
        <v>136</v>
      </c>
      <c r="AX346" t="s">
        <v>272</v>
      </c>
      <c r="AY346" t="s">
        <v>273</v>
      </c>
      <c r="AZ346" t="s">
        <v>3207</v>
      </c>
      <c r="BB346" t="s">
        <v>140</v>
      </c>
    </row>
    <row r="347" spans="1:54" x14ac:dyDescent="0.35">
      <c r="A347" t="s">
        <v>3208</v>
      </c>
      <c r="B347" t="s">
        <v>107</v>
      </c>
      <c r="C347" t="s">
        <v>107</v>
      </c>
      <c r="F347" t="s">
        <v>358</v>
      </c>
      <c r="G347" t="s">
        <v>359</v>
      </c>
      <c r="H347" t="s">
        <v>360</v>
      </c>
      <c r="I347" t="s">
        <v>341</v>
      </c>
      <c r="J347" t="s">
        <v>113</v>
      </c>
      <c r="K347" t="s">
        <v>114</v>
      </c>
      <c r="L347" t="s">
        <v>114</v>
      </c>
      <c r="M347" t="s">
        <v>114</v>
      </c>
      <c r="N347" t="s">
        <v>114</v>
      </c>
      <c r="O347" t="s">
        <v>114</v>
      </c>
      <c r="P347" t="s">
        <v>114</v>
      </c>
      <c r="Q347" t="s">
        <v>114</v>
      </c>
      <c r="R347" t="s">
        <v>114</v>
      </c>
      <c r="S347" t="s">
        <v>114</v>
      </c>
      <c r="T347" t="s">
        <v>114</v>
      </c>
      <c r="V347" t="s">
        <v>114</v>
      </c>
      <c r="W347" t="s">
        <v>114</v>
      </c>
      <c r="Y347" t="s">
        <v>3209</v>
      </c>
      <c r="Z347" t="s">
        <v>3209</v>
      </c>
      <c r="AA347" t="s">
        <v>3210</v>
      </c>
      <c r="AB347" t="s">
        <v>3211</v>
      </c>
      <c r="AC347" t="s">
        <v>3212</v>
      </c>
      <c r="AG347" t="s">
        <v>123</v>
      </c>
      <c r="AH347" t="s">
        <v>124</v>
      </c>
      <c r="AI347" t="s">
        <v>3213</v>
      </c>
      <c r="AJ347" t="s">
        <v>126</v>
      </c>
      <c r="AK347" t="s">
        <v>127</v>
      </c>
      <c r="AM347" t="s">
        <v>3214</v>
      </c>
      <c r="AN347" t="s">
        <v>3215</v>
      </c>
      <c r="AO347" t="s">
        <v>3216</v>
      </c>
      <c r="AP347" t="s">
        <v>131</v>
      </c>
      <c r="AQ347" t="s">
        <v>403</v>
      </c>
      <c r="AR347" t="s">
        <v>2134</v>
      </c>
      <c r="AS347" t="s">
        <v>2457</v>
      </c>
      <c r="AU347" t="s">
        <v>406</v>
      </c>
      <c r="AX347" t="s">
        <v>177</v>
      </c>
      <c r="AY347" t="s">
        <v>364</v>
      </c>
      <c r="AZ347" t="s">
        <v>3217</v>
      </c>
      <c r="BB347" t="s">
        <v>140</v>
      </c>
    </row>
    <row r="348" spans="1:54" x14ac:dyDescent="0.35">
      <c r="A348" t="s">
        <v>3218</v>
      </c>
      <c r="B348" t="s">
        <v>107</v>
      </c>
      <c r="C348" t="s">
        <v>107</v>
      </c>
      <c r="F348" t="s">
        <v>358</v>
      </c>
      <c r="G348" t="s">
        <v>359</v>
      </c>
      <c r="H348" t="s">
        <v>360</v>
      </c>
      <c r="I348" t="s">
        <v>341</v>
      </c>
      <c r="J348" t="s">
        <v>113</v>
      </c>
      <c r="K348" t="s">
        <v>114</v>
      </c>
      <c r="L348" t="s">
        <v>114</v>
      </c>
      <c r="M348" t="s">
        <v>114</v>
      </c>
      <c r="N348" t="s">
        <v>114</v>
      </c>
      <c r="O348" t="s">
        <v>114</v>
      </c>
      <c r="P348" t="s">
        <v>114</v>
      </c>
      <c r="Q348" t="s">
        <v>114</v>
      </c>
      <c r="R348" t="s">
        <v>114</v>
      </c>
      <c r="S348" t="s">
        <v>114</v>
      </c>
      <c r="T348" t="s">
        <v>114</v>
      </c>
      <c r="V348" t="s">
        <v>114</v>
      </c>
      <c r="W348" t="s">
        <v>114</v>
      </c>
      <c r="Y348" t="s">
        <v>3219</v>
      </c>
      <c r="Z348" t="s">
        <v>3220</v>
      </c>
      <c r="AA348" t="s">
        <v>3221</v>
      </c>
      <c r="AB348" t="s">
        <v>3178</v>
      </c>
      <c r="AC348" t="s">
        <v>3222</v>
      </c>
      <c r="AG348" t="s">
        <v>123</v>
      </c>
      <c r="AH348" t="s">
        <v>124</v>
      </c>
      <c r="AI348" t="s">
        <v>3223</v>
      </c>
      <c r="AJ348" t="s">
        <v>126</v>
      </c>
      <c r="AK348" t="s">
        <v>127</v>
      </c>
      <c r="AM348" t="s">
        <v>3224</v>
      </c>
      <c r="AN348" t="s">
        <v>3225</v>
      </c>
      <c r="AO348" t="s">
        <v>3226</v>
      </c>
      <c r="AP348" t="s">
        <v>131</v>
      </c>
      <c r="AQ348" t="s">
        <v>132</v>
      </c>
      <c r="AR348" t="s">
        <v>331</v>
      </c>
      <c r="AS348" t="s">
        <v>3227</v>
      </c>
      <c r="AU348" t="s">
        <v>2850</v>
      </c>
      <c r="AV348" t="s">
        <v>3228</v>
      </c>
      <c r="AX348" t="s">
        <v>177</v>
      </c>
      <c r="AY348" t="s">
        <v>364</v>
      </c>
      <c r="AZ348" t="s">
        <v>3229</v>
      </c>
      <c r="BB348" t="s">
        <v>140</v>
      </c>
    </row>
    <row r="349" spans="1:54" x14ac:dyDescent="0.35">
      <c r="A349" t="s">
        <v>3230</v>
      </c>
      <c r="B349" t="s">
        <v>107</v>
      </c>
      <c r="C349" t="s">
        <v>107</v>
      </c>
      <c r="F349" t="s">
        <v>358</v>
      </c>
      <c r="G349" t="s">
        <v>359</v>
      </c>
      <c r="H349" t="s">
        <v>360</v>
      </c>
      <c r="I349" t="s">
        <v>341</v>
      </c>
      <c r="J349" t="s">
        <v>113</v>
      </c>
      <c r="K349" t="s">
        <v>114</v>
      </c>
      <c r="L349" t="s">
        <v>114</v>
      </c>
      <c r="M349" t="s">
        <v>114</v>
      </c>
      <c r="N349" t="s">
        <v>114</v>
      </c>
      <c r="O349" t="s">
        <v>114</v>
      </c>
      <c r="P349" t="s">
        <v>114</v>
      </c>
      <c r="Q349" t="s">
        <v>114</v>
      </c>
      <c r="R349" t="s">
        <v>114</v>
      </c>
      <c r="S349" t="s">
        <v>114</v>
      </c>
      <c r="T349" t="s">
        <v>114</v>
      </c>
      <c r="V349" t="s">
        <v>114</v>
      </c>
      <c r="W349" t="s">
        <v>114</v>
      </c>
      <c r="Y349" t="s">
        <v>3231</v>
      </c>
      <c r="Z349" t="s">
        <v>3231</v>
      </c>
      <c r="AA349" t="s">
        <v>3232</v>
      </c>
      <c r="AB349" t="s">
        <v>3233</v>
      </c>
      <c r="AC349" t="s">
        <v>3234</v>
      </c>
      <c r="AG349" t="s">
        <v>123</v>
      </c>
      <c r="AH349" t="s">
        <v>124</v>
      </c>
      <c r="AI349" t="s">
        <v>3235</v>
      </c>
      <c r="AJ349" t="s">
        <v>126</v>
      </c>
      <c r="AK349" t="s">
        <v>127</v>
      </c>
      <c r="AM349" t="s">
        <v>3236</v>
      </c>
      <c r="AN349" t="s">
        <v>3237</v>
      </c>
      <c r="AO349" t="s">
        <v>3238</v>
      </c>
      <c r="AP349" t="s">
        <v>131</v>
      </c>
      <c r="AQ349" t="s">
        <v>132</v>
      </c>
      <c r="AR349" t="s">
        <v>1280</v>
      </c>
      <c r="AS349" t="s">
        <v>1281</v>
      </c>
      <c r="AU349" t="s">
        <v>3239</v>
      </c>
      <c r="AV349" t="s">
        <v>3240</v>
      </c>
      <c r="AX349" t="s">
        <v>177</v>
      </c>
      <c r="AY349" t="s">
        <v>364</v>
      </c>
      <c r="AZ349" t="s">
        <v>3241</v>
      </c>
      <c r="BB349" t="s">
        <v>140</v>
      </c>
    </row>
    <row r="350" spans="1:54" x14ac:dyDescent="0.35">
      <c r="A350" t="s">
        <v>3242</v>
      </c>
      <c r="B350" t="s">
        <v>107</v>
      </c>
      <c r="C350" t="s">
        <v>107</v>
      </c>
      <c r="F350" t="s">
        <v>358</v>
      </c>
      <c r="G350" t="s">
        <v>359</v>
      </c>
      <c r="H350" t="s">
        <v>360</v>
      </c>
      <c r="I350" t="s">
        <v>341</v>
      </c>
      <c r="J350" t="s">
        <v>113</v>
      </c>
      <c r="K350" t="s">
        <v>114</v>
      </c>
      <c r="L350" t="s">
        <v>114</v>
      </c>
      <c r="M350" t="s">
        <v>114</v>
      </c>
      <c r="N350" t="s">
        <v>114</v>
      </c>
      <c r="O350" t="s">
        <v>114</v>
      </c>
      <c r="P350" t="s">
        <v>114</v>
      </c>
      <c r="Q350" t="s">
        <v>114</v>
      </c>
      <c r="R350" t="s">
        <v>114</v>
      </c>
      <c r="S350" t="s">
        <v>114</v>
      </c>
      <c r="T350" t="s">
        <v>114</v>
      </c>
      <c r="V350" t="s">
        <v>114</v>
      </c>
      <c r="W350" t="s">
        <v>114</v>
      </c>
      <c r="Y350" t="s">
        <v>3243</v>
      </c>
      <c r="Z350" t="s">
        <v>3243</v>
      </c>
      <c r="AA350" t="s">
        <v>3244</v>
      </c>
      <c r="AB350" t="s">
        <v>3245</v>
      </c>
      <c r="AC350" t="s">
        <v>3246</v>
      </c>
      <c r="AG350" t="s">
        <v>123</v>
      </c>
      <c r="AH350" t="s">
        <v>124</v>
      </c>
      <c r="AI350" t="s">
        <v>3247</v>
      </c>
      <c r="AJ350" t="s">
        <v>126</v>
      </c>
      <c r="AK350" t="s">
        <v>127</v>
      </c>
      <c r="AM350" t="s">
        <v>3248</v>
      </c>
      <c r="AN350" t="s">
        <v>3249</v>
      </c>
      <c r="AO350" t="s">
        <v>3250</v>
      </c>
      <c r="AP350" t="s">
        <v>131</v>
      </c>
      <c r="AQ350" t="s">
        <v>132</v>
      </c>
      <c r="AR350" t="s">
        <v>1754</v>
      </c>
      <c r="AS350" t="s">
        <v>3251</v>
      </c>
      <c r="AU350" t="s">
        <v>1183</v>
      </c>
      <c r="AX350" t="s">
        <v>177</v>
      </c>
      <c r="AY350" t="s">
        <v>364</v>
      </c>
      <c r="AZ350" t="s">
        <v>3252</v>
      </c>
      <c r="BB350" t="s">
        <v>140</v>
      </c>
    </row>
    <row r="351" spans="1:54" x14ac:dyDescent="0.35">
      <c r="A351" t="s">
        <v>3253</v>
      </c>
      <c r="B351" t="s">
        <v>107</v>
      </c>
      <c r="C351" t="s">
        <v>107</v>
      </c>
      <c r="E351" t="s">
        <v>108</v>
      </c>
      <c r="F351" t="s">
        <v>268</v>
      </c>
      <c r="G351" t="s">
        <v>269</v>
      </c>
      <c r="H351" t="s">
        <v>2268</v>
      </c>
      <c r="I351" t="s">
        <v>271</v>
      </c>
      <c r="J351" t="s">
        <v>113</v>
      </c>
      <c r="K351" t="s">
        <v>114</v>
      </c>
      <c r="L351" t="s">
        <v>114</v>
      </c>
      <c r="M351" t="s">
        <v>114</v>
      </c>
      <c r="N351" t="s">
        <v>114</v>
      </c>
      <c r="O351" t="s">
        <v>114</v>
      </c>
      <c r="P351" t="s">
        <v>114</v>
      </c>
      <c r="Q351" t="s">
        <v>114</v>
      </c>
      <c r="R351" t="s">
        <v>142</v>
      </c>
      <c r="S351" t="s">
        <v>114</v>
      </c>
      <c r="T351" t="s">
        <v>142</v>
      </c>
      <c r="V351" t="s">
        <v>114</v>
      </c>
      <c r="W351" t="s">
        <v>1151</v>
      </c>
      <c r="Y351" t="s">
        <v>3254</v>
      </c>
      <c r="Z351" t="s">
        <v>3255</v>
      </c>
      <c r="AA351" t="s">
        <v>3256</v>
      </c>
      <c r="AB351" t="s">
        <v>3257</v>
      </c>
      <c r="AC351" t="s">
        <v>3255</v>
      </c>
      <c r="AG351" t="s">
        <v>123</v>
      </c>
      <c r="AH351" t="s">
        <v>124</v>
      </c>
      <c r="AI351" t="s">
        <v>3258</v>
      </c>
      <c r="AJ351" t="s">
        <v>126</v>
      </c>
      <c r="AK351" t="s">
        <v>127</v>
      </c>
      <c r="AM351" t="s">
        <v>3259</v>
      </c>
      <c r="AN351" t="s">
        <v>1947</v>
      </c>
      <c r="AO351" t="s">
        <v>3260</v>
      </c>
      <c r="AP351" t="s">
        <v>131</v>
      </c>
      <c r="AQ351" t="s">
        <v>132</v>
      </c>
      <c r="AR351" t="s">
        <v>152</v>
      </c>
      <c r="AS351" t="s">
        <v>3261</v>
      </c>
      <c r="AU351" t="s">
        <v>135</v>
      </c>
      <c r="AW351" t="s">
        <v>136</v>
      </c>
      <c r="AX351" t="s">
        <v>272</v>
      </c>
      <c r="AY351" t="s">
        <v>273</v>
      </c>
      <c r="AZ351" t="s">
        <v>3262</v>
      </c>
      <c r="BB351" t="s">
        <v>140</v>
      </c>
    </row>
    <row r="352" spans="1:54" x14ac:dyDescent="0.35">
      <c r="A352" t="s">
        <v>3253</v>
      </c>
      <c r="B352" t="s">
        <v>107</v>
      </c>
      <c r="C352" t="s">
        <v>107</v>
      </c>
      <c r="E352" t="s">
        <v>108</v>
      </c>
      <c r="F352" t="s">
        <v>158</v>
      </c>
      <c r="G352" t="s">
        <v>159</v>
      </c>
      <c r="H352" t="s">
        <v>111</v>
      </c>
      <c r="I352" t="s">
        <v>341</v>
      </c>
      <c r="J352" t="s">
        <v>113</v>
      </c>
      <c r="K352" t="s">
        <v>114</v>
      </c>
      <c r="L352" t="s">
        <v>161</v>
      </c>
      <c r="M352" t="s">
        <v>161</v>
      </c>
      <c r="N352" t="s">
        <v>994</v>
      </c>
      <c r="O352" t="s">
        <v>1110</v>
      </c>
      <c r="P352" t="s">
        <v>1151</v>
      </c>
      <c r="Q352" t="s">
        <v>114</v>
      </c>
      <c r="R352" t="s">
        <v>142</v>
      </c>
      <c r="S352" t="s">
        <v>114</v>
      </c>
      <c r="T352" t="s">
        <v>142</v>
      </c>
      <c r="V352" t="s">
        <v>114</v>
      </c>
      <c r="W352" t="s">
        <v>1151</v>
      </c>
      <c r="Y352" t="s">
        <v>3254</v>
      </c>
      <c r="Z352" t="s">
        <v>3255</v>
      </c>
      <c r="AA352" t="s">
        <v>3256</v>
      </c>
      <c r="AB352" t="s">
        <v>3257</v>
      </c>
      <c r="AC352" t="s">
        <v>3255</v>
      </c>
      <c r="AG352" t="s">
        <v>123</v>
      </c>
      <c r="AH352" t="s">
        <v>124</v>
      </c>
      <c r="AI352" t="s">
        <v>3258</v>
      </c>
      <c r="AJ352" t="s">
        <v>126</v>
      </c>
      <c r="AK352" t="s">
        <v>127</v>
      </c>
      <c r="AM352" t="s">
        <v>3259</v>
      </c>
      <c r="AN352" t="s">
        <v>1947</v>
      </c>
      <c r="AO352" t="s">
        <v>3260</v>
      </c>
      <c r="AP352" t="s">
        <v>131</v>
      </c>
      <c r="AQ352" t="s">
        <v>132</v>
      </c>
      <c r="AR352" t="s">
        <v>152</v>
      </c>
      <c r="AS352" t="s">
        <v>3261</v>
      </c>
      <c r="AU352" t="s">
        <v>135</v>
      </c>
      <c r="AW352" t="s">
        <v>136</v>
      </c>
      <c r="AX352" t="s">
        <v>177</v>
      </c>
      <c r="AY352" t="s">
        <v>138</v>
      </c>
      <c r="AZ352" t="s">
        <v>3262</v>
      </c>
      <c r="BB352" t="s">
        <v>140</v>
      </c>
    </row>
    <row r="353" spans="1:54" x14ac:dyDescent="0.35">
      <c r="A353" t="s">
        <v>3263</v>
      </c>
      <c r="B353" t="s">
        <v>107</v>
      </c>
      <c r="C353" t="s">
        <v>107</v>
      </c>
      <c r="F353" t="s">
        <v>358</v>
      </c>
      <c r="G353" t="s">
        <v>359</v>
      </c>
      <c r="H353" t="s">
        <v>360</v>
      </c>
      <c r="I353" t="s">
        <v>341</v>
      </c>
      <c r="J353" t="s">
        <v>113</v>
      </c>
      <c r="K353" t="s">
        <v>114</v>
      </c>
      <c r="L353" t="s">
        <v>114</v>
      </c>
      <c r="M353" t="s">
        <v>114</v>
      </c>
      <c r="N353" t="s">
        <v>114</v>
      </c>
      <c r="O353" t="s">
        <v>114</v>
      </c>
      <c r="P353" t="s">
        <v>114</v>
      </c>
      <c r="Q353" t="s">
        <v>114</v>
      </c>
      <c r="R353" t="s">
        <v>114</v>
      </c>
      <c r="S353" t="s">
        <v>114</v>
      </c>
      <c r="T353" t="s">
        <v>114</v>
      </c>
      <c r="V353" t="s">
        <v>114</v>
      </c>
      <c r="W353" t="s">
        <v>114</v>
      </c>
      <c r="Y353" t="s">
        <v>3264</v>
      </c>
      <c r="Z353" t="s">
        <v>3264</v>
      </c>
      <c r="AA353" t="s">
        <v>3265</v>
      </c>
      <c r="AB353" t="s">
        <v>3245</v>
      </c>
      <c r="AC353" t="s">
        <v>3266</v>
      </c>
      <c r="AG353" t="s">
        <v>123</v>
      </c>
      <c r="AH353" t="s">
        <v>124</v>
      </c>
      <c r="AI353" t="s">
        <v>3267</v>
      </c>
      <c r="AJ353" t="s">
        <v>126</v>
      </c>
      <c r="AK353" t="s">
        <v>127</v>
      </c>
      <c r="AM353" t="s">
        <v>3268</v>
      </c>
      <c r="AN353" t="s">
        <v>3269</v>
      </c>
      <c r="AO353" t="s">
        <v>3270</v>
      </c>
      <c r="AP353" t="s">
        <v>131</v>
      </c>
      <c r="AQ353" t="s">
        <v>132</v>
      </c>
      <c r="AR353" t="s">
        <v>3271</v>
      </c>
      <c r="AS353" t="s">
        <v>3272</v>
      </c>
      <c r="AU353" t="s">
        <v>1148</v>
      </c>
      <c r="AV353" t="s">
        <v>1148</v>
      </c>
      <c r="AX353" t="s">
        <v>177</v>
      </c>
      <c r="AY353" t="s">
        <v>364</v>
      </c>
      <c r="AZ353" t="s">
        <v>3273</v>
      </c>
      <c r="BB353" t="s">
        <v>140</v>
      </c>
    </row>
    <row r="354" spans="1:54" x14ac:dyDescent="0.35">
      <c r="A354" t="s">
        <v>3274</v>
      </c>
      <c r="B354" t="s">
        <v>107</v>
      </c>
      <c r="C354" t="s">
        <v>107</v>
      </c>
      <c r="E354" t="s">
        <v>108</v>
      </c>
      <c r="F354" t="s">
        <v>358</v>
      </c>
      <c r="G354" t="s">
        <v>359</v>
      </c>
      <c r="H354" t="s">
        <v>360</v>
      </c>
      <c r="I354" t="s">
        <v>341</v>
      </c>
      <c r="J354" t="s">
        <v>113</v>
      </c>
      <c r="K354" t="s">
        <v>114</v>
      </c>
      <c r="L354" t="s">
        <v>361</v>
      </c>
      <c r="M354" t="s">
        <v>361</v>
      </c>
      <c r="N354" t="s">
        <v>113</v>
      </c>
      <c r="O354" t="s">
        <v>363</v>
      </c>
      <c r="P354" t="s">
        <v>562</v>
      </c>
      <c r="Q354" t="s">
        <v>114</v>
      </c>
      <c r="R354" t="s">
        <v>142</v>
      </c>
      <c r="S354" t="s">
        <v>114</v>
      </c>
      <c r="T354" t="s">
        <v>142</v>
      </c>
      <c r="V354" t="s">
        <v>114</v>
      </c>
      <c r="W354" t="s">
        <v>562</v>
      </c>
      <c r="Y354" t="s">
        <v>3275</v>
      </c>
      <c r="Z354" t="s">
        <v>3276</v>
      </c>
      <c r="AA354" t="s">
        <v>3277</v>
      </c>
      <c r="AB354" t="s">
        <v>3278</v>
      </c>
      <c r="AC354" t="s">
        <v>3279</v>
      </c>
      <c r="AG354" t="s">
        <v>123</v>
      </c>
      <c r="AH354" t="s">
        <v>124</v>
      </c>
      <c r="AI354" t="s">
        <v>3280</v>
      </c>
      <c r="AJ354" t="s">
        <v>126</v>
      </c>
      <c r="AK354" t="s">
        <v>127</v>
      </c>
      <c r="AM354" t="s">
        <v>3281</v>
      </c>
      <c r="AN354" t="s">
        <v>3282</v>
      </c>
      <c r="AO354" t="s">
        <v>3283</v>
      </c>
      <c r="AP354" t="s">
        <v>131</v>
      </c>
      <c r="AQ354" t="s">
        <v>132</v>
      </c>
      <c r="AR354" t="s">
        <v>720</v>
      </c>
      <c r="AS354" t="s">
        <v>1664</v>
      </c>
      <c r="AU354" t="s">
        <v>1703</v>
      </c>
      <c r="AV354" t="s">
        <v>1195</v>
      </c>
      <c r="AW354" t="s">
        <v>3284</v>
      </c>
      <c r="AX354" t="s">
        <v>177</v>
      </c>
      <c r="AY354" t="s">
        <v>364</v>
      </c>
      <c r="AZ354" t="s">
        <v>3285</v>
      </c>
      <c r="BB354" t="s">
        <v>140</v>
      </c>
    </row>
    <row r="355" spans="1:54" x14ac:dyDescent="0.35">
      <c r="A355" t="s">
        <v>3274</v>
      </c>
      <c r="B355" t="s">
        <v>107</v>
      </c>
      <c r="C355" t="s">
        <v>107</v>
      </c>
      <c r="E355" t="s">
        <v>108</v>
      </c>
      <c r="F355" t="s">
        <v>338</v>
      </c>
      <c r="G355" t="s">
        <v>339</v>
      </c>
      <c r="H355" t="s">
        <v>340</v>
      </c>
      <c r="I355" t="s">
        <v>341</v>
      </c>
      <c r="J355" t="s">
        <v>113</v>
      </c>
      <c r="K355" t="s">
        <v>114</v>
      </c>
      <c r="L355" t="s">
        <v>114</v>
      </c>
      <c r="M355" t="s">
        <v>114</v>
      </c>
      <c r="N355" t="s">
        <v>114</v>
      </c>
      <c r="O355" t="s">
        <v>114</v>
      </c>
      <c r="P355" t="s">
        <v>114</v>
      </c>
      <c r="Q355" t="s">
        <v>114</v>
      </c>
      <c r="R355" t="s">
        <v>142</v>
      </c>
      <c r="S355" t="s">
        <v>114</v>
      </c>
      <c r="T355" t="s">
        <v>142</v>
      </c>
      <c r="V355" t="s">
        <v>114</v>
      </c>
      <c r="W355" t="s">
        <v>562</v>
      </c>
      <c r="Y355" t="s">
        <v>3275</v>
      </c>
      <c r="Z355" t="s">
        <v>3276</v>
      </c>
      <c r="AA355" t="s">
        <v>3277</v>
      </c>
      <c r="AB355" t="s">
        <v>3278</v>
      </c>
      <c r="AC355" t="s">
        <v>3279</v>
      </c>
      <c r="AG355" t="s">
        <v>123</v>
      </c>
      <c r="AH355" t="s">
        <v>124</v>
      </c>
      <c r="AI355" t="s">
        <v>3280</v>
      </c>
      <c r="AJ355" t="s">
        <v>126</v>
      </c>
      <c r="AK355" t="s">
        <v>127</v>
      </c>
      <c r="AM355" t="s">
        <v>3281</v>
      </c>
      <c r="AN355" t="s">
        <v>3282</v>
      </c>
      <c r="AO355" t="s">
        <v>3283</v>
      </c>
      <c r="AP355" t="s">
        <v>131</v>
      </c>
      <c r="AQ355" t="s">
        <v>132</v>
      </c>
      <c r="AR355" t="s">
        <v>720</v>
      </c>
      <c r="AS355" t="s">
        <v>1664</v>
      </c>
      <c r="AU355" t="s">
        <v>1703</v>
      </c>
      <c r="AV355" t="s">
        <v>1195</v>
      </c>
      <c r="AW355" t="s">
        <v>3284</v>
      </c>
      <c r="AX355" t="s">
        <v>177</v>
      </c>
      <c r="AY355" t="s">
        <v>356</v>
      </c>
      <c r="AZ355" t="s">
        <v>3285</v>
      </c>
      <c r="BB355" t="s">
        <v>140</v>
      </c>
    </row>
    <row r="356" spans="1:54" x14ac:dyDescent="0.35">
      <c r="A356" t="s">
        <v>3286</v>
      </c>
      <c r="B356" t="s">
        <v>107</v>
      </c>
      <c r="C356" t="s">
        <v>107</v>
      </c>
      <c r="E356" t="s">
        <v>108</v>
      </c>
      <c r="F356" t="s">
        <v>158</v>
      </c>
      <c r="G356" t="s">
        <v>159</v>
      </c>
      <c r="H356" t="s">
        <v>111</v>
      </c>
      <c r="I356" t="s">
        <v>341</v>
      </c>
      <c r="J356" t="s">
        <v>113</v>
      </c>
      <c r="K356" t="s">
        <v>114</v>
      </c>
      <c r="L356" t="s">
        <v>161</v>
      </c>
      <c r="M356" t="s">
        <v>161</v>
      </c>
      <c r="N356" t="s">
        <v>3287</v>
      </c>
      <c r="O356" t="s">
        <v>1110</v>
      </c>
      <c r="P356" t="s">
        <v>3288</v>
      </c>
      <c r="Q356" t="s">
        <v>114</v>
      </c>
      <c r="R356" t="s">
        <v>180</v>
      </c>
      <c r="S356" t="s">
        <v>114</v>
      </c>
      <c r="T356" t="s">
        <v>180</v>
      </c>
      <c r="V356" t="s">
        <v>114</v>
      </c>
      <c r="W356" t="s">
        <v>3288</v>
      </c>
      <c r="Y356" t="s">
        <v>3289</v>
      </c>
      <c r="Z356" t="s">
        <v>3290</v>
      </c>
      <c r="AA356" t="s">
        <v>3291</v>
      </c>
      <c r="AB356" t="s">
        <v>3292</v>
      </c>
      <c r="AC356" t="s">
        <v>3293</v>
      </c>
      <c r="AG356" t="s">
        <v>123</v>
      </c>
      <c r="AH356" t="s">
        <v>124</v>
      </c>
      <c r="AI356" t="s">
        <v>3294</v>
      </c>
      <c r="AJ356" t="s">
        <v>126</v>
      </c>
      <c r="AK356" t="s">
        <v>127</v>
      </c>
      <c r="AM356" t="s">
        <v>3295</v>
      </c>
      <c r="AN356" t="s">
        <v>3296</v>
      </c>
      <c r="AO356" t="s">
        <v>3297</v>
      </c>
      <c r="AP356" t="s">
        <v>131</v>
      </c>
      <c r="AQ356" t="s">
        <v>132</v>
      </c>
      <c r="AR356" t="s">
        <v>743</v>
      </c>
      <c r="AS356" t="s">
        <v>3298</v>
      </c>
      <c r="AU356" t="s">
        <v>1766</v>
      </c>
      <c r="AW356" t="s">
        <v>655</v>
      </c>
      <c r="AX356" t="s">
        <v>177</v>
      </c>
      <c r="AY356" t="s">
        <v>138</v>
      </c>
      <c r="AZ356" t="s">
        <v>3299</v>
      </c>
      <c r="BB356" t="s">
        <v>140</v>
      </c>
    </row>
    <row r="357" spans="1:54" x14ac:dyDescent="0.35">
      <c r="A357" t="s">
        <v>3286</v>
      </c>
      <c r="B357" t="s">
        <v>107</v>
      </c>
      <c r="C357" t="s">
        <v>107</v>
      </c>
      <c r="E357" t="s">
        <v>108</v>
      </c>
      <c r="F357" t="s">
        <v>268</v>
      </c>
      <c r="G357" t="s">
        <v>269</v>
      </c>
      <c r="H357" t="s">
        <v>2268</v>
      </c>
      <c r="I357" t="s">
        <v>271</v>
      </c>
      <c r="J357" t="s">
        <v>113</v>
      </c>
      <c r="K357" t="s">
        <v>114</v>
      </c>
      <c r="L357" t="s">
        <v>114</v>
      </c>
      <c r="M357" t="s">
        <v>114</v>
      </c>
      <c r="N357" t="s">
        <v>114</v>
      </c>
      <c r="O357" t="s">
        <v>114</v>
      </c>
      <c r="P357" t="s">
        <v>114</v>
      </c>
      <c r="Q357" t="s">
        <v>114</v>
      </c>
      <c r="R357" t="s">
        <v>180</v>
      </c>
      <c r="S357" t="s">
        <v>114</v>
      </c>
      <c r="T357" t="s">
        <v>180</v>
      </c>
      <c r="V357" t="s">
        <v>114</v>
      </c>
      <c r="W357" t="s">
        <v>3288</v>
      </c>
      <c r="Y357" t="s">
        <v>3289</v>
      </c>
      <c r="Z357" t="s">
        <v>3290</v>
      </c>
      <c r="AA357" t="s">
        <v>3291</v>
      </c>
      <c r="AB357" t="s">
        <v>3292</v>
      </c>
      <c r="AC357" t="s">
        <v>3293</v>
      </c>
      <c r="AG357" t="s">
        <v>123</v>
      </c>
      <c r="AH357" t="s">
        <v>124</v>
      </c>
      <c r="AI357" t="s">
        <v>3294</v>
      </c>
      <c r="AJ357" t="s">
        <v>126</v>
      </c>
      <c r="AK357" t="s">
        <v>127</v>
      </c>
      <c r="AM357" t="s">
        <v>3295</v>
      </c>
      <c r="AN357" t="s">
        <v>3296</v>
      </c>
      <c r="AO357" t="s">
        <v>3297</v>
      </c>
      <c r="AP357" t="s">
        <v>131</v>
      </c>
      <c r="AQ357" t="s">
        <v>132</v>
      </c>
      <c r="AR357" t="s">
        <v>743</v>
      </c>
      <c r="AS357" t="s">
        <v>3298</v>
      </c>
      <c r="AU357" t="s">
        <v>1766</v>
      </c>
      <c r="AW357" t="s">
        <v>655</v>
      </c>
      <c r="AX357" t="s">
        <v>272</v>
      </c>
      <c r="AY357" t="s">
        <v>273</v>
      </c>
      <c r="AZ357" t="s">
        <v>3299</v>
      </c>
      <c r="BB357" t="s">
        <v>140</v>
      </c>
    </row>
    <row r="358" spans="1:54" x14ac:dyDescent="0.35">
      <c r="A358" t="s">
        <v>3300</v>
      </c>
      <c r="B358" t="s">
        <v>107</v>
      </c>
      <c r="C358" t="s">
        <v>107</v>
      </c>
      <c r="F358" t="s">
        <v>358</v>
      </c>
      <c r="G358" t="s">
        <v>359</v>
      </c>
      <c r="H358" t="s">
        <v>360</v>
      </c>
      <c r="I358" t="s">
        <v>341</v>
      </c>
      <c r="J358" t="s">
        <v>113</v>
      </c>
      <c r="K358" t="s">
        <v>114</v>
      </c>
      <c r="L358" t="s">
        <v>114</v>
      </c>
      <c r="M358" t="s">
        <v>114</v>
      </c>
      <c r="N358" t="s">
        <v>114</v>
      </c>
      <c r="O358" t="s">
        <v>114</v>
      </c>
      <c r="P358" t="s">
        <v>114</v>
      </c>
      <c r="Q358" t="s">
        <v>114</v>
      </c>
      <c r="R358" t="s">
        <v>114</v>
      </c>
      <c r="S358" t="s">
        <v>114</v>
      </c>
      <c r="T358" t="s">
        <v>114</v>
      </c>
      <c r="V358" t="s">
        <v>114</v>
      </c>
      <c r="W358" t="s">
        <v>114</v>
      </c>
      <c r="Y358" t="s">
        <v>3301</v>
      </c>
      <c r="Z358" t="s">
        <v>3301</v>
      </c>
      <c r="AA358" t="s">
        <v>3302</v>
      </c>
      <c r="AB358" t="s">
        <v>3303</v>
      </c>
      <c r="AC358" t="s">
        <v>3304</v>
      </c>
      <c r="AG358" t="s">
        <v>123</v>
      </c>
      <c r="AH358" t="s">
        <v>124</v>
      </c>
      <c r="AI358" t="s">
        <v>3305</v>
      </c>
      <c r="AJ358" t="s">
        <v>126</v>
      </c>
      <c r="AK358" t="s">
        <v>127</v>
      </c>
      <c r="AM358" t="s">
        <v>3306</v>
      </c>
      <c r="AN358" t="s">
        <v>3307</v>
      </c>
      <c r="AO358" t="s">
        <v>3308</v>
      </c>
      <c r="AP358" t="s">
        <v>131</v>
      </c>
      <c r="AQ358" t="s">
        <v>132</v>
      </c>
      <c r="AR358" t="s">
        <v>1120</v>
      </c>
      <c r="AS358" t="s">
        <v>3309</v>
      </c>
      <c r="AU358" t="s">
        <v>572</v>
      </c>
      <c r="AX358" t="s">
        <v>177</v>
      </c>
      <c r="AY358" t="s">
        <v>364</v>
      </c>
      <c r="AZ358" t="s">
        <v>3310</v>
      </c>
      <c r="BB358" t="s">
        <v>140</v>
      </c>
    </row>
    <row r="359" spans="1:54" x14ac:dyDescent="0.35">
      <c r="A359" t="s">
        <v>3311</v>
      </c>
      <c r="B359" t="s">
        <v>107</v>
      </c>
      <c r="C359" t="s">
        <v>107</v>
      </c>
      <c r="E359" t="s">
        <v>108</v>
      </c>
      <c r="F359" t="s">
        <v>158</v>
      </c>
      <c r="G359" t="s">
        <v>159</v>
      </c>
      <c r="H359" t="s">
        <v>111</v>
      </c>
      <c r="I359" t="s">
        <v>341</v>
      </c>
      <c r="J359" t="s">
        <v>113</v>
      </c>
      <c r="K359" t="s">
        <v>114</v>
      </c>
      <c r="L359" t="s">
        <v>161</v>
      </c>
      <c r="M359" t="s">
        <v>161</v>
      </c>
      <c r="N359" t="s">
        <v>994</v>
      </c>
      <c r="O359" t="s">
        <v>1110</v>
      </c>
      <c r="P359" t="s">
        <v>1151</v>
      </c>
      <c r="Q359" t="s">
        <v>114</v>
      </c>
      <c r="R359" t="s">
        <v>180</v>
      </c>
      <c r="S359" t="s">
        <v>114</v>
      </c>
      <c r="T359" t="s">
        <v>180</v>
      </c>
      <c r="V359" t="s">
        <v>114</v>
      </c>
      <c r="W359" t="s">
        <v>1151</v>
      </c>
      <c r="Y359" t="s">
        <v>3312</v>
      </c>
      <c r="Z359" t="s">
        <v>3313</v>
      </c>
      <c r="AA359" t="s">
        <v>3314</v>
      </c>
      <c r="AB359" t="s">
        <v>3315</v>
      </c>
      <c r="AC359" t="s">
        <v>3313</v>
      </c>
      <c r="AG359" t="s">
        <v>123</v>
      </c>
      <c r="AH359" t="s">
        <v>124</v>
      </c>
      <c r="AI359" t="s">
        <v>3316</v>
      </c>
      <c r="AJ359" t="s">
        <v>126</v>
      </c>
      <c r="AK359" t="s">
        <v>127</v>
      </c>
      <c r="AM359" t="s">
        <v>3317</v>
      </c>
      <c r="AN359" t="s">
        <v>3318</v>
      </c>
      <c r="AO359" t="s">
        <v>3319</v>
      </c>
      <c r="AP359" t="s">
        <v>131</v>
      </c>
      <c r="AQ359" t="s">
        <v>132</v>
      </c>
      <c r="AR359" t="s">
        <v>558</v>
      </c>
      <c r="AS359" t="s">
        <v>1960</v>
      </c>
      <c r="AU359" t="s">
        <v>354</v>
      </c>
      <c r="AW359" t="s">
        <v>136</v>
      </c>
      <c r="AX359" t="s">
        <v>177</v>
      </c>
      <c r="AY359" t="s">
        <v>138</v>
      </c>
      <c r="AZ359" t="s">
        <v>3320</v>
      </c>
      <c r="BB359" t="s">
        <v>140</v>
      </c>
    </row>
    <row r="360" spans="1:54" x14ac:dyDescent="0.35">
      <c r="A360" t="s">
        <v>3311</v>
      </c>
      <c r="B360" t="s">
        <v>107</v>
      </c>
      <c r="C360" t="s">
        <v>107</v>
      </c>
      <c r="E360" t="s">
        <v>108</v>
      </c>
      <c r="F360" t="s">
        <v>268</v>
      </c>
      <c r="G360" t="s">
        <v>269</v>
      </c>
      <c r="H360" t="s">
        <v>2268</v>
      </c>
      <c r="I360" t="s">
        <v>271</v>
      </c>
      <c r="J360" t="s">
        <v>113</v>
      </c>
      <c r="K360" t="s">
        <v>114</v>
      </c>
      <c r="L360" t="s">
        <v>114</v>
      </c>
      <c r="M360" t="s">
        <v>114</v>
      </c>
      <c r="N360" t="s">
        <v>114</v>
      </c>
      <c r="O360" t="s">
        <v>114</v>
      </c>
      <c r="P360" t="s">
        <v>114</v>
      </c>
      <c r="Q360" t="s">
        <v>114</v>
      </c>
      <c r="R360" t="s">
        <v>180</v>
      </c>
      <c r="S360" t="s">
        <v>114</v>
      </c>
      <c r="T360" t="s">
        <v>180</v>
      </c>
      <c r="V360" t="s">
        <v>114</v>
      </c>
      <c r="W360" t="s">
        <v>1151</v>
      </c>
      <c r="Y360" t="s">
        <v>3312</v>
      </c>
      <c r="Z360" t="s">
        <v>3313</v>
      </c>
      <c r="AA360" t="s">
        <v>3314</v>
      </c>
      <c r="AB360" t="s">
        <v>3315</v>
      </c>
      <c r="AC360" t="s">
        <v>3313</v>
      </c>
      <c r="AG360" t="s">
        <v>123</v>
      </c>
      <c r="AH360" t="s">
        <v>124</v>
      </c>
      <c r="AI360" t="s">
        <v>3316</v>
      </c>
      <c r="AJ360" t="s">
        <v>126</v>
      </c>
      <c r="AK360" t="s">
        <v>127</v>
      </c>
      <c r="AM360" t="s">
        <v>3317</v>
      </c>
      <c r="AN360" t="s">
        <v>3318</v>
      </c>
      <c r="AO360" t="s">
        <v>3319</v>
      </c>
      <c r="AP360" t="s">
        <v>131</v>
      </c>
      <c r="AQ360" t="s">
        <v>132</v>
      </c>
      <c r="AR360" t="s">
        <v>558</v>
      </c>
      <c r="AS360" t="s">
        <v>1960</v>
      </c>
      <c r="AU360" t="s">
        <v>354</v>
      </c>
      <c r="AW360" t="s">
        <v>136</v>
      </c>
      <c r="AX360" t="s">
        <v>272</v>
      </c>
      <c r="AY360" t="s">
        <v>273</v>
      </c>
      <c r="AZ360" t="s">
        <v>3320</v>
      </c>
      <c r="BB360" t="s">
        <v>140</v>
      </c>
    </row>
    <row r="361" spans="1:54" x14ac:dyDescent="0.35">
      <c r="A361" t="s">
        <v>3321</v>
      </c>
      <c r="B361" t="s">
        <v>107</v>
      </c>
      <c r="C361" t="s">
        <v>107</v>
      </c>
      <c r="F361" t="s">
        <v>358</v>
      </c>
      <c r="G361" t="s">
        <v>359</v>
      </c>
      <c r="H361" t="s">
        <v>360</v>
      </c>
      <c r="I361" t="s">
        <v>341</v>
      </c>
      <c r="J361" t="s">
        <v>113</v>
      </c>
      <c r="K361" t="s">
        <v>114</v>
      </c>
      <c r="L361" t="s">
        <v>114</v>
      </c>
      <c r="M361" t="s">
        <v>114</v>
      </c>
      <c r="N361" t="s">
        <v>114</v>
      </c>
      <c r="O361" t="s">
        <v>114</v>
      </c>
      <c r="P361" t="s">
        <v>114</v>
      </c>
      <c r="Q361" t="s">
        <v>114</v>
      </c>
      <c r="R361" t="s">
        <v>114</v>
      </c>
      <c r="S361" t="s">
        <v>114</v>
      </c>
      <c r="T361" t="s">
        <v>114</v>
      </c>
      <c r="V361" t="s">
        <v>114</v>
      </c>
      <c r="W361" t="s">
        <v>114</v>
      </c>
      <c r="Y361" t="s">
        <v>3322</v>
      </c>
      <c r="Z361" t="s">
        <v>3322</v>
      </c>
      <c r="AA361" t="s">
        <v>3323</v>
      </c>
      <c r="AB361" t="s">
        <v>3324</v>
      </c>
      <c r="AC361" t="s">
        <v>3325</v>
      </c>
      <c r="AG361" t="s">
        <v>123</v>
      </c>
      <c r="AH361" t="s">
        <v>124</v>
      </c>
      <c r="AI361" t="s">
        <v>3326</v>
      </c>
      <c r="AJ361" t="s">
        <v>126</v>
      </c>
      <c r="AK361" t="s">
        <v>127</v>
      </c>
      <c r="AM361" t="s">
        <v>3327</v>
      </c>
      <c r="AN361" t="s">
        <v>3328</v>
      </c>
      <c r="AO361" t="s">
        <v>3329</v>
      </c>
      <c r="AP361" t="s">
        <v>131</v>
      </c>
      <c r="AQ361" t="s">
        <v>132</v>
      </c>
      <c r="AR361" t="s">
        <v>284</v>
      </c>
      <c r="AS361" t="s">
        <v>285</v>
      </c>
      <c r="AU361" t="s">
        <v>300</v>
      </c>
      <c r="AV361" t="s">
        <v>236</v>
      </c>
      <c r="AX361" t="s">
        <v>177</v>
      </c>
      <c r="AY361" t="s">
        <v>364</v>
      </c>
      <c r="AZ361" t="s">
        <v>3330</v>
      </c>
      <c r="BB361" t="s">
        <v>140</v>
      </c>
    </row>
    <row r="362" spans="1:54" x14ac:dyDescent="0.35">
      <c r="A362" t="s">
        <v>3331</v>
      </c>
      <c r="B362" t="s">
        <v>107</v>
      </c>
      <c r="C362" t="s">
        <v>107</v>
      </c>
      <c r="F362" t="s">
        <v>358</v>
      </c>
      <c r="G362" t="s">
        <v>359</v>
      </c>
      <c r="H362" t="s">
        <v>360</v>
      </c>
      <c r="I362" t="s">
        <v>341</v>
      </c>
      <c r="J362" t="s">
        <v>113</v>
      </c>
      <c r="K362" t="s">
        <v>114</v>
      </c>
      <c r="L362" t="s">
        <v>114</v>
      </c>
      <c r="M362" t="s">
        <v>114</v>
      </c>
      <c r="N362" t="s">
        <v>114</v>
      </c>
      <c r="O362" t="s">
        <v>114</v>
      </c>
      <c r="P362" t="s">
        <v>114</v>
      </c>
      <c r="Q362" t="s">
        <v>114</v>
      </c>
      <c r="R362" t="s">
        <v>114</v>
      </c>
      <c r="S362" t="s">
        <v>114</v>
      </c>
      <c r="T362" t="s">
        <v>114</v>
      </c>
      <c r="V362" t="s">
        <v>114</v>
      </c>
      <c r="W362" t="s">
        <v>114</v>
      </c>
      <c r="Y362" t="s">
        <v>3332</v>
      </c>
      <c r="Z362" t="s">
        <v>3332</v>
      </c>
      <c r="AA362" t="s">
        <v>3333</v>
      </c>
      <c r="AB362" t="s">
        <v>3334</v>
      </c>
      <c r="AC362" t="s">
        <v>3335</v>
      </c>
      <c r="AG362" t="s">
        <v>123</v>
      </c>
      <c r="AH362" t="s">
        <v>124</v>
      </c>
      <c r="AI362" t="s">
        <v>3336</v>
      </c>
      <c r="AJ362" t="s">
        <v>126</v>
      </c>
      <c r="AK362" t="s">
        <v>127</v>
      </c>
      <c r="AM362" t="s">
        <v>3337</v>
      </c>
      <c r="AN362" t="s">
        <v>3338</v>
      </c>
      <c r="AO362" t="s">
        <v>3339</v>
      </c>
      <c r="AP362" t="s">
        <v>131</v>
      </c>
      <c r="AQ362" t="s">
        <v>132</v>
      </c>
      <c r="AR362" t="s">
        <v>284</v>
      </c>
      <c r="AS362" t="s">
        <v>3340</v>
      </c>
      <c r="AU362" t="s">
        <v>1703</v>
      </c>
      <c r="AX362" t="s">
        <v>177</v>
      </c>
      <c r="AY362" t="s">
        <v>364</v>
      </c>
      <c r="AZ362" t="s">
        <v>3341</v>
      </c>
      <c r="BB362" t="s">
        <v>140</v>
      </c>
    </row>
    <row r="363" spans="1:54" x14ac:dyDescent="0.35">
      <c r="A363" t="s">
        <v>3342</v>
      </c>
      <c r="B363" t="s">
        <v>107</v>
      </c>
      <c r="C363" t="s">
        <v>107</v>
      </c>
      <c r="E363" t="s">
        <v>108</v>
      </c>
      <c r="F363" t="s">
        <v>158</v>
      </c>
      <c r="G363" t="s">
        <v>159</v>
      </c>
      <c r="H363" t="s">
        <v>111</v>
      </c>
      <c r="I363" t="s">
        <v>341</v>
      </c>
      <c r="J363" t="s">
        <v>113</v>
      </c>
      <c r="K363" t="s">
        <v>114</v>
      </c>
      <c r="L363" t="s">
        <v>161</v>
      </c>
      <c r="M363" t="s">
        <v>161</v>
      </c>
      <c r="N363" t="s">
        <v>994</v>
      </c>
      <c r="O363" t="s">
        <v>1110</v>
      </c>
      <c r="P363" t="s">
        <v>1151</v>
      </c>
      <c r="Q363" t="s">
        <v>114</v>
      </c>
      <c r="R363" t="s">
        <v>180</v>
      </c>
      <c r="S363" t="s">
        <v>114</v>
      </c>
      <c r="T363" t="s">
        <v>180</v>
      </c>
      <c r="V363" t="s">
        <v>114</v>
      </c>
      <c r="W363" t="s">
        <v>1151</v>
      </c>
      <c r="Y363" t="s">
        <v>3343</v>
      </c>
      <c r="Z363" t="s">
        <v>3344</v>
      </c>
      <c r="AA363" t="s">
        <v>3345</v>
      </c>
      <c r="AB363" t="s">
        <v>3346</v>
      </c>
      <c r="AC363" t="s">
        <v>3344</v>
      </c>
      <c r="AG363" t="s">
        <v>123</v>
      </c>
      <c r="AH363" t="s">
        <v>124</v>
      </c>
      <c r="AI363" t="s">
        <v>3347</v>
      </c>
      <c r="AJ363" t="s">
        <v>126</v>
      </c>
      <c r="AK363" t="s">
        <v>127</v>
      </c>
      <c r="AM363" t="s">
        <v>3348</v>
      </c>
      <c r="AN363" t="s">
        <v>3349</v>
      </c>
      <c r="AO363" t="s">
        <v>3350</v>
      </c>
      <c r="AP363" t="s">
        <v>131</v>
      </c>
      <c r="AQ363" t="s">
        <v>132</v>
      </c>
      <c r="AR363" t="s">
        <v>1056</v>
      </c>
      <c r="AS363" t="s">
        <v>1057</v>
      </c>
      <c r="AU363" t="s">
        <v>2850</v>
      </c>
      <c r="AW363" t="s">
        <v>136</v>
      </c>
      <c r="AX363" t="s">
        <v>177</v>
      </c>
      <c r="AY363" t="s">
        <v>138</v>
      </c>
      <c r="AZ363" t="s">
        <v>3351</v>
      </c>
      <c r="BB363" t="s">
        <v>140</v>
      </c>
    </row>
    <row r="364" spans="1:54" x14ac:dyDescent="0.35">
      <c r="A364" t="s">
        <v>3342</v>
      </c>
      <c r="B364" t="s">
        <v>107</v>
      </c>
      <c r="C364" t="s">
        <v>107</v>
      </c>
      <c r="E364" t="s">
        <v>108</v>
      </c>
      <c r="F364" t="s">
        <v>268</v>
      </c>
      <c r="G364" t="s">
        <v>269</v>
      </c>
      <c r="H364" t="s">
        <v>2268</v>
      </c>
      <c r="I364" t="s">
        <v>271</v>
      </c>
      <c r="J364" t="s">
        <v>113</v>
      </c>
      <c r="K364" t="s">
        <v>114</v>
      </c>
      <c r="L364" t="s">
        <v>114</v>
      </c>
      <c r="M364" t="s">
        <v>114</v>
      </c>
      <c r="N364" t="s">
        <v>114</v>
      </c>
      <c r="O364" t="s">
        <v>114</v>
      </c>
      <c r="P364" t="s">
        <v>114</v>
      </c>
      <c r="Q364" t="s">
        <v>114</v>
      </c>
      <c r="R364" t="s">
        <v>180</v>
      </c>
      <c r="S364" t="s">
        <v>114</v>
      </c>
      <c r="T364" t="s">
        <v>180</v>
      </c>
      <c r="V364" t="s">
        <v>114</v>
      </c>
      <c r="W364" t="s">
        <v>1151</v>
      </c>
      <c r="Y364" t="s">
        <v>3343</v>
      </c>
      <c r="Z364" t="s">
        <v>3344</v>
      </c>
      <c r="AA364" t="s">
        <v>3345</v>
      </c>
      <c r="AB364" t="s">
        <v>3346</v>
      </c>
      <c r="AC364" t="s">
        <v>3344</v>
      </c>
      <c r="AG364" t="s">
        <v>123</v>
      </c>
      <c r="AH364" t="s">
        <v>124</v>
      </c>
      <c r="AI364" t="s">
        <v>3347</v>
      </c>
      <c r="AJ364" t="s">
        <v>126</v>
      </c>
      <c r="AK364" t="s">
        <v>127</v>
      </c>
      <c r="AM364" t="s">
        <v>3348</v>
      </c>
      <c r="AN364" t="s">
        <v>3349</v>
      </c>
      <c r="AO364" t="s">
        <v>3350</v>
      </c>
      <c r="AP364" t="s">
        <v>131</v>
      </c>
      <c r="AQ364" t="s">
        <v>132</v>
      </c>
      <c r="AR364" t="s">
        <v>1056</v>
      </c>
      <c r="AS364" t="s">
        <v>1057</v>
      </c>
      <c r="AU364" t="s">
        <v>2850</v>
      </c>
      <c r="AW364" t="s">
        <v>136</v>
      </c>
      <c r="AX364" t="s">
        <v>272</v>
      </c>
      <c r="AY364" t="s">
        <v>273</v>
      </c>
      <c r="AZ364" t="s">
        <v>3351</v>
      </c>
      <c r="BB364" t="s">
        <v>140</v>
      </c>
    </row>
    <row r="365" spans="1:54" x14ac:dyDescent="0.35">
      <c r="A365" t="s">
        <v>3352</v>
      </c>
      <c r="B365" t="s">
        <v>107</v>
      </c>
      <c r="C365" t="s">
        <v>107</v>
      </c>
      <c r="E365" t="s">
        <v>108</v>
      </c>
      <c r="F365" t="s">
        <v>158</v>
      </c>
      <c r="G365" t="s">
        <v>159</v>
      </c>
      <c r="H365" t="s">
        <v>111</v>
      </c>
      <c r="I365" t="s">
        <v>341</v>
      </c>
      <c r="J365" t="s">
        <v>113</v>
      </c>
      <c r="K365" t="s">
        <v>114</v>
      </c>
      <c r="L365" t="s">
        <v>161</v>
      </c>
      <c r="M365" t="s">
        <v>161</v>
      </c>
      <c r="N365" t="s">
        <v>436</v>
      </c>
      <c r="O365" t="s">
        <v>1110</v>
      </c>
      <c r="P365" t="s">
        <v>1876</v>
      </c>
      <c r="Q365" t="s">
        <v>114</v>
      </c>
      <c r="R365" t="s">
        <v>142</v>
      </c>
      <c r="S365" t="s">
        <v>114</v>
      </c>
      <c r="T365" t="s">
        <v>142</v>
      </c>
      <c r="V365" t="s">
        <v>114</v>
      </c>
      <c r="W365" t="s">
        <v>1876</v>
      </c>
      <c r="Y365" t="s">
        <v>3353</v>
      </c>
      <c r="Z365" t="s">
        <v>3354</v>
      </c>
      <c r="AA365" t="s">
        <v>3355</v>
      </c>
      <c r="AB365" t="s">
        <v>3356</v>
      </c>
      <c r="AC365" t="s">
        <v>3354</v>
      </c>
      <c r="AG365" t="s">
        <v>123</v>
      </c>
      <c r="AH365" t="s">
        <v>124</v>
      </c>
      <c r="AI365" t="s">
        <v>3357</v>
      </c>
      <c r="AJ365" t="s">
        <v>126</v>
      </c>
      <c r="AK365" t="s">
        <v>127</v>
      </c>
      <c r="AM365" t="s">
        <v>3358</v>
      </c>
      <c r="AN365" t="s">
        <v>3359</v>
      </c>
      <c r="AO365" t="s">
        <v>3360</v>
      </c>
      <c r="AP365" t="s">
        <v>131</v>
      </c>
      <c r="AQ365" t="s">
        <v>132</v>
      </c>
      <c r="AR365" t="s">
        <v>387</v>
      </c>
      <c r="AS365" t="s">
        <v>388</v>
      </c>
      <c r="AU365" t="s">
        <v>1107</v>
      </c>
      <c r="AV365" t="s">
        <v>3361</v>
      </c>
      <c r="AW365" t="s">
        <v>136</v>
      </c>
      <c r="AX365" t="s">
        <v>177</v>
      </c>
      <c r="AY365" t="s">
        <v>138</v>
      </c>
      <c r="AZ365" t="s">
        <v>3362</v>
      </c>
      <c r="BB365" t="s">
        <v>140</v>
      </c>
    </row>
    <row r="366" spans="1:54" x14ac:dyDescent="0.35">
      <c r="A366" t="s">
        <v>3352</v>
      </c>
      <c r="B366" t="s">
        <v>107</v>
      </c>
      <c r="C366" t="s">
        <v>107</v>
      </c>
      <c r="E366" t="s">
        <v>108</v>
      </c>
      <c r="F366" t="s">
        <v>268</v>
      </c>
      <c r="G366" t="s">
        <v>269</v>
      </c>
      <c r="H366" t="s">
        <v>2268</v>
      </c>
      <c r="I366" t="s">
        <v>271</v>
      </c>
      <c r="J366" t="s">
        <v>113</v>
      </c>
      <c r="K366" t="s">
        <v>114</v>
      </c>
      <c r="L366" t="s">
        <v>114</v>
      </c>
      <c r="M366" t="s">
        <v>114</v>
      </c>
      <c r="N366" t="s">
        <v>114</v>
      </c>
      <c r="O366" t="s">
        <v>114</v>
      </c>
      <c r="P366" t="s">
        <v>114</v>
      </c>
      <c r="Q366" t="s">
        <v>114</v>
      </c>
      <c r="R366" t="s">
        <v>142</v>
      </c>
      <c r="S366" t="s">
        <v>114</v>
      </c>
      <c r="T366" t="s">
        <v>142</v>
      </c>
      <c r="V366" t="s">
        <v>114</v>
      </c>
      <c r="W366" t="s">
        <v>1876</v>
      </c>
      <c r="Y366" t="s">
        <v>3353</v>
      </c>
      <c r="Z366" t="s">
        <v>3354</v>
      </c>
      <c r="AA366" t="s">
        <v>3355</v>
      </c>
      <c r="AB366" t="s">
        <v>3356</v>
      </c>
      <c r="AC366" t="s">
        <v>3354</v>
      </c>
      <c r="AG366" t="s">
        <v>123</v>
      </c>
      <c r="AH366" t="s">
        <v>124</v>
      </c>
      <c r="AI366" t="s">
        <v>3357</v>
      </c>
      <c r="AJ366" t="s">
        <v>126</v>
      </c>
      <c r="AK366" t="s">
        <v>127</v>
      </c>
      <c r="AM366" t="s">
        <v>3358</v>
      </c>
      <c r="AN366" t="s">
        <v>3359</v>
      </c>
      <c r="AO366" t="s">
        <v>3360</v>
      </c>
      <c r="AP366" t="s">
        <v>131</v>
      </c>
      <c r="AQ366" t="s">
        <v>132</v>
      </c>
      <c r="AR366" t="s">
        <v>387</v>
      </c>
      <c r="AS366" t="s">
        <v>388</v>
      </c>
      <c r="AU366" t="s">
        <v>1107</v>
      </c>
      <c r="AV366" t="s">
        <v>3361</v>
      </c>
      <c r="AW366" t="s">
        <v>136</v>
      </c>
      <c r="AX366" t="s">
        <v>272</v>
      </c>
      <c r="AY366" t="s">
        <v>273</v>
      </c>
      <c r="AZ366" t="s">
        <v>3362</v>
      </c>
      <c r="BB366" t="s">
        <v>140</v>
      </c>
    </row>
    <row r="367" spans="1:54" x14ac:dyDescent="0.35">
      <c r="A367" t="s">
        <v>3363</v>
      </c>
      <c r="B367" t="s">
        <v>107</v>
      </c>
      <c r="C367" t="s">
        <v>107</v>
      </c>
      <c r="E367" t="s">
        <v>108</v>
      </c>
      <c r="F367" t="s">
        <v>268</v>
      </c>
      <c r="G367" t="s">
        <v>269</v>
      </c>
      <c r="H367" t="s">
        <v>2268</v>
      </c>
      <c r="I367" t="s">
        <v>271</v>
      </c>
      <c r="J367" t="s">
        <v>113</v>
      </c>
      <c r="K367" t="s">
        <v>114</v>
      </c>
      <c r="L367" t="s">
        <v>114</v>
      </c>
      <c r="M367" t="s">
        <v>114</v>
      </c>
      <c r="N367" t="s">
        <v>114</v>
      </c>
      <c r="O367" t="s">
        <v>114</v>
      </c>
      <c r="P367" t="s">
        <v>114</v>
      </c>
      <c r="Q367" t="s">
        <v>114</v>
      </c>
      <c r="R367" t="s">
        <v>180</v>
      </c>
      <c r="S367" t="s">
        <v>114</v>
      </c>
      <c r="T367" t="s">
        <v>180</v>
      </c>
      <c r="V367" t="s">
        <v>114</v>
      </c>
      <c r="W367" t="s">
        <v>1151</v>
      </c>
      <c r="Y367" t="s">
        <v>3364</v>
      </c>
      <c r="Z367" t="s">
        <v>3365</v>
      </c>
      <c r="AA367" t="s">
        <v>3366</v>
      </c>
      <c r="AB367" t="s">
        <v>3367</v>
      </c>
      <c r="AC367" t="s">
        <v>3368</v>
      </c>
      <c r="AG367" t="s">
        <v>123</v>
      </c>
      <c r="AH367" t="s">
        <v>124</v>
      </c>
      <c r="AI367" t="s">
        <v>3369</v>
      </c>
      <c r="AJ367" t="s">
        <v>126</v>
      </c>
      <c r="AK367" t="s">
        <v>127</v>
      </c>
      <c r="AM367" t="s">
        <v>3370</v>
      </c>
      <c r="AN367" t="s">
        <v>3371</v>
      </c>
      <c r="AO367" t="s">
        <v>3059</v>
      </c>
      <c r="AP367" t="s">
        <v>131</v>
      </c>
      <c r="AQ367" t="s">
        <v>132</v>
      </c>
      <c r="AR367" t="s">
        <v>1146</v>
      </c>
      <c r="AS367" t="s">
        <v>3372</v>
      </c>
      <c r="AU367" t="s">
        <v>3150</v>
      </c>
      <c r="AW367" t="s">
        <v>317</v>
      </c>
      <c r="AX367" t="s">
        <v>272</v>
      </c>
      <c r="AY367" t="s">
        <v>273</v>
      </c>
      <c r="AZ367" t="s">
        <v>3373</v>
      </c>
      <c r="BB367" t="s">
        <v>140</v>
      </c>
    </row>
    <row r="368" spans="1:54" x14ac:dyDescent="0.35">
      <c r="A368" t="s">
        <v>3363</v>
      </c>
      <c r="B368" t="s">
        <v>107</v>
      </c>
      <c r="C368" t="s">
        <v>107</v>
      </c>
      <c r="E368" t="s">
        <v>108</v>
      </c>
      <c r="F368" t="s">
        <v>158</v>
      </c>
      <c r="G368" t="s">
        <v>159</v>
      </c>
      <c r="H368" t="s">
        <v>111</v>
      </c>
      <c r="I368" t="s">
        <v>341</v>
      </c>
      <c r="J368" t="s">
        <v>113</v>
      </c>
      <c r="K368" t="s">
        <v>114</v>
      </c>
      <c r="L368" t="s">
        <v>161</v>
      </c>
      <c r="M368" t="s">
        <v>161</v>
      </c>
      <c r="N368" t="s">
        <v>994</v>
      </c>
      <c r="O368" t="s">
        <v>1110</v>
      </c>
      <c r="P368" t="s">
        <v>1151</v>
      </c>
      <c r="Q368" t="s">
        <v>114</v>
      </c>
      <c r="R368" t="s">
        <v>180</v>
      </c>
      <c r="S368" t="s">
        <v>114</v>
      </c>
      <c r="T368" t="s">
        <v>180</v>
      </c>
      <c r="V368" t="s">
        <v>114</v>
      </c>
      <c r="W368" t="s">
        <v>1151</v>
      </c>
      <c r="Y368" t="s">
        <v>3364</v>
      </c>
      <c r="Z368" t="s">
        <v>3365</v>
      </c>
      <c r="AA368" t="s">
        <v>3366</v>
      </c>
      <c r="AB368" t="s">
        <v>3367</v>
      </c>
      <c r="AC368" t="s">
        <v>3368</v>
      </c>
      <c r="AG368" t="s">
        <v>123</v>
      </c>
      <c r="AH368" t="s">
        <v>124</v>
      </c>
      <c r="AI368" t="s">
        <v>3369</v>
      </c>
      <c r="AJ368" t="s">
        <v>126</v>
      </c>
      <c r="AK368" t="s">
        <v>127</v>
      </c>
      <c r="AM368" t="s">
        <v>3370</v>
      </c>
      <c r="AN368" t="s">
        <v>3371</v>
      </c>
      <c r="AO368" t="s">
        <v>3059</v>
      </c>
      <c r="AP368" t="s">
        <v>131</v>
      </c>
      <c r="AQ368" t="s">
        <v>132</v>
      </c>
      <c r="AR368" t="s">
        <v>1146</v>
      </c>
      <c r="AS368" t="s">
        <v>3372</v>
      </c>
      <c r="AU368" t="s">
        <v>3150</v>
      </c>
      <c r="AW368" t="s">
        <v>317</v>
      </c>
      <c r="AX368" t="s">
        <v>177</v>
      </c>
      <c r="AY368" t="s">
        <v>138</v>
      </c>
      <c r="AZ368" t="s">
        <v>3373</v>
      </c>
      <c r="BB368" t="s">
        <v>140</v>
      </c>
    </row>
    <row r="369" spans="1:54" x14ac:dyDescent="0.35">
      <c r="A369" t="s">
        <v>3374</v>
      </c>
      <c r="B369" t="s">
        <v>107</v>
      </c>
      <c r="C369" t="s">
        <v>107</v>
      </c>
      <c r="E369" t="s">
        <v>108</v>
      </c>
      <c r="F369" t="s">
        <v>158</v>
      </c>
      <c r="G369" t="s">
        <v>159</v>
      </c>
      <c r="H369" t="s">
        <v>111</v>
      </c>
      <c r="I369" t="s">
        <v>341</v>
      </c>
      <c r="J369" t="s">
        <v>113</v>
      </c>
      <c r="K369" t="s">
        <v>114</v>
      </c>
      <c r="L369" t="s">
        <v>161</v>
      </c>
      <c r="M369" t="s">
        <v>161</v>
      </c>
      <c r="N369" t="s">
        <v>672</v>
      </c>
      <c r="O369" t="s">
        <v>1110</v>
      </c>
      <c r="P369" t="s">
        <v>117</v>
      </c>
      <c r="Q369" t="s">
        <v>114</v>
      </c>
      <c r="R369" t="s">
        <v>180</v>
      </c>
      <c r="S369" t="s">
        <v>114</v>
      </c>
      <c r="T369" t="s">
        <v>180</v>
      </c>
      <c r="V369" t="s">
        <v>114</v>
      </c>
      <c r="W369" t="s">
        <v>117</v>
      </c>
      <c r="Y369" t="s">
        <v>3375</v>
      </c>
      <c r="Z369" t="s">
        <v>3376</v>
      </c>
      <c r="AA369" t="s">
        <v>3377</v>
      </c>
      <c r="AB369" t="s">
        <v>3378</v>
      </c>
      <c r="AC369" t="s">
        <v>3376</v>
      </c>
      <c r="AG369" t="s">
        <v>123</v>
      </c>
      <c r="AH369" t="s">
        <v>124</v>
      </c>
      <c r="AI369" t="s">
        <v>3379</v>
      </c>
      <c r="AJ369" t="s">
        <v>126</v>
      </c>
      <c r="AK369" t="s">
        <v>127</v>
      </c>
      <c r="AM369" t="s">
        <v>3380</v>
      </c>
      <c r="AN369" t="s">
        <v>3381</v>
      </c>
      <c r="AO369" t="s">
        <v>3382</v>
      </c>
      <c r="AP369" t="s">
        <v>131</v>
      </c>
      <c r="AQ369" t="s">
        <v>132</v>
      </c>
      <c r="AR369" t="s">
        <v>880</v>
      </c>
      <c r="AS369" t="s">
        <v>3383</v>
      </c>
      <c r="AU369" t="s">
        <v>265</v>
      </c>
      <c r="AW369" t="s">
        <v>136</v>
      </c>
      <c r="AX369" t="s">
        <v>177</v>
      </c>
      <c r="AY369" t="s">
        <v>138</v>
      </c>
      <c r="AZ369" t="s">
        <v>3384</v>
      </c>
      <c r="BB369" t="s">
        <v>140</v>
      </c>
    </row>
    <row r="370" spans="1:54" x14ac:dyDescent="0.35">
      <c r="A370" t="s">
        <v>3374</v>
      </c>
      <c r="B370" t="s">
        <v>107</v>
      </c>
      <c r="C370" t="s">
        <v>107</v>
      </c>
      <c r="E370" t="s">
        <v>108</v>
      </c>
      <c r="F370" t="s">
        <v>268</v>
      </c>
      <c r="G370" t="s">
        <v>269</v>
      </c>
      <c r="H370" t="s">
        <v>2268</v>
      </c>
      <c r="I370" t="s">
        <v>271</v>
      </c>
      <c r="J370" t="s">
        <v>113</v>
      </c>
      <c r="K370" t="s">
        <v>114</v>
      </c>
      <c r="L370" t="s">
        <v>114</v>
      </c>
      <c r="M370" t="s">
        <v>114</v>
      </c>
      <c r="N370" t="s">
        <v>114</v>
      </c>
      <c r="O370" t="s">
        <v>114</v>
      </c>
      <c r="P370" t="s">
        <v>114</v>
      </c>
      <c r="Q370" t="s">
        <v>114</v>
      </c>
      <c r="R370" t="s">
        <v>180</v>
      </c>
      <c r="S370" t="s">
        <v>114</v>
      </c>
      <c r="T370" t="s">
        <v>180</v>
      </c>
      <c r="V370" t="s">
        <v>114</v>
      </c>
      <c r="W370" t="s">
        <v>117</v>
      </c>
      <c r="Y370" t="s">
        <v>3375</v>
      </c>
      <c r="Z370" t="s">
        <v>3376</v>
      </c>
      <c r="AA370" t="s">
        <v>3377</v>
      </c>
      <c r="AB370" t="s">
        <v>3378</v>
      </c>
      <c r="AC370" t="s">
        <v>3376</v>
      </c>
      <c r="AG370" t="s">
        <v>123</v>
      </c>
      <c r="AH370" t="s">
        <v>124</v>
      </c>
      <c r="AI370" t="s">
        <v>3379</v>
      </c>
      <c r="AJ370" t="s">
        <v>126</v>
      </c>
      <c r="AK370" t="s">
        <v>127</v>
      </c>
      <c r="AM370" t="s">
        <v>3380</v>
      </c>
      <c r="AN370" t="s">
        <v>3381</v>
      </c>
      <c r="AO370" t="s">
        <v>3382</v>
      </c>
      <c r="AP370" t="s">
        <v>131</v>
      </c>
      <c r="AQ370" t="s">
        <v>132</v>
      </c>
      <c r="AR370" t="s">
        <v>880</v>
      </c>
      <c r="AS370" t="s">
        <v>3383</v>
      </c>
      <c r="AU370" t="s">
        <v>265</v>
      </c>
      <c r="AW370" t="s">
        <v>136</v>
      </c>
      <c r="AX370" t="s">
        <v>272</v>
      </c>
      <c r="AY370" t="s">
        <v>273</v>
      </c>
      <c r="AZ370" t="s">
        <v>3384</v>
      </c>
      <c r="BB370" t="s">
        <v>140</v>
      </c>
    </row>
    <row r="371" spans="1:54" x14ac:dyDescent="0.35">
      <c r="A371" t="s">
        <v>3385</v>
      </c>
      <c r="B371" t="s">
        <v>107</v>
      </c>
      <c r="C371" t="s">
        <v>107</v>
      </c>
      <c r="E371" t="s">
        <v>108</v>
      </c>
      <c r="F371" t="s">
        <v>158</v>
      </c>
      <c r="G371" t="s">
        <v>159</v>
      </c>
      <c r="H371" t="s">
        <v>111</v>
      </c>
      <c r="I371" t="s">
        <v>341</v>
      </c>
      <c r="J371" t="s">
        <v>113</v>
      </c>
      <c r="K371" t="s">
        <v>114</v>
      </c>
      <c r="L371" t="s">
        <v>161</v>
      </c>
      <c r="M371" t="s">
        <v>161</v>
      </c>
      <c r="N371" t="s">
        <v>994</v>
      </c>
      <c r="O371" t="s">
        <v>1110</v>
      </c>
      <c r="P371" t="s">
        <v>1151</v>
      </c>
      <c r="Q371" t="s">
        <v>114</v>
      </c>
      <c r="R371" t="s">
        <v>142</v>
      </c>
      <c r="S371" t="s">
        <v>114</v>
      </c>
      <c r="T371" t="s">
        <v>142</v>
      </c>
      <c r="V371" t="s">
        <v>114</v>
      </c>
      <c r="W371" t="s">
        <v>1151</v>
      </c>
      <c r="Y371" t="s">
        <v>3386</v>
      </c>
      <c r="Z371" t="s">
        <v>3387</v>
      </c>
      <c r="AA371" t="s">
        <v>3388</v>
      </c>
      <c r="AB371" t="s">
        <v>3389</v>
      </c>
      <c r="AC371" t="s">
        <v>3387</v>
      </c>
      <c r="AG371" t="s">
        <v>123</v>
      </c>
      <c r="AH371" t="s">
        <v>124</v>
      </c>
      <c r="AI371" t="s">
        <v>3390</v>
      </c>
      <c r="AJ371" t="s">
        <v>126</v>
      </c>
      <c r="AK371" t="s">
        <v>127</v>
      </c>
      <c r="AM371" t="s">
        <v>3391</v>
      </c>
      <c r="AN371" t="s">
        <v>3392</v>
      </c>
      <c r="AO371" t="s">
        <v>3393</v>
      </c>
      <c r="AP371" t="s">
        <v>131</v>
      </c>
      <c r="AQ371" t="s">
        <v>132</v>
      </c>
      <c r="AR371" t="s">
        <v>152</v>
      </c>
      <c r="AS371" t="s">
        <v>1347</v>
      </c>
      <c r="AU371" t="s">
        <v>3394</v>
      </c>
      <c r="AW371" t="s">
        <v>136</v>
      </c>
      <c r="AX371" t="s">
        <v>177</v>
      </c>
      <c r="AY371" t="s">
        <v>138</v>
      </c>
      <c r="AZ371" t="s">
        <v>3395</v>
      </c>
      <c r="BB371" t="s">
        <v>140</v>
      </c>
    </row>
    <row r="372" spans="1:54" x14ac:dyDescent="0.35">
      <c r="A372" t="s">
        <v>3385</v>
      </c>
      <c r="B372" t="s">
        <v>107</v>
      </c>
      <c r="C372" t="s">
        <v>107</v>
      </c>
      <c r="E372" t="s">
        <v>108</v>
      </c>
      <c r="F372" t="s">
        <v>268</v>
      </c>
      <c r="G372" t="s">
        <v>269</v>
      </c>
      <c r="H372" t="s">
        <v>2268</v>
      </c>
      <c r="I372" t="s">
        <v>271</v>
      </c>
      <c r="J372" t="s">
        <v>113</v>
      </c>
      <c r="K372" t="s">
        <v>114</v>
      </c>
      <c r="L372" t="s">
        <v>114</v>
      </c>
      <c r="M372" t="s">
        <v>114</v>
      </c>
      <c r="N372" t="s">
        <v>114</v>
      </c>
      <c r="O372" t="s">
        <v>114</v>
      </c>
      <c r="P372" t="s">
        <v>114</v>
      </c>
      <c r="Q372" t="s">
        <v>114</v>
      </c>
      <c r="R372" t="s">
        <v>142</v>
      </c>
      <c r="S372" t="s">
        <v>114</v>
      </c>
      <c r="T372" t="s">
        <v>142</v>
      </c>
      <c r="V372" t="s">
        <v>114</v>
      </c>
      <c r="W372" t="s">
        <v>1151</v>
      </c>
      <c r="Y372" t="s">
        <v>3386</v>
      </c>
      <c r="Z372" t="s">
        <v>3387</v>
      </c>
      <c r="AA372" t="s">
        <v>3388</v>
      </c>
      <c r="AB372" t="s">
        <v>3389</v>
      </c>
      <c r="AC372" t="s">
        <v>3387</v>
      </c>
      <c r="AG372" t="s">
        <v>123</v>
      </c>
      <c r="AH372" t="s">
        <v>124</v>
      </c>
      <c r="AI372" t="s">
        <v>3390</v>
      </c>
      <c r="AJ372" t="s">
        <v>126</v>
      </c>
      <c r="AK372" t="s">
        <v>127</v>
      </c>
      <c r="AM372" t="s">
        <v>3391</v>
      </c>
      <c r="AN372" t="s">
        <v>3392</v>
      </c>
      <c r="AO372" t="s">
        <v>3393</v>
      </c>
      <c r="AP372" t="s">
        <v>131</v>
      </c>
      <c r="AQ372" t="s">
        <v>132</v>
      </c>
      <c r="AR372" t="s">
        <v>152</v>
      </c>
      <c r="AS372" t="s">
        <v>1347</v>
      </c>
      <c r="AU372" t="s">
        <v>3394</v>
      </c>
      <c r="AW372" t="s">
        <v>136</v>
      </c>
      <c r="AX372" t="s">
        <v>272</v>
      </c>
      <c r="AY372" t="s">
        <v>273</v>
      </c>
      <c r="AZ372" t="s">
        <v>3395</v>
      </c>
      <c r="BB372" t="s">
        <v>140</v>
      </c>
    </row>
    <row r="373" spans="1:54" x14ac:dyDescent="0.35">
      <c r="A373" t="s">
        <v>3396</v>
      </c>
      <c r="B373" t="s">
        <v>107</v>
      </c>
      <c r="C373" t="s">
        <v>107</v>
      </c>
      <c r="E373" t="s">
        <v>108</v>
      </c>
      <c r="F373" t="s">
        <v>158</v>
      </c>
      <c r="G373" t="s">
        <v>159</v>
      </c>
      <c r="H373" t="s">
        <v>111</v>
      </c>
      <c r="I373" t="s">
        <v>341</v>
      </c>
      <c r="J373" t="s">
        <v>113</v>
      </c>
      <c r="K373" t="s">
        <v>114</v>
      </c>
      <c r="L373" t="s">
        <v>161</v>
      </c>
      <c r="M373" t="s">
        <v>161</v>
      </c>
      <c r="N373" t="s">
        <v>994</v>
      </c>
      <c r="O373" t="s">
        <v>1110</v>
      </c>
      <c r="P373" t="s">
        <v>1151</v>
      </c>
      <c r="Q373" t="s">
        <v>114</v>
      </c>
      <c r="R373" t="s">
        <v>1644</v>
      </c>
      <c r="S373" t="s">
        <v>114</v>
      </c>
      <c r="T373" t="s">
        <v>1644</v>
      </c>
      <c r="V373" t="s">
        <v>114</v>
      </c>
      <c r="W373" t="s">
        <v>1151</v>
      </c>
      <c r="Y373" t="s">
        <v>3397</v>
      </c>
      <c r="Z373" t="s">
        <v>3398</v>
      </c>
      <c r="AA373" t="s">
        <v>3399</v>
      </c>
      <c r="AB373" t="s">
        <v>3400</v>
      </c>
      <c r="AC373" t="s">
        <v>3401</v>
      </c>
      <c r="AG373" t="s">
        <v>123</v>
      </c>
      <c r="AH373" t="s">
        <v>124</v>
      </c>
      <c r="AI373" t="s">
        <v>3402</v>
      </c>
      <c r="AJ373" t="s">
        <v>126</v>
      </c>
      <c r="AK373" t="s">
        <v>127</v>
      </c>
      <c r="AM373" t="s">
        <v>3403</v>
      </c>
      <c r="AN373" t="s">
        <v>3404</v>
      </c>
      <c r="AO373" t="s">
        <v>3405</v>
      </c>
      <c r="AP373" t="s">
        <v>131</v>
      </c>
      <c r="AQ373" t="s">
        <v>132</v>
      </c>
      <c r="AR373" t="s">
        <v>387</v>
      </c>
      <c r="AS373" t="s">
        <v>1512</v>
      </c>
      <c r="AU373" t="s">
        <v>758</v>
      </c>
      <c r="AW373" t="s">
        <v>155</v>
      </c>
      <c r="AX373" t="s">
        <v>177</v>
      </c>
      <c r="AY373" t="s">
        <v>138</v>
      </c>
      <c r="AZ373" t="s">
        <v>3406</v>
      </c>
      <c r="BB373" t="s">
        <v>140</v>
      </c>
    </row>
    <row r="374" spans="1:54" x14ac:dyDescent="0.35">
      <c r="A374" t="s">
        <v>3396</v>
      </c>
      <c r="B374" t="s">
        <v>107</v>
      </c>
      <c r="C374" t="s">
        <v>107</v>
      </c>
      <c r="E374" t="s">
        <v>108</v>
      </c>
      <c r="F374" t="s">
        <v>268</v>
      </c>
      <c r="G374" t="s">
        <v>269</v>
      </c>
      <c r="H374" t="s">
        <v>2268</v>
      </c>
      <c r="I374" t="s">
        <v>271</v>
      </c>
      <c r="J374" t="s">
        <v>113</v>
      </c>
      <c r="K374" t="s">
        <v>114</v>
      </c>
      <c r="L374" t="s">
        <v>114</v>
      </c>
      <c r="M374" t="s">
        <v>114</v>
      </c>
      <c r="N374" t="s">
        <v>114</v>
      </c>
      <c r="O374" t="s">
        <v>114</v>
      </c>
      <c r="P374" t="s">
        <v>114</v>
      </c>
      <c r="Q374" t="s">
        <v>114</v>
      </c>
      <c r="R374" t="s">
        <v>1644</v>
      </c>
      <c r="S374" t="s">
        <v>114</v>
      </c>
      <c r="T374" t="s">
        <v>1644</v>
      </c>
      <c r="V374" t="s">
        <v>114</v>
      </c>
      <c r="W374" t="s">
        <v>1151</v>
      </c>
      <c r="Y374" t="s">
        <v>3397</v>
      </c>
      <c r="Z374" t="s">
        <v>3398</v>
      </c>
      <c r="AA374" t="s">
        <v>3399</v>
      </c>
      <c r="AB374" t="s">
        <v>3400</v>
      </c>
      <c r="AC374" t="s">
        <v>3401</v>
      </c>
      <c r="AG374" t="s">
        <v>123</v>
      </c>
      <c r="AH374" t="s">
        <v>124</v>
      </c>
      <c r="AI374" t="s">
        <v>3402</v>
      </c>
      <c r="AJ374" t="s">
        <v>126</v>
      </c>
      <c r="AK374" t="s">
        <v>127</v>
      </c>
      <c r="AM374" t="s">
        <v>3403</v>
      </c>
      <c r="AN374" t="s">
        <v>3404</v>
      </c>
      <c r="AO374" t="s">
        <v>3405</v>
      </c>
      <c r="AP374" t="s">
        <v>131</v>
      </c>
      <c r="AQ374" t="s">
        <v>132</v>
      </c>
      <c r="AR374" t="s">
        <v>387</v>
      </c>
      <c r="AS374" t="s">
        <v>1512</v>
      </c>
      <c r="AU374" t="s">
        <v>758</v>
      </c>
      <c r="AW374" t="s">
        <v>155</v>
      </c>
      <c r="AX374" t="s">
        <v>272</v>
      </c>
      <c r="AY374" t="s">
        <v>273</v>
      </c>
      <c r="AZ374" t="s">
        <v>3406</v>
      </c>
      <c r="BB374" t="s">
        <v>140</v>
      </c>
    </row>
    <row r="375" spans="1:54" x14ac:dyDescent="0.35">
      <c r="A375" t="s">
        <v>3407</v>
      </c>
      <c r="B375" t="s">
        <v>107</v>
      </c>
      <c r="C375" t="s">
        <v>107</v>
      </c>
      <c r="E375" t="s">
        <v>108</v>
      </c>
      <c r="F375" t="s">
        <v>158</v>
      </c>
      <c r="G375" t="s">
        <v>159</v>
      </c>
      <c r="H375" t="s">
        <v>111</v>
      </c>
      <c r="I375" t="s">
        <v>341</v>
      </c>
      <c r="J375" t="s">
        <v>113</v>
      </c>
      <c r="K375" t="s">
        <v>114</v>
      </c>
      <c r="L375" t="s">
        <v>161</v>
      </c>
      <c r="M375" t="s">
        <v>161</v>
      </c>
      <c r="N375" t="s">
        <v>994</v>
      </c>
      <c r="O375" t="s">
        <v>1110</v>
      </c>
      <c r="P375" t="s">
        <v>1151</v>
      </c>
      <c r="Q375" t="s">
        <v>114</v>
      </c>
      <c r="R375" t="s">
        <v>142</v>
      </c>
      <c r="S375" t="s">
        <v>114</v>
      </c>
      <c r="T375" t="s">
        <v>142</v>
      </c>
      <c r="V375" t="s">
        <v>114</v>
      </c>
      <c r="W375" t="s">
        <v>1151</v>
      </c>
      <c r="Y375" t="s">
        <v>3408</v>
      </c>
      <c r="Z375" t="s">
        <v>3409</v>
      </c>
      <c r="AA375" t="s">
        <v>3410</v>
      </c>
      <c r="AB375" t="s">
        <v>3411</v>
      </c>
      <c r="AC375" t="s">
        <v>3412</v>
      </c>
      <c r="AG375" t="s">
        <v>123</v>
      </c>
      <c r="AH375" t="s">
        <v>124</v>
      </c>
      <c r="AI375" t="s">
        <v>3413</v>
      </c>
      <c r="AJ375" t="s">
        <v>126</v>
      </c>
      <c r="AK375" t="s">
        <v>127</v>
      </c>
      <c r="AM375" t="s">
        <v>3414</v>
      </c>
      <c r="AN375" t="s">
        <v>3415</v>
      </c>
      <c r="AO375" t="s">
        <v>3416</v>
      </c>
      <c r="AP375" t="s">
        <v>131</v>
      </c>
      <c r="AQ375" t="s">
        <v>132</v>
      </c>
      <c r="AR375" t="s">
        <v>1440</v>
      </c>
      <c r="AS375" t="s">
        <v>1927</v>
      </c>
      <c r="AU375" t="s">
        <v>965</v>
      </c>
      <c r="AW375" t="s">
        <v>655</v>
      </c>
      <c r="AX375" t="s">
        <v>177</v>
      </c>
      <c r="AY375" t="s">
        <v>138</v>
      </c>
      <c r="AZ375" t="s">
        <v>3417</v>
      </c>
      <c r="BB375" t="s">
        <v>140</v>
      </c>
    </row>
    <row r="376" spans="1:54" x14ac:dyDescent="0.35">
      <c r="A376" t="s">
        <v>3407</v>
      </c>
      <c r="B376" t="s">
        <v>107</v>
      </c>
      <c r="C376" t="s">
        <v>107</v>
      </c>
      <c r="E376" t="s">
        <v>108</v>
      </c>
      <c r="F376" t="s">
        <v>268</v>
      </c>
      <c r="G376" t="s">
        <v>269</v>
      </c>
      <c r="H376" t="s">
        <v>2268</v>
      </c>
      <c r="I376" t="s">
        <v>271</v>
      </c>
      <c r="J376" t="s">
        <v>113</v>
      </c>
      <c r="K376" t="s">
        <v>114</v>
      </c>
      <c r="L376" t="s">
        <v>114</v>
      </c>
      <c r="M376" t="s">
        <v>114</v>
      </c>
      <c r="N376" t="s">
        <v>114</v>
      </c>
      <c r="O376" t="s">
        <v>114</v>
      </c>
      <c r="P376" t="s">
        <v>114</v>
      </c>
      <c r="Q376" t="s">
        <v>114</v>
      </c>
      <c r="R376" t="s">
        <v>142</v>
      </c>
      <c r="S376" t="s">
        <v>114</v>
      </c>
      <c r="T376" t="s">
        <v>142</v>
      </c>
      <c r="V376" t="s">
        <v>114</v>
      </c>
      <c r="W376" t="s">
        <v>1151</v>
      </c>
      <c r="Y376" t="s">
        <v>3408</v>
      </c>
      <c r="Z376" t="s">
        <v>3409</v>
      </c>
      <c r="AA376" t="s">
        <v>3410</v>
      </c>
      <c r="AB376" t="s">
        <v>3411</v>
      </c>
      <c r="AC376" t="s">
        <v>3412</v>
      </c>
      <c r="AG376" t="s">
        <v>123</v>
      </c>
      <c r="AH376" t="s">
        <v>124</v>
      </c>
      <c r="AI376" t="s">
        <v>3413</v>
      </c>
      <c r="AJ376" t="s">
        <v>126</v>
      </c>
      <c r="AK376" t="s">
        <v>127</v>
      </c>
      <c r="AM376" t="s">
        <v>3414</v>
      </c>
      <c r="AN376" t="s">
        <v>3415</v>
      </c>
      <c r="AO376" t="s">
        <v>3416</v>
      </c>
      <c r="AP376" t="s">
        <v>131</v>
      </c>
      <c r="AQ376" t="s">
        <v>132</v>
      </c>
      <c r="AR376" t="s">
        <v>1440</v>
      </c>
      <c r="AS376" t="s">
        <v>1927</v>
      </c>
      <c r="AU376" t="s">
        <v>965</v>
      </c>
      <c r="AW376" t="s">
        <v>655</v>
      </c>
      <c r="AX376" t="s">
        <v>272</v>
      </c>
      <c r="AY376" t="s">
        <v>273</v>
      </c>
      <c r="AZ376" t="s">
        <v>3417</v>
      </c>
      <c r="BB376" t="s">
        <v>140</v>
      </c>
    </row>
    <row r="377" spans="1:54" x14ac:dyDescent="0.35">
      <c r="A377" t="s">
        <v>3418</v>
      </c>
      <c r="B377" t="s">
        <v>107</v>
      </c>
      <c r="C377" t="s">
        <v>107</v>
      </c>
      <c r="E377" t="s">
        <v>108</v>
      </c>
      <c r="F377" t="s">
        <v>158</v>
      </c>
      <c r="G377" t="s">
        <v>159</v>
      </c>
      <c r="H377" t="s">
        <v>111</v>
      </c>
      <c r="I377" t="s">
        <v>341</v>
      </c>
      <c r="J377" t="s">
        <v>113</v>
      </c>
      <c r="K377" t="s">
        <v>114</v>
      </c>
      <c r="L377" t="s">
        <v>161</v>
      </c>
      <c r="M377" t="s">
        <v>161</v>
      </c>
      <c r="N377" t="s">
        <v>994</v>
      </c>
      <c r="O377" t="s">
        <v>1110</v>
      </c>
      <c r="P377" t="s">
        <v>1151</v>
      </c>
      <c r="Q377" t="s">
        <v>114</v>
      </c>
      <c r="R377" t="s">
        <v>180</v>
      </c>
      <c r="S377" t="s">
        <v>114</v>
      </c>
      <c r="T377" t="s">
        <v>180</v>
      </c>
      <c r="V377" t="s">
        <v>114</v>
      </c>
      <c r="W377" t="s">
        <v>1151</v>
      </c>
      <c r="Y377" t="s">
        <v>3419</v>
      </c>
      <c r="Z377" t="s">
        <v>3420</v>
      </c>
      <c r="AA377" t="s">
        <v>3421</v>
      </c>
      <c r="AB377" t="s">
        <v>3422</v>
      </c>
      <c r="AC377" t="s">
        <v>3420</v>
      </c>
      <c r="AG377" t="s">
        <v>123</v>
      </c>
      <c r="AH377" t="s">
        <v>124</v>
      </c>
      <c r="AI377" t="s">
        <v>3423</v>
      </c>
      <c r="AJ377" t="s">
        <v>126</v>
      </c>
      <c r="AK377" t="s">
        <v>127</v>
      </c>
      <c r="AM377" t="s">
        <v>3424</v>
      </c>
      <c r="AN377" t="s">
        <v>3425</v>
      </c>
      <c r="AO377" t="s">
        <v>3426</v>
      </c>
      <c r="AP377" t="s">
        <v>131</v>
      </c>
      <c r="AQ377" t="s">
        <v>132</v>
      </c>
      <c r="AR377" t="s">
        <v>202</v>
      </c>
      <c r="AS377" t="s">
        <v>1170</v>
      </c>
      <c r="AU377" t="s">
        <v>236</v>
      </c>
      <c r="AW377" t="s">
        <v>136</v>
      </c>
      <c r="AX377" t="s">
        <v>177</v>
      </c>
      <c r="AY377" t="s">
        <v>138</v>
      </c>
      <c r="AZ377" t="s">
        <v>3427</v>
      </c>
      <c r="BB377" t="s">
        <v>140</v>
      </c>
    </row>
    <row r="378" spans="1:54" x14ac:dyDescent="0.35">
      <c r="A378" t="s">
        <v>3418</v>
      </c>
      <c r="B378" t="s">
        <v>107</v>
      </c>
      <c r="C378" t="s">
        <v>107</v>
      </c>
      <c r="E378" t="s">
        <v>108</v>
      </c>
      <c r="F378" t="s">
        <v>268</v>
      </c>
      <c r="G378" t="s">
        <v>269</v>
      </c>
      <c r="H378" t="s">
        <v>2268</v>
      </c>
      <c r="I378" t="s">
        <v>271</v>
      </c>
      <c r="J378" t="s">
        <v>113</v>
      </c>
      <c r="K378" t="s">
        <v>114</v>
      </c>
      <c r="L378" t="s">
        <v>114</v>
      </c>
      <c r="M378" t="s">
        <v>114</v>
      </c>
      <c r="N378" t="s">
        <v>114</v>
      </c>
      <c r="O378" t="s">
        <v>114</v>
      </c>
      <c r="P378" t="s">
        <v>114</v>
      </c>
      <c r="Q378" t="s">
        <v>114</v>
      </c>
      <c r="R378" t="s">
        <v>180</v>
      </c>
      <c r="S378" t="s">
        <v>114</v>
      </c>
      <c r="T378" t="s">
        <v>180</v>
      </c>
      <c r="V378" t="s">
        <v>114</v>
      </c>
      <c r="W378" t="s">
        <v>1151</v>
      </c>
      <c r="Y378" t="s">
        <v>3419</v>
      </c>
      <c r="Z378" t="s">
        <v>3420</v>
      </c>
      <c r="AA378" t="s">
        <v>3421</v>
      </c>
      <c r="AB378" t="s">
        <v>3422</v>
      </c>
      <c r="AC378" t="s">
        <v>3420</v>
      </c>
      <c r="AG378" t="s">
        <v>123</v>
      </c>
      <c r="AH378" t="s">
        <v>124</v>
      </c>
      <c r="AI378" t="s">
        <v>3423</v>
      </c>
      <c r="AJ378" t="s">
        <v>126</v>
      </c>
      <c r="AK378" t="s">
        <v>127</v>
      </c>
      <c r="AM378" t="s">
        <v>3424</v>
      </c>
      <c r="AN378" t="s">
        <v>3425</v>
      </c>
      <c r="AO378" t="s">
        <v>3426</v>
      </c>
      <c r="AP378" t="s">
        <v>131</v>
      </c>
      <c r="AQ378" t="s">
        <v>132</v>
      </c>
      <c r="AR378" t="s">
        <v>202</v>
      </c>
      <c r="AS378" t="s">
        <v>1170</v>
      </c>
      <c r="AU378" t="s">
        <v>236</v>
      </c>
      <c r="AW378" t="s">
        <v>136</v>
      </c>
      <c r="AX378" t="s">
        <v>272</v>
      </c>
      <c r="AY378" t="s">
        <v>273</v>
      </c>
      <c r="AZ378" t="s">
        <v>3427</v>
      </c>
      <c r="BB378" t="s">
        <v>140</v>
      </c>
    </row>
    <row r="379" spans="1:54" x14ac:dyDescent="0.35">
      <c r="A379" t="s">
        <v>3428</v>
      </c>
      <c r="B379" t="s">
        <v>107</v>
      </c>
      <c r="C379" t="s">
        <v>107</v>
      </c>
      <c r="E379" t="s">
        <v>108</v>
      </c>
      <c r="F379" t="s">
        <v>268</v>
      </c>
      <c r="G379" t="s">
        <v>269</v>
      </c>
      <c r="H379" t="s">
        <v>2268</v>
      </c>
      <c r="I379" t="s">
        <v>271</v>
      </c>
      <c r="J379" t="s">
        <v>113</v>
      </c>
      <c r="K379" t="s">
        <v>114</v>
      </c>
      <c r="L379" t="s">
        <v>114</v>
      </c>
      <c r="M379" t="s">
        <v>114</v>
      </c>
      <c r="N379" t="s">
        <v>114</v>
      </c>
      <c r="O379" t="s">
        <v>114</v>
      </c>
      <c r="P379" t="s">
        <v>114</v>
      </c>
      <c r="Q379" t="s">
        <v>114</v>
      </c>
      <c r="R379" t="s">
        <v>180</v>
      </c>
      <c r="S379" t="s">
        <v>114</v>
      </c>
      <c r="T379" t="s">
        <v>180</v>
      </c>
      <c r="V379" t="s">
        <v>114</v>
      </c>
      <c r="W379" t="s">
        <v>1111</v>
      </c>
      <c r="Y379" t="s">
        <v>3429</v>
      </c>
      <c r="Z379" t="s">
        <v>3430</v>
      </c>
      <c r="AA379" t="s">
        <v>3431</v>
      </c>
      <c r="AB379" t="s">
        <v>3432</v>
      </c>
      <c r="AC379" t="s">
        <v>3430</v>
      </c>
      <c r="AG379" t="s">
        <v>123</v>
      </c>
      <c r="AH379" t="s">
        <v>124</v>
      </c>
      <c r="AI379" t="s">
        <v>3433</v>
      </c>
      <c r="AJ379" t="s">
        <v>126</v>
      </c>
      <c r="AK379" t="s">
        <v>127</v>
      </c>
      <c r="AM379" t="s">
        <v>3434</v>
      </c>
      <c r="AN379" t="s">
        <v>3435</v>
      </c>
      <c r="AO379" t="s">
        <v>3436</v>
      </c>
      <c r="AP379" t="s">
        <v>131</v>
      </c>
      <c r="AQ379" t="s">
        <v>132</v>
      </c>
      <c r="AR379" t="s">
        <v>2402</v>
      </c>
      <c r="AS379" t="s">
        <v>2402</v>
      </c>
      <c r="AU379" t="s">
        <v>573</v>
      </c>
      <c r="AW379" t="s">
        <v>136</v>
      </c>
      <c r="AX379" t="s">
        <v>272</v>
      </c>
      <c r="AY379" t="s">
        <v>273</v>
      </c>
      <c r="AZ379" t="s">
        <v>3437</v>
      </c>
      <c r="BB379" t="s">
        <v>140</v>
      </c>
    </row>
    <row r="380" spans="1:54" x14ac:dyDescent="0.35">
      <c r="A380" t="s">
        <v>3428</v>
      </c>
      <c r="B380" t="s">
        <v>107</v>
      </c>
      <c r="C380" t="s">
        <v>107</v>
      </c>
      <c r="E380" t="s">
        <v>108</v>
      </c>
      <c r="F380" t="s">
        <v>158</v>
      </c>
      <c r="G380" t="s">
        <v>159</v>
      </c>
      <c r="H380" t="s">
        <v>111</v>
      </c>
      <c r="I380" t="s">
        <v>341</v>
      </c>
      <c r="J380" t="s">
        <v>113</v>
      </c>
      <c r="K380" t="s">
        <v>114</v>
      </c>
      <c r="L380" t="s">
        <v>161</v>
      </c>
      <c r="M380" t="s">
        <v>161</v>
      </c>
      <c r="N380" t="s">
        <v>114</v>
      </c>
      <c r="O380" t="s">
        <v>1110</v>
      </c>
      <c r="P380" t="s">
        <v>1111</v>
      </c>
      <c r="Q380" t="s">
        <v>114</v>
      </c>
      <c r="R380" t="s">
        <v>180</v>
      </c>
      <c r="S380" t="s">
        <v>114</v>
      </c>
      <c r="T380" t="s">
        <v>180</v>
      </c>
      <c r="V380" t="s">
        <v>114</v>
      </c>
      <c r="W380" t="s">
        <v>1111</v>
      </c>
      <c r="Y380" t="s">
        <v>3429</v>
      </c>
      <c r="Z380" t="s">
        <v>3430</v>
      </c>
      <c r="AA380" t="s">
        <v>3431</v>
      </c>
      <c r="AB380" t="s">
        <v>3432</v>
      </c>
      <c r="AC380" t="s">
        <v>3430</v>
      </c>
      <c r="AG380" t="s">
        <v>123</v>
      </c>
      <c r="AH380" t="s">
        <v>124</v>
      </c>
      <c r="AI380" t="s">
        <v>3433</v>
      </c>
      <c r="AJ380" t="s">
        <v>126</v>
      </c>
      <c r="AK380" t="s">
        <v>127</v>
      </c>
      <c r="AM380" t="s">
        <v>3434</v>
      </c>
      <c r="AN380" t="s">
        <v>3435</v>
      </c>
      <c r="AO380" t="s">
        <v>3436</v>
      </c>
      <c r="AP380" t="s">
        <v>131</v>
      </c>
      <c r="AQ380" t="s">
        <v>132</v>
      </c>
      <c r="AR380" t="s">
        <v>2402</v>
      </c>
      <c r="AS380" t="s">
        <v>2402</v>
      </c>
      <c r="AU380" t="s">
        <v>573</v>
      </c>
      <c r="AW380" t="s">
        <v>136</v>
      </c>
      <c r="AX380" t="s">
        <v>177</v>
      </c>
      <c r="AY380" t="s">
        <v>138</v>
      </c>
      <c r="AZ380" t="s">
        <v>3437</v>
      </c>
      <c r="BB380" t="s">
        <v>140</v>
      </c>
    </row>
    <row r="381" spans="1:54" x14ac:dyDescent="0.35">
      <c r="A381" t="s">
        <v>3438</v>
      </c>
      <c r="B381" t="s">
        <v>107</v>
      </c>
      <c r="C381" t="s">
        <v>107</v>
      </c>
      <c r="E381" t="s">
        <v>108</v>
      </c>
      <c r="F381" t="s">
        <v>158</v>
      </c>
      <c r="G381" t="s">
        <v>159</v>
      </c>
      <c r="H381" t="s">
        <v>111</v>
      </c>
      <c r="I381" t="s">
        <v>341</v>
      </c>
      <c r="J381" t="s">
        <v>113</v>
      </c>
      <c r="K381" t="s">
        <v>114</v>
      </c>
      <c r="L381" t="s">
        <v>161</v>
      </c>
      <c r="M381" t="s">
        <v>161</v>
      </c>
      <c r="N381" t="s">
        <v>1219</v>
      </c>
      <c r="O381" t="s">
        <v>1110</v>
      </c>
      <c r="P381" t="s">
        <v>1220</v>
      </c>
      <c r="Q381" t="s">
        <v>114</v>
      </c>
      <c r="R381" t="s">
        <v>180</v>
      </c>
      <c r="S381" t="s">
        <v>114</v>
      </c>
      <c r="T381" t="s">
        <v>180</v>
      </c>
      <c r="V381" t="s">
        <v>114</v>
      </c>
      <c r="W381" t="s">
        <v>1220</v>
      </c>
      <c r="Y381" t="s">
        <v>3439</v>
      </c>
      <c r="Z381" t="s">
        <v>3440</v>
      </c>
      <c r="AA381" t="s">
        <v>3441</v>
      </c>
      <c r="AB381" t="s">
        <v>3400</v>
      </c>
      <c r="AC381" t="s">
        <v>3442</v>
      </c>
      <c r="AG381" t="s">
        <v>123</v>
      </c>
      <c r="AH381" t="s">
        <v>124</v>
      </c>
      <c r="AI381" t="s">
        <v>3443</v>
      </c>
      <c r="AJ381" t="s">
        <v>126</v>
      </c>
      <c r="AK381" t="s">
        <v>127</v>
      </c>
      <c r="AM381" t="s">
        <v>3444</v>
      </c>
      <c r="AN381" t="s">
        <v>3445</v>
      </c>
      <c r="AO381" t="s">
        <v>3446</v>
      </c>
      <c r="AP381" t="s">
        <v>131</v>
      </c>
      <c r="AQ381" t="s">
        <v>132</v>
      </c>
      <c r="AR381" t="s">
        <v>352</v>
      </c>
      <c r="AS381" t="s">
        <v>2713</v>
      </c>
      <c r="AU381" t="s">
        <v>668</v>
      </c>
      <c r="AW381" t="s">
        <v>655</v>
      </c>
      <c r="AX381" t="s">
        <v>177</v>
      </c>
      <c r="AY381" t="s">
        <v>138</v>
      </c>
      <c r="AZ381" t="s">
        <v>3447</v>
      </c>
      <c r="BB381" t="s">
        <v>140</v>
      </c>
    </row>
    <row r="382" spans="1:54" x14ac:dyDescent="0.35">
      <c r="A382" t="s">
        <v>3438</v>
      </c>
      <c r="B382" t="s">
        <v>107</v>
      </c>
      <c r="C382" t="s">
        <v>107</v>
      </c>
      <c r="E382" t="s">
        <v>108</v>
      </c>
      <c r="F382" t="s">
        <v>268</v>
      </c>
      <c r="G382" t="s">
        <v>269</v>
      </c>
      <c r="H382" t="s">
        <v>2268</v>
      </c>
      <c r="I382" t="s">
        <v>271</v>
      </c>
      <c r="J382" t="s">
        <v>113</v>
      </c>
      <c r="K382" t="s">
        <v>114</v>
      </c>
      <c r="L382" t="s">
        <v>114</v>
      </c>
      <c r="M382" t="s">
        <v>114</v>
      </c>
      <c r="N382" t="s">
        <v>114</v>
      </c>
      <c r="O382" t="s">
        <v>114</v>
      </c>
      <c r="P382" t="s">
        <v>114</v>
      </c>
      <c r="Q382" t="s">
        <v>114</v>
      </c>
      <c r="R382" t="s">
        <v>180</v>
      </c>
      <c r="S382" t="s">
        <v>114</v>
      </c>
      <c r="T382" t="s">
        <v>180</v>
      </c>
      <c r="V382" t="s">
        <v>114</v>
      </c>
      <c r="W382" t="s">
        <v>1220</v>
      </c>
      <c r="Y382" t="s">
        <v>3439</v>
      </c>
      <c r="Z382" t="s">
        <v>3440</v>
      </c>
      <c r="AA382" t="s">
        <v>3441</v>
      </c>
      <c r="AB382" t="s">
        <v>3400</v>
      </c>
      <c r="AC382" t="s">
        <v>3442</v>
      </c>
      <c r="AG382" t="s">
        <v>123</v>
      </c>
      <c r="AH382" t="s">
        <v>124</v>
      </c>
      <c r="AI382" t="s">
        <v>3443</v>
      </c>
      <c r="AJ382" t="s">
        <v>126</v>
      </c>
      <c r="AK382" t="s">
        <v>127</v>
      </c>
      <c r="AM382" t="s">
        <v>3444</v>
      </c>
      <c r="AN382" t="s">
        <v>3445</v>
      </c>
      <c r="AO382" t="s">
        <v>3446</v>
      </c>
      <c r="AP382" t="s">
        <v>131</v>
      </c>
      <c r="AQ382" t="s">
        <v>132</v>
      </c>
      <c r="AR382" t="s">
        <v>352</v>
      </c>
      <c r="AS382" t="s">
        <v>2713</v>
      </c>
      <c r="AU382" t="s">
        <v>668</v>
      </c>
      <c r="AW382" t="s">
        <v>655</v>
      </c>
      <c r="AX382" t="s">
        <v>272</v>
      </c>
      <c r="AY382" t="s">
        <v>273</v>
      </c>
      <c r="AZ382" t="s">
        <v>3447</v>
      </c>
      <c r="BB382" t="s">
        <v>140</v>
      </c>
    </row>
    <row r="383" spans="1:54" x14ac:dyDescent="0.35">
      <c r="A383" t="s">
        <v>3448</v>
      </c>
      <c r="B383" t="s">
        <v>107</v>
      </c>
      <c r="C383" t="s">
        <v>107</v>
      </c>
      <c r="E383" t="s">
        <v>108</v>
      </c>
      <c r="F383" t="s">
        <v>268</v>
      </c>
      <c r="G383" t="s">
        <v>269</v>
      </c>
      <c r="H383" t="s">
        <v>2268</v>
      </c>
      <c r="I383" t="s">
        <v>271</v>
      </c>
      <c r="J383" t="s">
        <v>113</v>
      </c>
      <c r="K383" t="s">
        <v>114</v>
      </c>
      <c r="L383" t="s">
        <v>114</v>
      </c>
      <c r="M383" t="s">
        <v>114</v>
      </c>
      <c r="N383" t="s">
        <v>114</v>
      </c>
      <c r="O383" t="s">
        <v>114</v>
      </c>
      <c r="P383" t="s">
        <v>114</v>
      </c>
      <c r="Q383" t="s">
        <v>114</v>
      </c>
      <c r="R383" t="s">
        <v>142</v>
      </c>
      <c r="S383" t="s">
        <v>114</v>
      </c>
      <c r="T383" t="s">
        <v>142</v>
      </c>
      <c r="V383" t="s">
        <v>114</v>
      </c>
      <c r="W383" t="s">
        <v>1111</v>
      </c>
      <c r="Y383" t="s">
        <v>3449</v>
      </c>
      <c r="Z383" t="s">
        <v>3450</v>
      </c>
      <c r="AA383" t="s">
        <v>3451</v>
      </c>
      <c r="AB383" t="s">
        <v>3452</v>
      </c>
      <c r="AC383" t="s">
        <v>3450</v>
      </c>
      <c r="AG383" t="s">
        <v>123</v>
      </c>
      <c r="AH383" t="s">
        <v>124</v>
      </c>
      <c r="AI383" t="s">
        <v>3453</v>
      </c>
      <c r="AJ383" t="s">
        <v>126</v>
      </c>
      <c r="AK383" t="s">
        <v>127</v>
      </c>
      <c r="AM383" t="s">
        <v>3454</v>
      </c>
      <c r="AN383" t="s">
        <v>3455</v>
      </c>
      <c r="AO383" t="s">
        <v>3456</v>
      </c>
      <c r="AP383" t="s">
        <v>131</v>
      </c>
      <c r="AQ383" t="s">
        <v>132</v>
      </c>
      <c r="AR383" t="s">
        <v>387</v>
      </c>
      <c r="AS383" t="s">
        <v>3038</v>
      </c>
      <c r="AU383" t="s">
        <v>573</v>
      </c>
      <c r="AW383" t="s">
        <v>136</v>
      </c>
      <c r="AX383" t="s">
        <v>272</v>
      </c>
      <c r="AY383" t="s">
        <v>273</v>
      </c>
      <c r="AZ383" t="s">
        <v>3457</v>
      </c>
      <c r="BB383" t="s">
        <v>140</v>
      </c>
    </row>
    <row r="384" spans="1:54" x14ac:dyDescent="0.35">
      <c r="A384" t="s">
        <v>3448</v>
      </c>
      <c r="B384" t="s">
        <v>107</v>
      </c>
      <c r="C384" t="s">
        <v>107</v>
      </c>
      <c r="E384" t="s">
        <v>108</v>
      </c>
      <c r="F384" t="s">
        <v>158</v>
      </c>
      <c r="G384" t="s">
        <v>159</v>
      </c>
      <c r="H384" t="s">
        <v>111</v>
      </c>
      <c r="I384" t="s">
        <v>341</v>
      </c>
      <c r="J384" t="s">
        <v>113</v>
      </c>
      <c r="K384" t="s">
        <v>114</v>
      </c>
      <c r="L384" t="s">
        <v>161</v>
      </c>
      <c r="M384" t="s">
        <v>161</v>
      </c>
      <c r="N384" t="s">
        <v>114</v>
      </c>
      <c r="O384" t="s">
        <v>1110</v>
      </c>
      <c r="P384" t="s">
        <v>1111</v>
      </c>
      <c r="Q384" t="s">
        <v>114</v>
      </c>
      <c r="R384" t="s">
        <v>142</v>
      </c>
      <c r="S384" t="s">
        <v>114</v>
      </c>
      <c r="T384" t="s">
        <v>142</v>
      </c>
      <c r="V384" t="s">
        <v>114</v>
      </c>
      <c r="W384" t="s">
        <v>1111</v>
      </c>
      <c r="Y384" t="s">
        <v>3449</v>
      </c>
      <c r="Z384" t="s">
        <v>3450</v>
      </c>
      <c r="AA384" t="s">
        <v>3451</v>
      </c>
      <c r="AB384" t="s">
        <v>3452</v>
      </c>
      <c r="AC384" t="s">
        <v>3450</v>
      </c>
      <c r="AG384" t="s">
        <v>123</v>
      </c>
      <c r="AH384" t="s">
        <v>124</v>
      </c>
      <c r="AI384" t="s">
        <v>3453</v>
      </c>
      <c r="AJ384" t="s">
        <v>126</v>
      </c>
      <c r="AK384" t="s">
        <v>127</v>
      </c>
      <c r="AM384" t="s">
        <v>3454</v>
      </c>
      <c r="AN384" t="s">
        <v>3455</v>
      </c>
      <c r="AO384" t="s">
        <v>3456</v>
      </c>
      <c r="AP384" t="s">
        <v>131</v>
      </c>
      <c r="AQ384" t="s">
        <v>132</v>
      </c>
      <c r="AR384" t="s">
        <v>387</v>
      </c>
      <c r="AS384" t="s">
        <v>3038</v>
      </c>
      <c r="AU384" t="s">
        <v>573</v>
      </c>
      <c r="AW384" t="s">
        <v>136</v>
      </c>
      <c r="AX384" t="s">
        <v>177</v>
      </c>
      <c r="AY384" t="s">
        <v>138</v>
      </c>
      <c r="AZ384" t="s">
        <v>3457</v>
      </c>
      <c r="BB384" t="s">
        <v>140</v>
      </c>
    </row>
    <row r="385" spans="1:54" x14ac:dyDescent="0.35">
      <c r="A385" t="s">
        <v>3458</v>
      </c>
      <c r="B385" t="s">
        <v>107</v>
      </c>
      <c r="C385" t="s">
        <v>107</v>
      </c>
      <c r="E385" t="s">
        <v>108</v>
      </c>
      <c r="F385" t="s">
        <v>338</v>
      </c>
      <c r="G385" t="s">
        <v>339</v>
      </c>
      <c r="H385" t="s">
        <v>340</v>
      </c>
      <c r="I385" t="s">
        <v>341</v>
      </c>
      <c r="J385" t="s">
        <v>113</v>
      </c>
      <c r="K385" t="s">
        <v>114</v>
      </c>
      <c r="L385" t="s">
        <v>114</v>
      </c>
      <c r="M385" t="s">
        <v>114</v>
      </c>
      <c r="N385" t="s">
        <v>114</v>
      </c>
      <c r="O385" t="s">
        <v>114</v>
      </c>
      <c r="P385" t="s">
        <v>114</v>
      </c>
      <c r="Q385" t="s">
        <v>114</v>
      </c>
      <c r="R385" t="s">
        <v>142</v>
      </c>
      <c r="S385" t="s">
        <v>114</v>
      </c>
      <c r="T385" t="s">
        <v>142</v>
      </c>
      <c r="V385" t="s">
        <v>114</v>
      </c>
      <c r="W385" t="s">
        <v>3459</v>
      </c>
      <c r="Y385" t="s">
        <v>3460</v>
      </c>
      <c r="Z385" t="s">
        <v>3461</v>
      </c>
      <c r="AA385" t="s">
        <v>3462</v>
      </c>
      <c r="AB385" t="s">
        <v>3463</v>
      </c>
      <c r="AC385" t="s">
        <v>3464</v>
      </c>
      <c r="AG385" t="s">
        <v>123</v>
      </c>
      <c r="AH385" t="s">
        <v>124</v>
      </c>
      <c r="AI385" t="s">
        <v>3465</v>
      </c>
      <c r="AJ385" t="s">
        <v>126</v>
      </c>
      <c r="AK385" t="s">
        <v>127</v>
      </c>
      <c r="AM385" t="s">
        <v>3466</v>
      </c>
      <c r="AN385" t="s">
        <v>3467</v>
      </c>
      <c r="AO385" t="s">
        <v>3468</v>
      </c>
      <c r="AP385" t="s">
        <v>131</v>
      </c>
      <c r="AQ385" t="s">
        <v>233</v>
      </c>
      <c r="AR385" t="s">
        <v>234</v>
      </c>
      <c r="AS385" t="s">
        <v>3469</v>
      </c>
      <c r="AU385" t="s">
        <v>354</v>
      </c>
      <c r="AV385" t="s">
        <v>175</v>
      </c>
      <c r="AW385" t="s">
        <v>155</v>
      </c>
      <c r="AX385" t="s">
        <v>177</v>
      </c>
      <c r="AY385" t="s">
        <v>356</v>
      </c>
      <c r="AZ385" t="s">
        <v>3470</v>
      </c>
      <c r="BB385" t="s">
        <v>140</v>
      </c>
    </row>
    <row r="386" spans="1:54" x14ac:dyDescent="0.35">
      <c r="A386" t="s">
        <v>3458</v>
      </c>
      <c r="B386" t="s">
        <v>107</v>
      </c>
      <c r="C386" t="s">
        <v>107</v>
      </c>
      <c r="E386" t="s">
        <v>108</v>
      </c>
      <c r="F386" t="s">
        <v>358</v>
      </c>
      <c r="G386" t="s">
        <v>359</v>
      </c>
      <c r="H386" t="s">
        <v>360</v>
      </c>
      <c r="I386" t="s">
        <v>341</v>
      </c>
      <c r="J386" t="s">
        <v>113</v>
      </c>
      <c r="K386" t="s">
        <v>114</v>
      </c>
      <c r="L386" t="s">
        <v>361</v>
      </c>
      <c r="M386" t="s">
        <v>361</v>
      </c>
      <c r="N386" t="s">
        <v>114</v>
      </c>
      <c r="O386" t="s">
        <v>3471</v>
      </c>
      <c r="P386" t="s">
        <v>3459</v>
      </c>
      <c r="Q386" t="s">
        <v>114</v>
      </c>
      <c r="R386" t="s">
        <v>142</v>
      </c>
      <c r="S386" t="s">
        <v>114</v>
      </c>
      <c r="T386" t="s">
        <v>142</v>
      </c>
      <c r="V386" t="s">
        <v>114</v>
      </c>
      <c r="W386" t="s">
        <v>3459</v>
      </c>
      <c r="Y386" t="s">
        <v>3460</v>
      </c>
      <c r="Z386" t="s">
        <v>3461</v>
      </c>
      <c r="AA386" t="s">
        <v>3462</v>
      </c>
      <c r="AB386" t="s">
        <v>3463</v>
      </c>
      <c r="AC386" t="s">
        <v>3464</v>
      </c>
      <c r="AG386" t="s">
        <v>123</v>
      </c>
      <c r="AH386" t="s">
        <v>124</v>
      </c>
      <c r="AI386" t="s">
        <v>3465</v>
      </c>
      <c r="AJ386" t="s">
        <v>126</v>
      </c>
      <c r="AK386" t="s">
        <v>127</v>
      </c>
      <c r="AM386" t="s">
        <v>3466</v>
      </c>
      <c r="AN386" t="s">
        <v>3467</v>
      </c>
      <c r="AO386" t="s">
        <v>3468</v>
      </c>
      <c r="AP386" t="s">
        <v>131</v>
      </c>
      <c r="AQ386" t="s">
        <v>233</v>
      </c>
      <c r="AR386" t="s">
        <v>234</v>
      </c>
      <c r="AS386" t="s">
        <v>3469</v>
      </c>
      <c r="AU386" t="s">
        <v>354</v>
      </c>
      <c r="AV386" t="s">
        <v>175</v>
      </c>
      <c r="AW386" t="s">
        <v>155</v>
      </c>
      <c r="AX386" t="s">
        <v>177</v>
      </c>
      <c r="AY386" t="s">
        <v>364</v>
      </c>
      <c r="AZ386" t="s">
        <v>3470</v>
      </c>
      <c r="BB386" t="s">
        <v>140</v>
      </c>
    </row>
    <row r="387" spans="1:54" x14ac:dyDescent="0.35">
      <c r="A387" t="s">
        <v>3472</v>
      </c>
      <c r="B387" t="s">
        <v>107</v>
      </c>
      <c r="C387" t="s">
        <v>107</v>
      </c>
      <c r="F387" t="s">
        <v>358</v>
      </c>
      <c r="G387" t="s">
        <v>359</v>
      </c>
      <c r="H387" t="s">
        <v>360</v>
      </c>
      <c r="I387" t="s">
        <v>341</v>
      </c>
      <c r="J387" t="s">
        <v>113</v>
      </c>
      <c r="K387" t="s">
        <v>114</v>
      </c>
      <c r="L387" t="s">
        <v>114</v>
      </c>
      <c r="M387" t="s">
        <v>114</v>
      </c>
      <c r="N387" t="s">
        <v>114</v>
      </c>
      <c r="O387" t="s">
        <v>114</v>
      </c>
      <c r="P387" t="s">
        <v>114</v>
      </c>
      <c r="Q387" t="s">
        <v>114</v>
      </c>
      <c r="R387" t="s">
        <v>114</v>
      </c>
      <c r="S387" t="s">
        <v>114</v>
      </c>
      <c r="T387" t="s">
        <v>114</v>
      </c>
      <c r="V387" t="s">
        <v>114</v>
      </c>
      <c r="W387" t="s">
        <v>114</v>
      </c>
      <c r="Y387" t="s">
        <v>3473</v>
      </c>
      <c r="Z387" t="s">
        <v>3473</v>
      </c>
      <c r="AA387" t="s">
        <v>3474</v>
      </c>
      <c r="AB387" t="s">
        <v>3475</v>
      </c>
      <c r="AC387" t="s">
        <v>3476</v>
      </c>
      <c r="AG387" t="s">
        <v>123</v>
      </c>
      <c r="AH387" t="s">
        <v>124</v>
      </c>
      <c r="AI387" t="s">
        <v>3477</v>
      </c>
      <c r="AJ387" t="s">
        <v>126</v>
      </c>
      <c r="AK387" t="s">
        <v>127</v>
      </c>
      <c r="AM387" t="s">
        <v>3478</v>
      </c>
      <c r="AN387" t="s">
        <v>3479</v>
      </c>
      <c r="AO387" t="s">
        <v>3480</v>
      </c>
      <c r="AP387" t="s">
        <v>131</v>
      </c>
      <c r="AQ387" t="s">
        <v>132</v>
      </c>
      <c r="AR387" t="s">
        <v>3481</v>
      </c>
      <c r="AS387" t="s">
        <v>3482</v>
      </c>
      <c r="AU387" t="s">
        <v>625</v>
      </c>
      <c r="AX387" t="s">
        <v>177</v>
      </c>
      <c r="AY387" t="s">
        <v>364</v>
      </c>
      <c r="AZ387" t="s">
        <v>3483</v>
      </c>
      <c r="BB387" t="s">
        <v>140</v>
      </c>
    </row>
    <row r="388" spans="1:54" x14ac:dyDescent="0.35">
      <c r="A388" t="s">
        <v>3484</v>
      </c>
      <c r="B388" t="s">
        <v>107</v>
      </c>
      <c r="C388" t="s">
        <v>107</v>
      </c>
      <c r="E388" t="s">
        <v>108</v>
      </c>
      <c r="F388" t="s">
        <v>268</v>
      </c>
      <c r="G388" t="s">
        <v>269</v>
      </c>
      <c r="H388" t="s">
        <v>2268</v>
      </c>
      <c r="I388" t="s">
        <v>271</v>
      </c>
      <c r="J388" t="s">
        <v>113</v>
      </c>
      <c r="K388" t="s">
        <v>114</v>
      </c>
      <c r="L388" t="s">
        <v>114</v>
      </c>
      <c r="M388" t="s">
        <v>114</v>
      </c>
      <c r="N388" t="s">
        <v>114</v>
      </c>
      <c r="O388" t="s">
        <v>114</v>
      </c>
      <c r="P388" t="s">
        <v>114</v>
      </c>
      <c r="Q388" t="s">
        <v>114</v>
      </c>
      <c r="R388" t="s">
        <v>180</v>
      </c>
      <c r="S388" t="s">
        <v>114</v>
      </c>
      <c r="T388" t="s">
        <v>180</v>
      </c>
      <c r="V388" t="s">
        <v>114</v>
      </c>
      <c r="W388" t="s">
        <v>1111</v>
      </c>
      <c r="Y388" t="s">
        <v>3485</v>
      </c>
      <c r="Z388" t="s">
        <v>3486</v>
      </c>
      <c r="AA388" t="s">
        <v>3487</v>
      </c>
      <c r="AB388" t="s">
        <v>3488</v>
      </c>
      <c r="AC388" t="s">
        <v>3486</v>
      </c>
      <c r="AG388" t="s">
        <v>123</v>
      </c>
      <c r="AH388" t="s">
        <v>124</v>
      </c>
      <c r="AI388" t="s">
        <v>3489</v>
      </c>
      <c r="AJ388" t="s">
        <v>126</v>
      </c>
      <c r="AK388" t="s">
        <v>127</v>
      </c>
      <c r="AM388" t="s">
        <v>3490</v>
      </c>
      <c r="AN388" t="s">
        <v>3491</v>
      </c>
      <c r="AO388" t="s">
        <v>3492</v>
      </c>
      <c r="AP388" t="s">
        <v>131</v>
      </c>
      <c r="AQ388" t="s">
        <v>132</v>
      </c>
      <c r="AR388" t="s">
        <v>331</v>
      </c>
      <c r="AS388" t="s">
        <v>3493</v>
      </c>
      <c r="AU388" t="s">
        <v>516</v>
      </c>
      <c r="AW388" t="s">
        <v>136</v>
      </c>
      <c r="AX388" t="s">
        <v>272</v>
      </c>
      <c r="AY388" t="s">
        <v>273</v>
      </c>
      <c r="AZ388" t="s">
        <v>3494</v>
      </c>
      <c r="BB388" t="s">
        <v>140</v>
      </c>
    </row>
    <row r="389" spans="1:54" x14ac:dyDescent="0.35">
      <c r="A389" t="s">
        <v>3484</v>
      </c>
      <c r="B389" t="s">
        <v>107</v>
      </c>
      <c r="C389" t="s">
        <v>107</v>
      </c>
      <c r="E389" t="s">
        <v>108</v>
      </c>
      <c r="F389" t="s">
        <v>158</v>
      </c>
      <c r="G389" t="s">
        <v>159</v>
      </c>
      <c r="H389" t="s">
        <v>111</v>
      </c>
      <c r="I389" t="s">
        <v>341</v>
      </c>
      <c r="J389" t="s">
        <v>113</v>
      </c>
      <c r="K389" t="s">
        <v>114</v>
      </c>
      <c r="L389" t="s">
        <v>161</v>
      </c>
      <c r="M389" t="s">
        <v>161</v>
      </c>
      <c r="N389" t="s">
        <v>114</v>
      </c>
      <c r="O389" t="s">
        <v>1110</v>
      </c>
      <c r="P389" t="s">
        <v>1111</v>
      </c>
      <c r="Q389" t="s">
        <v>114</v>
      </c>
      <c r="R389" t="s">
        <v>180</v>
      </c>
      <c r="S389" t="s">
        <v>114</v>
      </c>
      <c r="T389" t="s">
        <v>180</v>
      </c>
      <c r="V389" t="s">
        <v>114</v>
      </c>
      <c r="W389" t="s">
        <v>1111</v>
      </c>
      <c r="Y389" t="s">
        <v>3485</v>
      </c>
      <c r="Z389" t="s">
        <v>3486</v>
      </c>
      <c r="AA389" t="s">
        <v>3487</v>
      </c>
      <c r="AB389" t="s">
        <v>3488</v>
      </c>
      <c r="AC389" t="s">
        <v>3486</v>
      </c>
      <c r="AG389" t="s">
        <v>123</v>
      </c>
      <c r="AH389" t="s">
        <v>124</v>
      </c>
      <c r="AI389" t="s">
        <v>3489</v>
      </c>
      <c r="AJ389" t="s">
        <v>126</v>
      </c>
      <c r="AK389" t="s">
        <v>127</v>
      </c>
      <c r="AM389" t="s">
        <v>3490</v>
      </c>
      <c r="AN389" t="s">
        <v>3491</v>
      </c>
      <c r="AO389" t="s">
        <v>3492</v>
      </c>
      <c r="AP389" t="s">
        <v>131</v>
      </c>
      <c r="AQ389" t="s">
        <v>132</v>
      </c>
      <c r="AR389" t="s">
        <v>331</v>
      </c>
      <c r="AS389" t="s">
        <v>3493</v>
      </c>
      <c r="AU389" t="s">
        <v>516</v>
      </c>
      <c r="AW389" t="s">
        <v>136</v>
      </c>
      <c r="AX389" t="s">
        <v>177</v>
      </c>
      <c r="AY389" t="s">
        <v>138</v>
      </c>
      <c r="AZ389" t="s">
        <v>3494</v>
      </c>
      <c r="BB389" t="s">
        <v>140</v>
      </c>
    </row>
    <row r="390" spans="1:54" x14ac:dyDescent="0.35">
      <c r="A390" t="s">
        <v>3495</v>
      </c>
      <c r="B390" t="s">
        <v>107</v>
      </c>
      <c r="C390" t="s">
        <v>107</v>
      </c>
      <c r="F390" t="s">
        <v>358</v>
      </c>
      <c r="G390" t="s">
        <v>359</v>
      </c>
      <c r="H390" t="s">
        <v>360</v>
      </c>
      <c r="I390" t="s">
        <v>341</v>
      </c>
      <c r="J390" t="s">
        <v>113</v>
      </c>
      <c r="K390" t="s">
        <v>114</v>
      </c>
      <c r="L390" t="s">
        <v>114</v>
      </c>
      <c r="M390" t="s">
        <v>114</v>
      </c>
      <c r="N390" t="s">
        <v>114</v>
      </c>
      <c r="O390" t="s">
        <v>114</v>
      </c>
      <c r="P390" t="s">
        <v>114</v>
      </c>
      <c r="Q390" t="s">
        <v>114</v>
      </c>
      <c r="R390" t="s">
        <v>114</v>
      </c>
      <c r="S390" t="s">
        <v>114</v>
      </c>
      <c r="T390" t="s">
        <v>114</v>
      </c>
      <c r="V390" t="s">
        <v>114</v>
      </c>
      <c r="W390" t="s">
        <v>114</v>
      </c>
      <c r="Y390" t="s">
        <v>3496</v>
      </c>
      <c r="Z390" t="s">
        <v>3496</v>
      </c>
      <c r="AA390" t="s">
        <v>3497</v>
      </c>
      <c r="AB390" t="s">
        <v>3498</v>
      </c>
      <c r="AC390" t="s">
        <v>3499</v>
      </c>
      <c r="AG390" t="s">
        <v>123</v>
      </c>
      <c r="AH390" t="s">
        <v>124</v>
      </c>
      <c r="AI390" t="s">
        <v>3500</v>
      </c>
      <c r="AJ390" t="s">
        <v>126</v>
      </c>
      <c r="AK390" t="s">
        <v>127</v>
      </c>
      <c r="AM390" t="s">
        <v>3501</v>
      </c>
      <c r="AN390" t="s">
        <v>3502</v>
      </c>
      <c r="AO390" t="s">
        <v>3503</v>
      </c>
      <c r="AP390" t="s">
        <v>131</v>
      </c>
      <c r="AQ390" t="s">
        <v>132</v>
      </c>
      <c r="AR390" t="s">
        <v>756</v>
      </c>
      <c r="AS390" t="s">
        <v>3504</v>
      </c>
      <c r="AU390" t="s">
        <v>1183</v>
      </c>
      <c r="AV390" t="s">
        <v>1095</v>
      </c>
      <c r="AX390" t="s">
        <v>177</v>
      </c>
      <c r="AY390" t="s">
        <v>364</v>
      </c>
      <c r="AZ390" t="s">
        <v>3505</v>
      </c>
      <c r="BB390" t="s">
        <v>140</v>
      </c>
    </row>
    <row r="391" spans="1:54" x14ac:dyDescent="0.35">
      <c r="A391" t="s">
        <v>3506</v>
      </c>
      <c r="B391" t="s">
        <v>107</v>
      </c>
      <c r="C391" t="s">
        <v>107</v>
      </c>
      <c r="E391" t="s">
        <v>108</v>
      </c>
      <c r="F391" t="s">
        <v>338</v>
      </c>
      <c r="G391" t="s">
        <v>339</v>
      </c>
      <c r="H391" t="s">
        <v>340</v>
      </c>
      <c r="I391" t="s">
        <v>341</v>
      </c>
      <c r="J391" t="s">
        <v>113</v>
      </c>
      <c r="K391" t="s">
        <v>114</v>
      </c>
      <c r="L391" t="s">
        <v>114</v>
      </c>
      <c r="M391" t="s">
        <v>114</v>
      </c>
      <c r="N391" t="s">
        <v>114</v>
      </c>
      <c r="O391" t="s">
        <v>114</v>
      </c>
      <c r="P391" t="s">
        <v>114</v>
      </c>
      <c r="Q391" t="s">
        <v>114</v>
      </c>
      <c r="R391" t="s">
        <v>142</v>
      </c>
      <c r="S391" t="s">
        <v>114</v>
      </c>
      <c r="T391" t="s">
        <v>142</v>
      </c>
      <c r="V391" t="s">
        <v>114</v>
      </c>
      <c r="W391" t="s">
        <v>562</v>
      </c>
      <c r="Y391" t="s">
        <v>3507</v>
      </c>
      <c r="Z391" t="s">
        <v>3508</v>
      </c>
      <c r="AA391" t="s">
        <v>3509</v>
      </c>
      <c r="AB391" t="s">
        <v>3510</v>
      </c>
      <c r="AC391" t="s">
        <v>3511</v>
      </c>
      <c r="AG391" t="s">
        <v>123</v>
      </c>
      <c r="AH391" t="s">
        <v>124</v>
      </c>
      <c r="AI391" t="s">
        <v>3512</v>
      </c>
      <c r="AJ391" t="s">
        <v>126</v>
      </c>
      <c r="AK391" t="s">
        <v>127</v>
      </c>
      <c r="AM391" t="s">
        <v>3513</v>
      </c>
      <c r="AN391" t="s">
        <v>3514</v>
      </c>
      <c r="AO391" t="s">
        <v>3515</v>
      </c>
      <c r="AP391" t="s">
        <v>131</v>
      </c>
      <c r="AQ391" t="s">
        <v>132</v>
      </c>
      <c r="AR391" t="s">
        <v>152</v>
      </c>
      <c r="AS391" t="s">
        <v>3516</v>
      </c>
      <c r="AU391" t="s">
        <v>918</v>
      </c>
      <c r="AV391" t="s">
        <v>496</v>
      </c>
      <c r="AW391" t="s">
        <v>655</v>
      </c>
      <c r="AX391" t="s">
        <v>177</v>
      </c>
      <c r="AY391" t="s">
        <v>356</v>
      </c>
      <c r="AZ391" t="s">
        <v>3517</v>
      </c>
      <c r="BB391" t="s">
        <v>140</v>
      </c>
    </row>
    <row r="392" spans="1:54" x14ac:dyDescent="0.35">
      <c r="A392" t="s">
        <v>3506</v>
      </c>
      <c r="B392" t="s">
        <v>107</v>
      </c>
      <c r="C392" t="s">
        <v>107</v>
      </c>
      <c r="E392" t="s">
        <v>108</v>
      </c>
      <c r="F392" t="s">
        <v>358</v>
      </c>
      <c r="G392" t="s">
        <v>359</v>
      </c>
      <c r="H392" t="s">
        <v>360</v>
      </c>
      <c r="I392" t="s">
        <v>341</v>
      </c>
      <c r="J392" t="s">
        <v>113</v>
      </c>
      <c r="K392" t="s">
        <v>114</v>
      </c>
      <c r="L392" t="s">
        <v>361</v>
      </c>
      <c r="M392" t="s">
        <v>361</v>
      </c>
      <c r="N392" t="s">
        <v>113</v>
      </c>
      <c r="O392" t="s">
        <v>363</v>
      </c>
      <c r="P392" t="s">
        <v>562</v>
      </c>
      <c r="Q392" t="s">
        <v>114</v>
      </c>
      <c r="R392" t="s">
        <v>142</v>
      </c>
      <c r="S392" t="s">
        <v>114</v>
      </c>
      <c r="T392" t="s">
        <v>142</v>
      </c>
      <c r="V392" t="s">
        <v>114</v>
      </c>
      <c r="W392" t="s">
        <v>562</v>
      </c>
      <c r="Y392" t="s">
        <v>3507</v>
      </c>
      <c r="Z392" t="s">
        <v>3508</v>
      </c>
      <c r="AA392" t="s">
        <v>3509</v>
      </c>
      <c r="AB392" t="s">
        <v>3510</v>
      </c>
      <c r="AC392" t="s">
        <v>3511</v>
      </c>
      <c r="AG392" t="s">
        <v>123</v>
      </c>
      <c r="AH392" t="s">
        <v>124</v>
      </c>
      <c r="AI392" t="s">
        <v>3512</v>
      </c>
      <c r="AJ392" t="s">
        <v>126</v>
      </c>
      <c r="AK392" t="s">
        <v>127</v>
      </c>
      <c r="AM392" t="s">
        <v>3513</v>
      </c>
      <c r="AN392" t="s">
        <v>3514</v>
      </c>
      <c r="AO392" t="s">
        <v>3515</v>
      </c>
      <c r="AP392" t="s">
        <v>131</v>
      </c>
      <c r="AQ392" t="s">
        <v>132</v>
      </c>
      <c r="AR392" t="s">
        <v>152</v>
      </c>
      <c r="AS392" t="s">
        <v>3516</v>
      </c>
      <c r="AU392" t="s">
        <v>918</v>
      </c>
      <c r="AV392" t="s">
        <v>496</v>
      </c>
      <c r="AW392" t="s">
        <v>655</v>
      </c>
      <c r="AX392" t="s">
        <v>177</v>
      </c>
      <c r="AY392" t="s">
        <v>364</v>
      </c>
      <c r="AZ392" t="s">
        <v>3517</v>
      </c>
      <c r="BB392" t="s">
        <v>140</v>
      </c>
    </row>
    <row r="393" spans="1:54" x14ac:dyDescent="0.35">
      <c r="A393" t="s">
        <v>3518</v>
      </c>
      <c r="B393" t="s">
        <v>107</v>
      </c>
      <c r="C393" t="s">
        <v>107</v>
      </c>
      <c r="E393" t="s">
        <v>108</v>
      </c>
      <c r="F393" t="s">
        <v>158</v>
      </c>
      <c r="G393" t="s">
        <v>159</v>
      </c>
      <c r="H393" t="s">
        <v>111</v>
      </c>
      <c r="I393" t="s">
        <v>341</v>
      </c>
      <c r="J393" t="s">
        <v>113</v>
      </c>
      <c r="K393" t="s">
        <v>114</v>
      </c>
      <c r="L393" t="s">
        <v>161</v>
      </c>
      <c r="M393" t="s">
        <v>161</v>
      </c>
      <c r="N393" t="s">
        <v>994</v>
      </c>
      <c r="O393" t="s">
        <v>1110</v>
      </c>
      <c r="P393" t="s">
        <v>1151</v>
      </c>
      <c r="Q393" t="s">
        <v>114</v>
      </c>
      <c r="R393" t="s">
        <v>180</v>
      </c>
      <c r="S393" t="s">
        <v>114</v>
      </c>
      <c r="T393" t="s">
        <v>180</v>
      </c>
      <c r="V393" t="s">
        <v>114</v>
      </c>
      <c r="W393" t="s">
        <v>1151</v>
      </c>
      <c r="Y393" t="s">
        <v>3519</v>
      </c>
      <c r="Z393" t="s">
        <v>3520</v>
      </c>
      <c r="AA393" t="s">
        <v>3521</v>
      </c>
      <c r="AB393" t="s">
        <v>3522</v>
      </c>
      <c r="AC393" t="s">
        <v>3520</v>
      </c>
      <c r="AG393" t="s">
        <v>123</v>
      </c>
      <c r="AH393" t="s">
        <v>124</v>
      </c>
      <c r="AI393" t="s">
        <v>3523</v>
      </c>
      <c r="AJ393" t="s">
        <v>126</v>
      </c>
      <c r="AK393" t="s">
        <v>127</v>
      </c>
      <c r="AM393" t="s">
        <v>3524</v>
      </c>
      <c r="AN393" t="s">
        <v>3525</v>
      </c>
      <c r="AO393" t="s">
        <v>3526</v>
      </c>
      <c r="AP393" t="s">
        <v>131</v>
      </c>
      <c r="AQ393" t="s">
        <v>132</v>
      </c>
      <c r="AR393" t="s">
        <v>2618</v>
      </c>
      <c r="AS393" t="s">
        <v>2619</v>
      </c>
      <c r="AU393" t="s">
        <v>1821</v>
      </c>
      <c r="AW393" t="s">
        <v>136</v>
      </c>
      <c r="AX393" t="s">
        <v>177</v>
      </c>
      <c r="AY393" t="s">
        <v>138</v>
      </c>
      <c r="AZ393" t="s">
        <v>3527</v>
      </c>
      <c r="BB393" t="s">
        <v>140</v>
      </c>
    </row>
    <row r="394" spans="1:54" x14ac:dyDescent="0.35">
      <c r="A394" t="s">
        <v>3518</v>
      </c>
      <c r="B394" t="s">
        <v>107</v>
      </c>
      <c r="C394" t="s">
        <v>107</v>
      </c>
      <c r="E394" t="s">
        <v>108</v>
      </c>
      <c r="F394" t="s">
        <v>268</v>
      </c>
      <c r="G394" t="s">
        <v>269</v>
      </c>
      <c r="H394" t="s">
        <v>2268</v>
      </c>
      <c r="I394" t="s">
        <v>271</v>
      </c>
      <c r="J394" t="s">
        <v>113</v>
      </c>
      <c r="K394" t="s">
        <v>114</v>
      </c>
      <c r="L394" t="s">
        <v>114</v>
      </c>
      <c r="M394" t="s">
        <v>114</v>
      </c>
      <c r="N394" t="s">
        <v>114</v>
      </c>
      <c r="O394" t="s">
        <v>114</v>
      </c>
      <c r="P394" t="s">
        <v>114</v>
      </c>
      <c r="Q394" t="s">
        <v>114</v>
      </c>
      <c r="R394" t="s">
        <v>180</v>
      </c>
      <c r="S394" t="s">
        <v>114</v>
      </c>
      <c r="T394" t="s">
        <v>180</v>
      </c>
      <c r="V394" t="s">
        <v>114</v>
      </c>
      <c r="W394" t="s">
        <v>1151</v>
      </c>
      <c r="Y394" t="s">
        <v>3519</v>
      </c>
      <c r="Z394" t="s">
        <v>3520</v>
      </c>
      <c r="AA394" t="s">
        <v>3521</v>
      </c>
      <c r="AB394" t="s">
        <v>3522</v>
      </c>
      <c r="AC394" t="s">
        <v>3520</v>
      </c>
      <c r="AG394" t="s">
        <v>123</v>
      </c>
      <c r="AH394" t="s">
        <v>124</v>
      </c>
      <c r="AI394" t="s">
        <v>3523</v>
      </c>
      <c r="AJ394" t="s">
        <v>126</v>
      </c>
      <c r="AK394" t="s">
        <v>127</v>
      </c>
      <c r="AM394" t="s">
        <v>3524</v>
      </c>
      <c r="AN394" t="s">
        <v>3525</v>
      </c>
      <c r="AO394" t="s">
        <v>3526</v>
      </c>
      <c r="AP394" t="s">
        <v>131</v>
      </c>
      <c r="AQ394" t="s">
        <v>132</v>
      </c>
      <c r="AR394" t="s">
        <v>2618</v>
      </c>
      <c r="AS394" t="s">
        <v>2619</v>
      </c>
      <c r="AU394" t="s">
        <v>1821</v>
      </c>
      <c r="AW394" t="s">
        <v>136</v>
      </c>
      <c r="AX394" t="s">
        <v>272</v>
      </c>
      <c r="AY394" t="s">
        <v>273</v>
      </c>
      <c r="AZ394" t="s">
        <v>3527</v>
      </c>
      <c r="BB394" t="s">
        <v>140</v>
      </c>
    </row>
    <row r="395" spans="1:54" x14ac:dyDescent="0.35">
      <c r="A395" t="s">
        <v>3528</v>
      </c>
      <c r="B395" t="s">
        <v>107</v>
      </c>
      <c r="C395" t="s">
        <v>107</v>
      </c>
      <c r="F395" t="s">
        <v>358</v>
      </c>
      <c r="G395" t="s">
        <v>359</v>
      </c>
      <c r="H395" t="s">
        <v>360</v>
      </c>
      <c r="I395" t="s">
        <v>341</v>
      </c>
      <c r="J395" t="s">
        <v>113</v>
      </c>
      <c r="K395" t="s">
        <v>114</v>
      </c>
      <c r="L395" t="s">
        <v>114</v>
      </c>
      <c r="M395" t="s">
        <v>114</v>
      </c>
      <c r="N395" t="s">
        <v>114</v>
      </c>
      <c r="O395" t="s">
        <v>114</v>
      </c>
      <c r="P395" t="s">
        <v>114</v>
      </c>
      <c r="Q395" t="s">
        <v>114</v>
      </c>
      <c r="R395" t="s">
        <v>114</v>
      </c>
      <c r="S395" t="s">
        <v>114</v>
      </c>
      <c r="T395" t="s">
        <v>114</v>
      </c>
      <c r="V395" t="s">
        <v>114</v>
      </c>
      <c r="W395" t="s">
        <v>114</v>
      </c>
      <c r="Y395" t="s">
        <v>3529</v>
      </c>
      <c r="Z395" t="s">
        <v>3530</v>
      </c>
      <c r="AA395" t="s">
        <v>3531</v>
      </c>
      <c r="AB395" t="s">
        <v>3532</v>
      </c>
      <c r="AC395" t="s">
        <v>3533</v>
      </c>
      <c r="AG395" t="s">
        <v>123</v>
      </c>
      <c r="AH395" t="s">
        <v>124</v>
      </c>
      <c r="AI395" t="s">
        <v>3534</v>
      </c>
      <c r="AJ395" t="s">
        <v>126</v>
      </c>
      <c r="AK395" t="s">
        <v>127</v>
      </c>
      <c r="AM395" t="s">
        <v>3535</v>
      </c>
      <c r="AN395" t="s">
        <v>3536</v>
      </c>
      <c r="AO395" t="s">
        <v>3537</v>
      </c>
      <c r="AP395" t="s">
        <v>131</v>
      </c>
      <c r="AQ395" t="s">
        <v>132</v>
      </c>
      <c r="AR395" t="s">
        <v>202</v>
      </c>
      <c r="AS395" t="s">
        <v>1489</v>
      </c>
      <c r="AU395" t="s">
        <v>3239</v>
      </c>
      <c r="AV395" t="s">
        <v>481</v>
      </c>
      <c r="AX395" t="s">
        <v>177</v>
      </c>
      <c r="AY395" t="s">
        <v>364</v>
      </c>
      <c r="AZ395" t="s">
        <v>3538</v>
      </c>
      <c r="BB395" t="s">
        <v>140</v>
      </c>
    </row>
    <row r="396" spans="1:54" x14ac:dyDescent="0.35">
      <c r="A396" t="s">
        <v>3539</v>
      </c>
      <c r="B396" t="s">
        <v>107</v>
      </c>
      <c r="C396" t="s">
        <v>107</v>
      </c>
      <c r="F396" t="s">
        <v>358</v>
      </c>
      <c r="G396" t="s">
        <v>359</v>
      </c>
      <c r="H396" t="s">
        <v>360</v>
      </c>
      <c r="I396" t="s">
        <v>341</v>
      </c>
      <c r="J396" t="s">
        <v>113</v>
      </c>
      <c r="K396" t="s">
        <v>114</v>
      </c>
      <c r="L396" t="s">
        <v>114</v>
      </c>
      <c r="M396" t="s">
        <v>114</v>
      </c>
      <c r="N396" t="s">
        <v>114</v>
      </c>
      <c r="O396" t="s">
        <v>114</v>
      </c>
      <c r="P396" t="s">
        <v>114</v>
      </c>
      <c r="Q396" t="s">
        <v>114</v>
      </c>
      <c r="R396" t="s">
        <v>114</v>
      </c>
      <c r="S396" t="s">
        <v>114</v>
      </c>
      <c r="T396" t="s">
        <v>114</v>
      </c>
      <c r="V396" t="s">
        <v>114</v>
      </c>
      <c r="W396" t="s">
        <v>114</v>
      </c>
      <c r="Y396" t="s">
        <v>3540</v>
      </c>
      <c r="Z396" t="s">
        <v>3540</v>
      </c>
      <c r="AA396" t="s">
        <v>3541</v>
      </c>
      <c r="AB396" t="s">
        <v>3542</v>
      </c>
      <c r="AC396" t="s">
        <v>3543</v>
      </c>
      <c r="AG396" t="s">
        <v>123</v>
      </c>
      <c r="AH396" t="s">
        <v>124</v>
      </c>
      <c r="AI396" t="s">
        <v>3544</v>
      </c>
      <c r="AJ396" t="s">
        <v>126</v>
      </c>
      <c r="AK396" t="s">
        <v>127</v>
      </c>
      <c r="AM396" t="s">
        <v>3545</v>
      </c>
      <c r="AN396" t="s">
        <v>3546</v>
      </c>
      <c r="AO396" t="s">
        <v>3547</v>
      </c>
      <c r="AP396" t="s">
        <v>131</v>
      </c>
      <c r="AQ396" t="s">
        <v>132</v>
      </c>
      <c r="AR396" t="s">
        <v>2076</v>
      </c>
      <c r="AS396" t="s">
        <v>3548</v>
      </c>
      <c r="AU396" t="s">
        <v>219</v>
      </c>
      <c r="AV396" t="s">
        <v>389</v>
      </c>
      <c r="AX396" t="s">
        <v>177</v>
      </c>
      <c r="AY396" t="s">
        <v>364</v>
      </c>
      <c r="AZ396" t="s">
        <v>3549</v>
      </c>
      <c r="BB396" t="s">
        <v>140</v>
      </c>
    </row>
    <row r="397" spans="1:54" x14ac:dyDescent="0.35">
      <c r="A397" t="s">
        <v>3550</v>
      </c>
      <c r="B397" t="s">
        <v>107</v>
      </c>
      <c r="C397" t="s">
        <v>107</v>
      </c>
      <c r="F397" t="s">
        <v>358</v>
      </c>
      <c r="G397" t="s">
        <v>359</v>
      </c>
      <c r="H397" t="s">
        <v>360</v>
      </c>
      <c r="I397" t="s">
        <v>341</v>
      </c>
      <c r="J397" t="s">
        <v>113</v>
      </c>
      <c r="K397" t="s">
        <v>114</v>
      </c>
      <c r="L397" t="s">
        <v>114</v>
      </c>
      <c r="M397" t="s">
        <v>114</v>
      </c>
      <c r="N397" t="s">
        <v>114</v>
      </c>
      <c r="O397" t="s">
        <v>114</v>
      </c>
      <c r="P397" t="s">
        <v>114</v>
      </c>
      <c r="Q397" t="s">
        <v>114</v>
      </c>
      <c r="R397" t="s">
        <v>114</v>
      </c>
      <c r="S397" t="s">
        <v>114</v>
      </c>
      <c r="T397" t="s">
        <v>114</v>
      </c>
      <c r="V397" t="s">
        <v>114</v>
      </c>
      <c r="W397" t="s">
        <v>114</v>
      </c>
      <c r="Y397" t="s">
        <v>3551</v>
      </c>
      <c r="Z397" t="s">
        <v>3551</v>
      </c>
      <c r="AA397" t="s">
        <v>3552</v>
      </c>
      <c r="AB397" t="s">
        <v>3553</v>
      </c>
      <c r="AC397" t="s">
        <v>3554</v>
      </c>
      <c r="AG397" t="s">
        <v>123</v>
      </c>
      <c r="AH397" t="s">
        <v>124</v>
      </c>
      <c r="AI397" t="s">
        <v>3555</v>
      </c>
      <c r="AJ397" t="s">
        <v>126</v>
      </c>
      <c r="AK397" t="s">
        <v>127</v>
      </c>
      <c r="AM397" t="s">
        <v>3556</v>
      </c>
      <c r="AN397" t="s">
        <v>3557</v>
      </c>
      <c r="AO397" t="s">
        <v>3558</v>
      </c>
      <c r="AP397" t="s">
        <v>131</v>
      </c>
      <c r="AQ397" t="s">
        <v>132</v>
      </c>
      <c r="AR397" t="s">
        <v>448</v>
      </c>
      <c r="AS397" t="s">
        <v>3559</v>
      </c>
      <c r="AU397" t="s">
        <v>1059</v>
      </c>
      <c r="AV397" t="s">
        <v>3560</v>
      </c>
      <c r="AX397" t="s">
        <v>177</v>
      </c>
      <c r="AY397" t="s">
        <v>364</v>
      </c>
      <c r="AZ397" t="s">
        <v>3561</v>
      </c>
      <c r="BB397" t="s">
        <v>140</v>
      </c>
    </row>
    <row r="398" spans="1:54" x14ac:dyDescent="0.35">
      <c r="A398" t="s">
        <v>3562</v>
      </c>
      <c r="B398" t="s">
        <v>107</v>
      </c>
      <c r="C398" t="s">
        <v>107</v>
      </c>
      <c r="E398" t="s">
        <v>108</v>
      </c>
      <c r="F398" t="s">
        <v>158</v>
      </c>
      <c r="G398" t="s">
        <v>159</v>
      </c>
      <c r="H398" t="s">
        <v>111</v>
      </c>
      <c r="I398" t="s">
        <v>341</v>
      </c>
      <c r="J398" t="s">
        <v>113</v>
      </c>
      <c r="K398" t="s">
        <v>114</v>
      </c>
      <c r="L398" t="s">
        <v>161</v>
      </c>
      <c r="M398" t="s">
        <v>161</v>
      </c>
      <c r="N398" t="s">
        <v>979</v>
      </c>
      <c r="O398" t="s">
        <v>1110</v>
      </c>
      <c r="P398" t="s">
        <v>3563</v>
      </c>
      <c r="Q398" t="s">
        <v>114</v>
      </c>
      <c r="R398" t="s">
        <v>180</v>
      </c>
      <c r="S398" t="s">
        <v>114</v>
      </c>
      <c r="T398" t="s">
        <v>180</v>
      </c>
      <c r="V398" t="s">
        <v>114</v>
      </c>
      <c r="W398" t="s">
        <v>3563</v>
      </c>
      <c r="Y398" t="s">
        <v>3564</v>
      </c>
      <c r="Z398" t="s">
        <v>3565</v>
      </c>
      <c r="AA398" t="s">
        <v>3566</v>
      </c>
      <c r="AB398" t="s">
        <v>3567</v>
      </c>
      <c r="AC398" t="s">
        <v>3565</v>
      </c>
      <c r="AG398" t="s">
        <v>123</v>
      </c>
      <c r="AH398" t="s">
        <v>124</v>
      </c>
      <c r="AI398" t="s">
        <v>3568</v>
      </c>
      <c r="AJ398" t="s">
        <v>126</v>
      </c>
      <c r="AK398" t="s">
        <v>127</v>
      </c>
      <c r="AM398" t="s">
        <v>3569</v>
      </c>
      <c r="AN398" t="s">
        <v>3570</v>
      </c>
      <c r="AO398" t="s">
        <v>3571</v>
      </c>
      <c r="AP398" t="s">
        <v>131</v>
      </c>
      <c r="AQ398" t="s">
        <v>132</v>
      </c>
      <c r="AR398" t="s">
        <v>756</v>
      </c>
      <c r="AS398" t="s">
        <v>1832</v>
      </c>
      <c r="AU398" t="s">
        <v>610</v>
      </c>
      <c r="AW398" t="s">
        <v>136</v>
      </c>
      <c r="AX398" t="s">
        <v>177</v>
      </c>
      <c r="AY398" t="s">
        <v>138</v>
      </c>
      <c r="AZ398" t="s">
        <v>3572</v>
      </c>
      <c r="BB398" t="s">
        <v>140</v>
      </c>
    </row>
    <row r="399" spans="1:54" x14ac:dyDescent="0.35">
      <c r="A399" t="s">
        <v>3562</v>
      </c>
      <c r="B399" t="s">
        <v>107</v>
      </c>
      <c r="C399" t="s">
        <v>107</v>
      </c>
      <c r="E399" t="s">
        <v>108</v>
      </c>
      <c r="F399" t="s">
        <v>268</v>
      </c>
      <c r="G399" t="s">
        <v>269</v>
      </c>
      <c r="H399" t="s">
        <v>2268</v>
      </c>
      <c r="I399" t="s">
        <v>271</v>
      </c>
      <c r="J399" t="s">
        <v>113</v>
      </c>
      <c r="K399" t="s">
        <v>114</v>
      </c>
      <c r="L399" t="s">
        <v>114</v>
      </c>
      <c r="M399" t="s">
        <v>114</v>
      </c>
      <c r="N399" t="s">
        <v>114</v>
      </c>
      <c r="O399" t="s">
        <v>114</v>
      </c>
      <c r="P399" t="s">
        <v>114</v>
      </c>
      <c r="Q399" t="s">
        <v>114</v>
      </c>
      <c r="R399" t="s">
        <v>180</v>
      </c>
      <c r="S399" t="s">
        <v>114</v>
      </c>
      <c r="T399" t="s">
        <v>180</v>
      </c>
      <c r="V399" t="s">
        <v>114</v>
      </c>
      <c r="W399" t="s">
        <v>3563</v>
      </c>
      <c r="Y399" t="s">
        <v>3564</v>
      </c>
      <c r="Z399" t="s">
        <v>3565</v>
      </c>
      <c r="AA399" t="s">
        <v>3566</v>
      </c>
      <c r="AB399" t="s">
        <v>3567</v>
      </c>
      <c r="AC399" t="s">
        <v>3565</v>
      </c>
      <c r="AG399" t="s">
        <v>123</v>
      </c>
      <c r="AH399" t="s">
        <v>124</v>
      </c>
      <c r="AI399" t="s">
        <v>3568</v>
      </c>
      <c r="AJ399" t="s">
        <v>126</v>
      </c>
      <c r="AK399" t="s">
        <v>127</v>
      </c>
      <c r="AM399" t="s">
        <v>3569</v>
      </c>
      <c r="AN399" t="s">
        <v>3570</v>
      </c>
      <c r="AO399" t="s">
        <v>3571</v>
      </c>
      <c r="AP399" t="s">
        <v>131</v>
      </c>
      <c r="AQ399" t="s">
        <v>132</v>
      </c>
      <c r="AR399" t="s">
        <v>756</v>
      </c>
      <c r="AS399" t="s">
        <v>1832</v>
      </c>
      <c r="AU399" t="s">
        <v>610</v>
      </c>
      <c r="AW399" t="s">
        <v>136</v>
      </c>
      <c r="AX399" t="s">
        <v>272</v>
      </c>
      <c r="AY399" t="s">
        <v>273</v>
      </c>
      <c r="AZ399" t="s">
        <v>3572</v>
      </c>
      <c r="BB399" t="s">
        <v>140</v>
      </c>
    </row>
    <row r="400" spans="1:54" x14ac:dyDescent="0.35">
      <c r="A400" t="s">
        <v>3573</v>
      </c>
      <c r="B400" t="s">
        <v>107</v>
      </c>
      <c r="C400" t="s">
        <v>107</v>
      </c>
      <c r="F400" t="s">
        <v>358</v>
      </c>
      <c r="G400" t="s">
        <v>359</v>
      </c>
      <c r="H400" t="s">
        <v>360</v>
      </c>
      <c r="I400" t="s">
        <v>341</v>
      </c>
      <c r="J400" t="s">
        <v>113</v>
      </c>
      <c r="K400" t="s">
        <v>114</v>
      </c>
      <c r="L400" t="s">
        <v>114</v>
      </c>
      <c r="M400" t="s">
        <v>114</v>
      </c>
      <c r="N400" t="s">
        <v>114</v>
      </c>
      <c r="O400" t="s">
        <v>114</v>
      </c>
      <c r="P400" t="s">
        <v>114</v>
      </c>
      <c r="Q400" t="s">
        <v>114</v>
      </c>
      <c r="R400" t="s">
        <v>114</v>
      </c>
      <c r="S400" t="s">
        <v>114</v>
      </c>
      <c r="T400" t="s">
        <v>114</v>
      </c>
      <c r="V400" t="s">
        <v>114</v>
      </c>
      <c r="W400" t="s">
        <v>114</v>
      </c>
      <c r="Y400" t="s">
        <v>3574</v>
      </c>
      <c r="Z400" t="s">
        <v>3574</v>
      </c>
      <c r="AA400" t="s">
        <v>3575</v>
      </c>
      <c r="AB400" t="s">
        <v>3576</v>
      </c>
      <c r="AC400" t="s">
        <v>3577</v>
      </c>
      <c r="AG400" t="s">
        <v>123</v>
      </c>
      <c r="AH400" t="s">
        <v>124</v>
      </c>
      <c r="AI400" t="s">
        <v>3578</v>
      </c>
      <c r="AJ400" t="s">
        <v>126</v>
      </c>
      <c r="AK400" t="s">
        <v>127</v>
      </c>
      <c r="AM400" t="s">
        <v>3579</v>
      </c>
      <c r="AN400" t="s">
        <v>3580</v>
      </c>
      <c r="AO400" t="s">
        <v>3581</v>
      </c>
      <c r="AP400" t="s">
        <v>131</v>
      </c>
      <c r="AQ400" t="s">
        <v>132</v>
      </c>
      <c r="AR400" t="s">
        <v>352</v>
      </c>
      <c r="AS400" t="s">
        <v>667</v>
      </c>
      <c r="AU400" t="s">
        <v>773</v>
      </c>
      <c r="AV400" t="s">
        <v>585</v>
      </c>
      <c r="AX400" t="s">
        <v>177</v>
      </c>
      <c r="AY400" t="s">
        <v>364</v>
      </c>
      <c r="AZ400" t="s">
        <v>3582</v>
      </c>
      <c r="BB400" t="s">
        <v>140</v>
      </c>
    </row>
    <row r="401" spans="1:54" x14ac:dyDescent="0.35">
      <c r="A401" t="s">
        <v>3583</v>
      </c>
      <c r="B401" t="s">
        <v>107</v>
      </c>
      <c r="C401" t="s">
        <v>107</v>
      </c>
      <c r="E401" t="s">
        <v>108</v>
      </c>
      <c r="F401" t="s">
        <v>358</v>
      </c>
      <c r="G401" t="s">
        <v>359</v>
      </c>
      <c r="H401" t="s">
        <v>360</v>
      </c>
      <c r="I401" t="s">
        <v>341</v>
      </c>
      <c r="J401" t="s">
        <v>113</v>
      </c>
      <c r="K401" t="s">
        <v>114</v>
      </c>
      <c r="L401" t="s">
        <v>361</v>
      </c>
      <c r="M401" t="s">
        <v>361</v>
      </c>
      <c r="N401" t="s">
        <v>113</v>
      </c>
      <c r="O401" t="s">
        <v>363</v>
      </c>
      <c r="P401" t="s">
        <v>562</v>
      </c>
      <c r="Q401" t="s">
        <v>114</v>
      </c>
      <c r="R401" t="s">
        <v>180</v>
      </c>
      <c r="S401" t="s">
        <v>114</v>
      </c>
      <c r="T401" t="s">
        <v>180</v>
      </c>
      <c r="V401" t="s">
        <v>114</v>
      </c>
      <c r="W401" t="s">
        <v>562</v>
      </c>
      <c r="Y401" t="s">
        <v>3584</v>
      </c>
      <c r="Z401" t="s">
        <v>3585</v>
      </c>
      <c r="AA401" t="s">
        <v>3586</v>
      </c>
      <c r="AB401" t="s">
        <v>3587</v>
      </c>
      <c r="AC401" t="s">
        <v>3585</v>
      </c>
      <c r="AG401" t="s">
        <v>123</v>
      </c>
      <c r="AH401" t="s">
        <v>124</v>
      </c>
      <c r="AI401" t="s">
        <v>3588</v>
      </c>
      <c r="AJ401" t="s">
        <v>126</v>
      </c>
      <c r="AK401" t="s">
        <v>127</v>
      </c>
      <c r="AM401" t="s">
        <v>3589</v>
      </c>
      <c r="AN401" t="s">
        <v>3590</v>
      </c>
      <c r="AO401" t="s">
        <v>3591</v>
      </c>
      <c r="AP401" t="s">
        <v>131</v>
      </c>
      <c r="AQ401" t="s">
        <v>132</v>
      </c>
      <c r="AR401" t="s">
        <v>284</v>
      </c>
      <c r="AS401" t="s">
        <v>3592</v>
      </c>
      <c r="AU401" t="s">
        <v>1896</v>
      </c>
      <c r="AW401" t="s">
        <v>136</v>
      </c>
      <c r="AX401" t="s">
        <v>177</v>
      </c>
      <c r="AY401" t="s">
        <v>364</v>
      </c>
      <c r="AZ401" t="s">
        <v>3593</v>
      </c>
      <c r="BB401" t="s">
        <v>140</v>
      </c>
    </row>
    <row r="402" spans="1:54" x14ac:dyDescent="0.35">
      <c r="A402" t="s">
        <v>3583</v>
      </c>
      <c r="B402" t="s">
        <v>107</v>
      </c>
      <c r="C402" t="s">
        <v>107</v>
      </c>
      <c r="E402" t="s">
        <v>108</v>
      </c>
      <c r="F402" t="s">
        <v>338</v>
      </c>
      <c r="G402" t="s">
        <v>339</v>
      </c>
      <c r="H402" t="s">
        <v>340</v>
      </c>
      <c r="I402" t="s">
        <v>341</v>
      </c>
      <c r="J402" t="s">
        <v>113</v>
      </c>
      <c r="K402" t="s">
        <v>114</v>
      </c>
      <c r="L402" t="s">
        <v>114</v>
      </c>
      <c r="M402" t="s">
        <v>114</v>
      </c>
      <c r="N402" t="s">
        <v>114</v>
      </c>
      <c r="O402" t="s">
        <v>114</v>
      </c>
      <c r="P402" t="s">
        <v>114</v>
      </c>
      <c r="Q402" t="s">
        <v>114</v>
      </c>
      <c r="R402" t="s">
        <v>180</v>
      </c>
      <c r="S402" t="s">
        <v>114</v>
      </c>
      <c r="T402" t="s">
        <v>180</v>
      </c>
      <c r="V402" t="s">
        <v>114</v>
      </c>
      <c r="W402" t="s">
        <v>562</v>
      </c>
      <c r="Y402" t="s">
        <v>3584</v>
      </c>
      <c r="Z402" t="s">
        <v>3585</v>
      </c>
      <c r="AA402" t="s">
        <v>3586</v>
      </c>
      <c r="AB402" t="s">
        <v>3587</v>
      </c>
      <c r="AC402" t="s">
        <v>3585</v>
      </c>
      <c r="AG402" t="s">
        <v>123</v>
      </c>
      <c r="AH402" t="s">
        <v>124</v>
      </c>
      <c r="AI402" t="s">
        <v>3588</v>
      </c>
      <c r="AJ402" t="s">
        <v>126</v>
      </c>
      <c r="AK402" t="s">
        <v>127</v>
      </c>
      <c r="AM402" t="s">
        <v>3589</v>
      </c>
      <c r="AN402" t="s">
        <v>3590</v>
      </c>
      <c r="AO402" t="s">
        <v>3591</v>
      </c>
      <c r="AP402" t="s">
        <v>131</v>
      </c>
      <c r="AQ402" t="s">
        <v>132</v>
      </c>
      <c r="AR402" t="s">
        <v>284</v>
      </c>
      <c r="AS402" t="s">
        <v>3592</v>
      </c>
      <c r="AU402" t="s">
        <v>1896</v>
      </c>
      <c r="AW402" t="s">
        <v>136</v>
      </c>
      <c r="AX402" t="s">
        <v>177</v>
      </c>
      <c r="AY402" t="s">
        <v>356</v>
      </c>
      <c r="AZ402" t="s">
        <v>3593</v>
      </c>
      <c r="BB402" t="s">
        <v>140</v>
      </c>
    </row>
    <row r="403" spans="1:54" x14ac:dyDescent="0.35">
      <c r="A403" t="s">
        <v>3594</v>
      </c>
      <c r="B403" t="s">
        <v>107</v>
      </c>
      <c r="C403" t="s">
        <v>107</v>
      </c>
      <c r="E403" t="s">
        <v>108</v>
      </c>
      <c r="F403" t="s">
        <v>158</v>
      </c>
      <c r="G403" t="s">
        <v>159</v>
      </c>
      <c r="H403" t="s">
        <v>111</v>
      </c>
      <c r="I403" t="s">
        <v>341</v>
      </c>
      <c r="J403" t="s">
        <v>113</v>
      </c>
      <c r="K403" t="s">
        <v>114</v>
      </c>
      <c r="L403" t="s">
        <v>161</v>
      </c>
      <c r="M403" t="s">
        <v>161</v>
      </c>
      <c r="N403" t="s">
        <v>3595</v>
      </c>
      <c r="O403" t="s">
        <v>1110</v>
      </c>
      <c r="P403" t="s">
        <v>3596</v>
      </c>
      <c r="Q403" t="s">
        <v>114</v>
      </c>
      <c r="R403" t="s">
        <v>180</v>
      </c>
      <c r="S403" t="s">
        <v>114</v>
      </c>
      <c r="T403" t="s">
        <v>180</v>
      </c>
      <c r="V403" t="s">
        <v>114</v>
      </c>
      <c r="W403" t="s">
        <v>3596</v>
      </c>
      <c r="Y403" t="s">
        <v>3597</v>
      </c>
      <c r="Z403" t="s">
        <v>3598</v>
      </c>
      <c r="AA403" t="s">
        <v>3599</v>
      </c>
      <c r="AB403" t="s">
        <v>3600</v>
      </c>
      <c r="AC403" t="s">
        <v>3598</v>
      </c>
      <c r="AG403" t="s">
        <v>123</v>
      </c>
      <c r="AH403" t="s">
        <v>124</v>
      </c>
      <c r="AI403" t="s">
        <v>3601</v>
      </c>
      <c r="AJ403" t="s">
        <v>126</v>
      </c>
      <c r="AK403" t="s">
        <v>127</v>
      </c>
      <c r="AM403" t="s">
        <v>3602</v>
      </c>
      <c r="AN403" t="s">
        <v>3603</v>
      </c>
      <c r="AO403" t="s">
        <v>3604</v>
      </c>
      <c r="AP403" t="s">
        <v>131</v>
      </c>
      <c r="AQ403" t="s">
        <v>132</v>
      </c>
      <c r="AR403" t="s">
        <v>1056</v>
      </c>
      <c r="AS403" t="s">
        <v>3605</v>
      </c>
      <c r="AU403" t="s">
        <v>3361</v>
      </c>
      <c r="AW403" t="s">
        <v>136</v>
      </c>
      <c r="AX403" t="s">
        <v>177</v>
      </c>
      <c r="AY403" t="s">
        <v>138</v>
      </c>
      <c r="AZ403" t="s">
        <v>3606</v>
      </c>
      <c r="BB403" t="s">
        <v>140</v>
      </c>
    </row>
    <row r="404" spans="1:54" x14ac:dyDescent="0.35">
      <c r="A404" t="s">
        <v>3594</v>
      </c>
      <c r="B404" t="s">
        <v>107</v>
      </c>
      <c r="C404" t="s">
        <v>107</v>
      </c>
      <c r="E404" t="s">
        <v>108</v>
      </c>
      <c r="F404" t="s">
        <v>268</v>
      </c>
      <c r="G404" t="s">
        <v>269</v>
      </c>
      <c r="H404" t="s">
        <v>2268</v>
      </c>
      <c r="I404" t="s">
        <v>271</v>
      </c>
      <c r="J404" t="s">
        <v>113</v>
      </c>
      <c r="K404" t="s">
        <v>114</v>
      </c>
      <c r="L404" t="s">
        <v>114</v>
      </c>
      <c r="M404" t="s">
        <v>114</v>
      </c>
      <c r="N404" t="s">
        <v>114</v>
      </c>
      <c r="O404" t="s">
        <v>114</v>
      </c>
      <c r="P404" t="s">
        <v>114</v>
      </c>
      <c r="Q404" t="s">
        <v>114</v>
      </c>
      <c r="R404" t="s">
        <v>180</v>
      </c>
      <c r="S404" t="s">
        <v>114</v>
      </c>
      <c r="T404" t="s">
        <v>180</v>
      </c>
      <c r="V404" t="s">
        <v>114</v>
      </c>
      <c r="W404" t="s">
        <v>3596</v>
      </c>
      <c r="Y404" t="s">
        <v>3597</v>
      </c>
      <c r="Z404" t="s">
        <v>3598</v>
      </c>
      <c r="AA404" t="s">
        <v>3599</v>
      </c>
      <c r="AB404" t="s">
        <v>3600</v>
      </c>
      <c r="AC404" t="s">
        <v>3598</v>
      </c>
      <c r="AG404" t="s">
        <v>123</v>
      </c>
      <c r="AH404" t="s">
        <v>124</v>
      </c>
      <c r="AI404" t="s">
        <v>3601</v>
      </c>
      <c r="AJ404" t="s">
        <v>126</v>
      </c>
      <c r="AK404" t="s">
        <v>127</v>
      </c>
      <c r="AM404" t="s">
        <v>3602</v>
      </c>
      <c r="AN404" t="s">
        <v>3603</v>
      </c>
      <c r="AO404" t="s">
        <v>3604</v>
      </c>
      <c r="AP404" t="s">
        <v>131</v>
      </c>
      <c r="AQ404" t="s">
        <v>132</v>
      </c>
      <c r="AR404" t="s">
        <v>1056</v>
      </c>
      <c r="AS404" t="s">
        <v>3605</v>
      </c>
      <c r="AU404" t="s">
        <v>3361</v>
      </c>
      <c r="AW404" t="s">
        <v>136</v>
      </c>
      <c r="AX404" t="s">
        <v>272</v>
      </c>
      <c r="AY404" t="s">
        <v>273</v>
      </c>
      <c r="AZ404" t="s">
        <v>3606</v>
      </c>
      <c r="BB404" t="s">
        <v>140</v>
      </c>
    </row>
    <row r="405" spans="1:54" x14ac:dyDescent="0.35">
      <c r="A405" t="s">
        <v>3607</v>
      </c>
      <c r="B405" t="s">
        <v>107</v>
      </c>
      <c r="C405" t="s">
        <v>107</v>
      </c>
      <c r="E405" t="s">
        <v>108</v>
      </c>
      <c r="F405" t="s">
        <v>499</v>
      </c>
      <c r="G405" t="s">
        <v>500</v>
      </c>
      <c r="H405" t="s">
        <v>501</v>
      </c>
      <c r="I405" t="s">
        <v>341</v>
      </c>
      <c r="J405" t="s">
        <v>113</v>
      </c>
      <c r="K405" t="s">
        <v>114</v>
      </c>
      <c r="L405" t="s">
        <v>502</v>
      </c>
      <c r="M405" t="s">
        <v>502</v>
      </c>
      <c r="N405" t="s">
        <v>113</v>
      </c>
      <c r="O405" t="s">
        <v>504</v>
      </c>
      <c r="P405" t="s">
        <v>3608</v>
      </c>
      <c r="Q405" t="s">
        <v>114</v>
      </c>
      <c r="R405" t="s">
        <v>180</v>
      </c>
      <c r="S405" t="s">
        <v>114</v>
      </c>
      <c r="T405" t="s">
        <v>180</v>
      </c>
      <c r="U405" t="s">
        <v>3609</v>
      </c>
      <c r="V405" t="s">
        <v>114</v>
      </c>
      <c r="W405" t="s">
        <v>3610</v>
      </c>
      <c r="Y405" t="s">
        <v>3611</v>
      </c>
      <c r="Z405" t="s">
        <v>3612</v>
      </c>
      <c r="AA405" t="s">
        <v>3613</v>
      </c>
      <c r="AB405" t="s">
        <v>3614</v>
      </c>
      <c r="AC405" t="s">
        <v>3615</v>
      </c>
      <c r="AG405" t="s">
        <v>123</v>
      </c>
      <c r="AH405" t="s">
        <v>124</v>
      </c>
      <c r="AI405" t="s">
        <v>3616</v>
      </c>
      <c r="AJ405" t="s">
        <v>126</v>
      </c>
      <c r="AK405" t="s">
        <v>127</v>
      </c>
      <c r="AM405" t="s">
        <v>3617</v>
      </c>
      <c r="AN405" t="s">
        <v>3618</v>
      </c>
      <c r="AO405" t="s">
        <v>3619</v>
      </c>
      <c r="AP405" t="s">
        <v>131</v>
      </c>
      <c r="AQ405" t="s">
        <v>132</v>
      </c>
      <c r="AR405" t="s">
        <v>3271</v>
      </c>
      <c r="AS405" t="s">
        <v>3272</v>
      </c>
      <c r="AU405" t="s">
        <v>495</v>
      </c>
      <c r="AV405" t="s">
        <v>668</v>
      </c>
      <c r="AW405" t="s">
        <v>655</v>
      </c>
      <c r="AX405" t="s">
        <v>177</v>
      </c>
      <c r="AY405" t="s">
        <v>517</v>
      </c>
      <c r="AZ405" t="s">
        <v>3620</v>
      </c>
      <c r="BB405" t="s">
        <v>140</v>
      </c>
    </row>
    <row r="406" spans="1:54" x14ac:dyDescent="0.35">
      <c r="A406" t="s">
        <v>3621</v>
      </c>
      <c r="B406" t="s">
        <v>107</v>
      </c>
      <c r="C406" t="s">
        <v>107</v>
      </c>
      <c r="F406" t="s">
        <v>358</v>
      </c>
      <c r="G406" t="s">
        <v>359</v>
      </c>
      <c r="H406" t="s">
        <v>360</v>
      </c>
      <c r="I406" t="s">
        <v>341</v>
      </c>
      <c r="J406" t="s">
        <v>113</v>
      </c>
      <c r="K406" t="s">
        <v>114</v>
      </c>
      <c r="L406" t="s">
        <v>114</v>
      </c>
      <c r="M406" t="s">
        <v>114</v>
      </c>
      <c r="N406" t="s">
        <v>114</v>
      </c>
      <c r="O406" t="s">
        <v>114</v>
      </c>
      <c r="P406" t="s">
        <v>114</v>
      </c>
      <c r="Q406" t="s">
        <v>114</v>
      </c>
      <c r="R406" t="s">
        <v>114</v>
      </c>
      <c r="S406" t="s">
        <v>114</v>
      </c>
      <c r="T406" t="s">
        <v>114</v>
      </c>
      <c r="V406" t="s">
        <v>114</v>
      </c>
      <c r="W406" t="s">
        <v>114</v>
      </c>
      <c r="Y406" t="s">
        <v>3622</v>
      </c>
      <c r="Z406" t="s">
        <v>3622</v>
      </c>
      <c r="AA406" t="s">
        <v>3623</v>
      </c>
      <c r="AB406" t="s">
        <v>3624</v>
      </c>
      <c r="AC406" t="s">
        <v>3625</v>
      </c>
      <c r="AG406" t="s">
        <v>123</v>
      </c>
      <c r="AH406" t="s">
        <v>124</v>
      </c>
      <c r="AI406" t="s">
        <v>3626</v>
      </c>
      <c r="AJ406" t="s">
        <v>126</v>
      </c>
      <c r="AK406" t="s">
        <v>127</v>
      </c>
      <c r="AM406" t="s">
        <v>3627</v>
      </c>
      <c r="AN406" t="s">
        <v>3536</v>
      </c>
      <c r="AO406" t="s">
        <v>3628</v>
      </c>
      <c r="AP406" t="s">
        <v>131</v>
      </c>
      <c r="AQ406" t="s">
        <v>132</v>
      </c>
      <c r="AR406" t="s">
        <v>152</v>
      </c>
      <c r="AS406" t="s">
        <v>3629</v>
      </c>
      <c r="AU406" t="s">
        <v>1703</v>
      </c>
      <c r="AX406" t="s">
        <v>177</v>
      </c>
      <c r="AY406" t="s">
        <v>364</v>
      </c>
      <c r="AZ406" t="s">
        <v>3630</v>
      </c>
      <c r="BB406" t="s">
        <v>140</v>
      </c>
    </row>
    <row r="407" spans="1:54" x14ac:dyDescent="0.35">
      <c r="A407" t="s">
        <v>3631</v>
      </c>
      <c r="B407" t="s">
        <v>107</v>
      </c>
      <c r="C407" t="s">
        <v>107</v>
      </c>
      <c r="F407" t="s">
        <v>533</v>
      </c>
      <c r="G407" t="s">
        <v>534</v>
      </c>
      <c r="H407" t="s">
        <v>2360</v>
      </c>
      <c r="I407" t="s">
        <v>536</v>
      </c>
      <c r="J407" t="s">
        <v>113</v>
      </c>
      <c r="K407" t="s">
        <v>114</v>
      </c>
      <c r="L407" t="s">
        <v>114</v>
      </c>
      <c r="M407" t="s">
        <v>114</v>
      </c>
      <c r="N407" t="s">
        <v>114</v>
      </c>
      <c r="O407" t="s">
        <v>114</v>
      </c>
      <c r="P407" t="s">
        <v>114</v>
      </c>
      <c r="Q407" t="s">
        <v>114</v>
      </c>
      <c r="R407" t="s">
        <v>114</v>
      </c>
      <c r="S407" t="s">
        <v>114</v>
      </c>
      <c r="T407" t="s">
        <v>114</v>
      </c>
      <c r="V407" t="s">
        <v>114</v>
      </c>
      <c r="W407" t="s">
        <v>114</v>
      </c>
      <c r="Y407" t="s">
        <v>3632</v>
      </c>
      <c r="Z407" t="s">
        <v>3632</v>
      </c>
      <c r="AA407" t="s">
        <v>3633</v>
      </c>
      <c r="AB407" t="s">
        <v>3634</v>
      </c>
      <c r="AC407" t="s">
        <v>3635</v>
      </c>
      <c r="AG407" t="s">
        <v>123</v>
      </c>
      <c r="AH407" t="s">
        <v>124</v>
      </c>
      <c r="AI407" t="s">
        <v>3636</v>
      </c>
      <c r="AJ407" t="s">
        <v>126</v>
      </c>
      <c r="AK407" t="s">
        <v>127</v>
      </c>
      <c r="AM407" t="s">
        <v>3637</v>
      </c>
      <c r="AN407" t="s">
        <v>3638</v>
      </c>
      <c r="AO407" t="s">
        <v>3639</v>
      </c>
      <c r="AP407" t="s">
        <v>131</v>
      </c>
      <c r="AQ407" t="s">
        <v>132</v>
      </c>
      <c r="AR407" t="s">
        <v>1181</v>
      </c>
      <c r="AS407" t="s">
        <v>3206</v>
      </c>
      <c r="AU407" t="s">
        <v>3049</v>
      </c>
      <c r="AX407" t="s">
        <v>547</v>
      </c>
      <c r="AY407" t="s">
        <v>364</v>
      </c>
      <c r="AZ407" t="s">
        <v>3640</v>
      </c>
      <c r="BB407" t="s">
        <v>140</v>
      </c>
    </row>
    <row r="408" spans="1:54" x14ac:dyDescent="0.35">
      <c r="A408" t="s">
        <v>3641</v>
      </c>
      <c r="B408" t="s">
        <v>107</v>
      </c>
      <c r="C408" t="s">
        <v>107</v>
      </c>
      <c r="F408" t="s">
        <v>613</v>
      </c>
      <c r="G408" t="s">
        <v>614</v>
      </c>
      <c r="H408" t="s">
        <v>615</v>
      </c>
      <c r="I408" t="s">
        <v>271</v>
      </c>
      <c r="J408" t="s">
        <v>113</v>
      </c>
      <c r="K408" t="s">
        <v>114</v>
      </c>
      <c r="L408" t="s">
        <v>114</v>
      </c>
      <c r="M408" t="s">
        <v>114</v>
      </c>
      <c r="N408" t="s">
        <v>114</v>
      </c>
      <c r="O408" t="s">
        <v>114</v>
      </c>
      <c r="P408" t="s">
        <v>114</v>
      </c>
      <c r="Q408" t="s">
        <v>114</v>
      </c>
      <c r="R408" t="s">
        <v>114</v>
      </c>
      <c r="S408" t="s">
        <v>114</v>
      </c>
      <c r="T408" t="s">
        <v>114</v>
      </c>
      <c r="V408" t="s">
        <v>114</v>
      </c>
      <c r="W408" t="s">
        <v>114</v>
      </c>
      <c r="Y408" t="s">
        <v>3642</v>
      </c>
      <c r="Z408" t="s">
        <v>3642</v>
      </c>
      <c r="AA408" t="s">
        <v>3643</v>
      </c>
      <c r="AB408" t="s">
        <v>3644</v>
      </c>
      <c r="AC408" t="s">
        <v>3645</v>
      </c>
      <c r="AG408" t="s">
        <v>123</v>
      </c>
      <c r="AH408" t="s">
        <v>124</v>
      </c>
      <c r="AI408" t="s">
        <v>3646</v>
      </c>
      <c r="AJ408" t="s">
        <v>126</v>
      </c>
      <c r="AK408" t="s">
        <v>127</v>
      </c>
      <c r="AM408" t="s">
        <v>3647</v>
      </c>
      <c r="AN408" t="s">
        <v>3648</v>
      </c>
      <c r="AO408" t="s">
        <v>3649</v>
      </c>
      <c r="AP408" t="s">
        <v>131</v>
      </c>
      <c r="AQ408" t="s">
        <v>132</v>
      </c>
      <c r="AR408" t="s">
        <v>152</v>
      </c>
      <c r="AS408" t="s">
        <v>3650</v>
      </c>
      <c r="AU408" t="s">
        <v>2425</v>
      </c>
      <c r="AX408" t="s">
        <v>177</v>
      </c>
      <c r="AY408" t="s">
        <v>627</v>
      </c>
      <c r="AZ408" t="s">
        <v>3651</v>
      </c>
      <c r="BB408" t="s">
        <v>140</v>
      </c>
    </row>
    <row r="409" spans="1:54" x14ac:dyDescent="0.35">
      <c r="A409" t="s">
        <v>3652</v>
      </c>
      <c r="B409" t="s">
        <v>107</v>
      </c>
      <c r="C409" t="s">
        <v>107</v>
      </c>
      <c r="F409" t="s">
        <v>533</v>
      </c>
      <c r="G409" t="s">
        <v>534</v>
      </c>
      <c r="H409" t="s">
        <v>2360</v>
      </c>
      <c r="I409" t="s">
        <v>536</v>
      </c>
      <c r="J409" t="s">
        <v>113</v>
      </c>
      <c r="K409" t="s">
        <v>114</v>
      </c>
      <c r="L409" t="s">
        <v>114</v>
      </c>
      <c r="M409" t="s">
        <v>114</v>
      </c>
      <c r="N409" t="s">
        <v>114</v>
      </c>
      <c r="O409" t="s">
        <v>114</v>
      </c>
      <c r="P409" t="s">
        <v>114</v>
      </c>
      <c r="Q409" t="s">
        <v>114</v>
      </c>
      <c r="R409" t="s">
        <v>114</v>
      </c>
      <c r="S409" t="s">
        <v>114</v>
      </c>
      <c r="T409" t="s">
        <v>114</v>
      </c>
      <c r="V409" t="s">
        <v>114</v>
      </c>
      <c r="W409" t="s">
        <v>114</v>
      </c>
      <c r="Y409" t="s">
        <v>3653</v>
      </c>
      <c r="Z409" t="s">
        <v>3654</v>
      </c>
      <c r="AA409" t="s">
        <v>3655</v>
      </c>
      <c r="AB409" t="s">
        <v>3656</v>
      </c>
      <c r="AC409" t="s">
        <v>3657</v>
      </c>
      <c r="AG409" t="s">
        <v>123</v>
      </c>
      <c r="AH409" t="s">
        <v>124</v>
      </c>
      <c r="AI409" t="s">
        <v>3658</v>
      </c>
      <c r="AJ409" t="s">
        <v>126</v>
      </c>
      <c r="AK409" t="s">
        <v>127</v>
      </c>
      <c r="AM409" t="s">
        <v>3659</v>
      </c>
      <c r="AN409" t="s">
        <v>3660</v>
      </c>
      <c r="AO409" t="s">
        <v>3661</v>
      </c>
      <c r="AP409" t="s">
        <v>131</v>
      </c>
      <c r="AQ409" t="s">
        <v>132</v>
      </c>
      <c r="AR409" t="s">
        <v>1280</v>
      </c>
      <c r="AS409" t="s">
        <v>1281</v>
      </c>
      <c r="AU409" t="s">
        <v>758</v>
      </c>
      <c r="AX409" t="s">
        <v>547</v>
      </c>
      <c r="AY409" t="s">
        <v>364</v>
      </c>
      <c r="AZ409" t="s">
        <v>3662</v>
      </c>
      <c r="BB409" t="s">
        <v>140</v>
      </c>
    </row>
    <row r="410" spans="1:54" x14ac:dyDescent="0.35">
      <c r="A410" t="s">
        <v>3663</v>
      </c>
      <c r="B410" t="s">
        <v>107</v>
      </c>
      <c r="C410" t="s">
        <v>107</v>
      </c>
      <c r="F410" t="s">
        <v>358</v>
      </c>
      <c r="G410" t="s">
        <v>359</v>
      </c>
      <c r="H410" t="s">
        <v>360</v>
      </c>
      <c r="I410" t="s">
        <v>341</v>
      </c>
      <c r="J410" t="s">
        <v>113</v>
      </c>
      <c r="K410" t="s">
        <v>114</v>
      </c>
      <c r="L410" t="s">
        <v>114</v>
      </c>
      <c r="M410" t="s">
        <v>114</v>
      </c>
      <c r="N410" t="s">
        <v>114</v>
      </c>
      <c r="O410" t="s">
        <v>114</v>
      </c>
      <c r="P410" t="s">
        <v>114</v>
      </c>
      <c r="Q410" t="s">
        <v>114</v>
      </c>
      <c r="R410" t="s">
        <v>114</v>
      </c>
      <c r="S410" t="s">
        <v>114</v>
      </c>
      <c r="T410" t="s">
        <v>114</v>
      </c>
      <c r="V410" t="s">
        <v>114</v>
      </c>
      <c r="W410" t="s">
        <v>114</v>
      </c>
      <c r="Y410" t="s">
        <v>3664</v>
      </c>
      <c r="Z410" t="s">
        <v>3664</v>
      </c>
      <c r="AA410" t="s">
        <v>3665</v>
      </c>
      <c r="AB410" t="s">
        <v>3666</v>
      </c>
      <c r="AC410" t="s">
        <v>3667</v>
      </c>
      <c r="AG410" t="s">
        <v>123</v>
      </c>
      <c r="AH410" t="s">
        <v>124</v>
      </c>
      <c r="AI410" t="s">
        <v>3668</v>
      </c>
      <c r="AJ410" t="s">
        <v>126</v>
      </c>
      <c r="AK410" t="s">
        <v>127</v>
      </c>
      <c r="AM410" t="s">
        <v>3669</v>
      </c>
      <c r="AN410" t="s">
        <v>3670</v>
      </c>
      <c r="AO410" t="s">
        <v>3671</v>
      </c>
      <c r="AP410" t="s">
        <v>131</v>
      </c>
      <c r="AQ410" t="s">
        <v>132</v>
      </c>
      <c r="AR410" t="s">
        <v>989</v>
      </c>
      <c r="AS410" t="s">
        <v>990</v>
      </c>
      <c r="AU410" t="s">
        <v>354</v>
      </c>
      <c r="AX410" t="s">
        <v>177</v>
      </c>
      <c r="AY410" t="s">
        <v>364</v>
      </c>
      <c r="AZ410" t="s">
        <v>3672</v>
      </c>
      <c r="BB410" t="s">
        <v>140</v>
      </c>
    </row>
    <row r="411" spans="1:54" x14ac:dyDescent="0.35">
      <c r="A411" t="s">
        <v>3673</v>
      </c>
      <c r="B411" t="s">
        <v>107</v>
      </c>
      <c r="C411" t="s">
        <v>107</v>
      </c>
      <c r="F411" t="s">
        <v>613</v>
      </c>
      <c r="G411" t="s">
        <v>614</v>
      </c>
      <c r="H411" t="s">
        <v>615</v>
      </c>
      <c r="I411" t="s">
        <v>271</v>
      </c>
      <c r="J411" t="s">
        <v>113</v>
      </c>
      <c r="K411" t="s">
        <v>114</v>
      </c>
      <c r="L411" t="s">
        <v>114</v>
      </c>
      <c r="M411" t="s">
        <v>114</v>
      </c>
      <c r="N411" t="s">
        <v>114</v>
      </c>
      <c r="O411" t="s">
        <v>114</v>
      </c>
      <c r="P411" t="s">
        <v>114</v>
      </c>
      <c r="Q411" t="s">
        <v>114</v>
      </c>
      <c r="R411" t="s">
        <v>114</v>
      </c>
      <c r="S411" t="s">
        <v>114</v>
      </c>
      <c r="T411" t="s">
        <v>114</v>
      </c>
      <c r="V411" t="s">
        <v>114</v>
      </c>
      <c r="W411" t="s">
        <v>114</v>
      </c>
      <c r="Y411" t="s">
        <v>3674</v>
      </c>
      <c r="Z411" t="s">
        <v>3674</v>
      </c>
      <c r="AA411" t="s">
        <v>3675</v>
      </c>
      <c r="AB411" t="s">
        <v>3676</v>
      </c>
      <c r="AC411" t="s">
        <v>3677</v>
      </c>
      <c r="AG411" t="s">
        <v>123</v>
      </c>
      <c r="AH411" t="s">
        <v>124</v>
      </c>
      <c r="AI411" t="s">
        <v>3678</v>
      </c>
      <c r="AJ411" t="s">
        <v>126</v>
      </c>
      <c r="AK411" t="s">
        <v>127</v>
      </c>
      <c r="AM411" t="s">
        <v>3679</v>
      </c>
      <c r="AN411" t="s">
        <v>3680</v>
      </c>
      <c r="AO411" t="s">
        <v>3681</v>
      </c>
      <c r="AP411" t="s">
        <v>131</v>
      </c>
      <c r="AQ411" t="s">
        <v>132</v>
      </c>
      <c r="AR411" t="s">
        <v>387</v>
      </c>
      <c r="AS411" t="s">
        <v>388</v>
      </c>
      <c r="AU411" t="s">
        <v>516</v>
      </c>
      <c r="AX411" t="s">
        <v>177</v>
      </c>
      <c r="AY411" t="s">
        <v>627</v>
      </c>
      <c r="AZ411" t="s">
        <v>3682</v>
      </c>
      <c r="BB411" t="s">
        <v>140</v>
      </c>
    </row>
    <row r="412" spans="1:54" x14ac:dyDescent="0.35">
      <c r="A412" t="s">
        <v>3683</v>
      </c>
      <c r="B412" t="s">
        <v>107</v>
      </c>
      <c r="C412" t="s">
        <v>107</v>
      </c>
      <c r="F412" t="s">
        <v>613</v>
      </c>
      <c r="G412" t="s">
        <v>614</v>
      </c>
      <c r="H412" t="s">
        <v>615</v>
      </c>
      <c r="I412" t="s">
        <v>271</v>
      </c>
      <c r="J412" t="s">
        <v>113</v>
      </c>
      <c r="K412" t="s">
        <v>114</v>
      </c>
      <c r="L412" t="s">
        <v>114</v>
      </c>
      <c r="M412" t="s">
        <v>114</v>
      </c>
      <c r="N412" t="s">
        <v>114</v>
      </c>
      <c r="O412" t="s">
        <v>114</v>
      </c>
      <c r="P412" t="s">
        <v>114</v>
      </c>
      <c r="Q412" t="s">
        <v>114</v>
      </c>
      <c r="R412" t="s">
        <v>114</v>
      </c>
      <c r="S412" t="s">
        <v>114</v>
      </c>
      <c r="T412" t="s">
        <v>114</v>
      </c>
      <c r="V412" t="s">
        <v>114</v>
      </c>
      <c r="W412" t="s">
        <v>114</v>
      </c>
      <c r="Y412" t="s">
        <v>3684</v>
      </c>
      <c r="Z412" t="s">
        <v>3684</v>
      </c>
      <c r="AA412" t="s">
        <v>3685</v>
      </c>
      <c r="AB412" t="s">
        <v>3686</v>
      </c>
      <c r="AC412" t="s">
        <v>3687</v>
      </c>
      <c r="AG412" t="s">
        <v>123</v>
      </c>
      <c r="AH412" t="s">
        <v>124</v>
      </c>
      <c r="AI412" t="s">
        <v>3688</v>
      </c>
      <c r="AJ412" t="s">
        <v>126</v>
      </c>
      <c r="AK412" t="s">
        <v>127</v>
      </c>
      <c r="AM412" t="s">
        <v>3689</v>
      </c>
      <c r="AN412" t="s">
        <v>3690</v>
      </c>
      <c r="AO412" t="s">
        <v>3691</v>
      </c>
      <c r="AP412" t="s">
        <v>131</v>
      </c>
      <c r="AQ412" t="s">
        <v>132</v>
      </c>
      <c r="AR412" t="s">
        <v>352</v>
      </c>
      <c r="AS412" t="s">
        <v>374</v>
      </c>
      <c r="AU412" t="s">
        <v>626</v>
      </c>
      <c r="AX412" t="s">
        <v>177</v>
      </c>
      <c r="AY412" t="s">
        <v>627</v>
      </c>
      <c r="AZ412" t="s">
        <v>3692</v>
      </c>
      <c r="BB412" t="s">
        <v>140</v>
      </c>
    </row>
    <row r="413" spans="1:54" x14ac:dyDescent="0.35">
      <c r="A413" t="s">
        <v>3693</v>
      </c>
      <c r="B413" t="s">
        <v>107</v>
      </c>
      <c r="C413" t="s">
        <v>107</v>
      </c>
      <c r="F413" t="s">
        <v>358</v>
      </c>
      <c r="G413" t="s">
        <v>359</v>
      </c>
      <c r="H413" t="s">
        <v>360</v>
      </c>
      <c r="I413" t="s">
        <v>341</v>
      </c>
      <c r="J413" t="s">
        <v>113</v>
      </c>
      <c r="K413" t="s">
        <v>114</v>
      </c>
      <c r="L413" t="s">
        <v>114</v>
      </c>
      <c r="M413" t="s">
        <v>114</v>
      </c>
      <c r="N413" t="s">
        <v>114</v>
      </c>
      <c r="O413" t="s">
        <v>114</v>
      </c>
      <c r="P413" t="s">
        <v>114</v>
      </c>
      <c r="Q413" t="s">
        <v>114</v>
      </c>
      <c r="R413" t="s">
        <v>114</v>
      </c>
      <c r="S413" t="s">
        <v>114</v>
      </c>
      <c r="T413" t="s">
        <v>114</v>
      </c>
      <c r="V413" t="s">
        <v>114</v>
      </c>
      <c r="W413" t="s">
        <v>114</v>
      </c>
      <c r="Y413" t="s">
        <v>3694</v>
      </c>
      <c r="Z413" t="s">
        <v>3694</v>
      </c>
      <c r="AA413" t="s">
        <v>3695</v>
      </c>
      <c r="AB413" t="s">
        <v>3696</v>
      </c>
      <c r="AC413" t="s">
        <v>3697</v>
      </c>
      <c r="AG413" t="s">
        <v>123</v>
      </c>
      <c r="AH413" t="s">
        <v>124</v>
      </c>
      <c r="AI413" t="s">
        <v>3698</v>
      </c>
      <c r="AJ413" t="s">
        <v>126</v>
      </c>
      <c r="AK413" t="s">
        <v>127</v>
      </c>
      <c r="AM413" t="s">
        <v>3699</v>
      </c>
      <c r="AN413" t="s">
        <v>3700</v>
      </c>
      <c r="AO413" t="s">
        <v>3701</v>
      </c>
      <c r="AP413" t="s">
        <v>131</v>
      </c>
      <c r="AQ413" t="s">
        <v>132</v>
      </c>
      <c r="AR413" t="s">
        <v>756</v>
      </c>
      <c r="AS413" t="s">
        <v>3702</v>
      </c>
      <c r="AU413" t="s">
        <v>389</v>
      </c>
      <c r="AV413" t="s">
        <v>626</v>
      </c>
      <c r="AX413" t="s">
        <v>177</v>
      </c>
      <c r="AY413" t="s">
        <v>364</v>
      </c>
      <c r="AZ413" t="s">
        <v>3703</v>
      </c>
      <c r="BB413" t="s">
        <v>140</v>
      </c>
    </row>
    <row r="414" spans="1:54" x14ac:dyDescent="0.35">
      <c r="A414" t="s">
        <v>3704</v>
      </c>
      <c r="B414" t="s">
        <v>107</v>
      </c>
      <c r="C414" t="s">
        <v>107</v>
      </c>
      <c r="F414" t="s">
        <v>613</v>
      </c>
      <c r="G414" t="s">
        <v>614</v>
      </c>
      <c r="H414" t="s">
        <v>615</v>
      </c>
      <c r="I414" t="s">
        <v>271</v>
      </c>
      <c r="J414" t="s">
        <v>113</v>
      </c>
      <c r="K414" t="s">
        <v>114</v>
      </c>
      <c r="L414" t="s">
        <v>114</v>
      </c>
      <c r="M414" t="s">
        <v>114</v>
      </c>
      <c r="N414" t="s">
        <v>114</v>
      </c>
      <c r="O414" t="s">
        <v>114</v>
      </c>
      <c r="P414" t="s">
        <v>114</v>
      </c>
      <c r="Q414" t="s">
        <v>114</v>
      </c>
      <c r="R414" t="s">
        <v>114</v>
      </c>
      <c r="S414" t="s">
        <v>114</v>
      </c>
      <c r="T414" t="s">
        <v>114</v>
      </c>
      <c r="V414" t="s">
        <v>114</v>
      </c>
      <c r="W414" t="s">
        <v>114</v>
      </c>
      <c r="Y414" t="s">
        <v>3705</v>
      </c>
      <c r="Z414" t="s">
        <v>3706</v>
      </c>
      <c r="AA414" t="s">
        <v>3707</v>
      </c>
      <c r="AB414" t="s">
        <v>3686</v>
      </c>
      <c r="AC414" t="s">
        <v>3708</v>
      </c>
      <c r="AG414" t="s">
        <v>123</v>
      </c>
      <c r="AH414" t="s">
        <v>124</v>
      </c>
      <c r="AI414" t="s">
        <v>3709</v>
      </c>
      <c r="AJ414" t="s">
        <v>126</v>
      </c>
      <c r="AK414" t="s">
        <v>127</v>
      </c>
      <c r="AM414" t="s">
        <v>3710</v>
      </c>
      <c r="AN414" t="s">
        <v>3711</v>
      </c>
      <c r="AO414" t="s">
        <v>3712</v>
      </c>
      <c r="AP414" t="s">
        <v>131</v>
      </c>
      <c r="AQ414" t="s">
        <v>132</v>
      </c>
      <c r="AR414" t="s">
        <v>1267</v>
      </c>
      <c r="AS414" t="s">
        <v>2503</v>
      </c>
      <c r="AU414" t="s">
        <v>481</v>
      </c>
      <c r="AV414" t="s">
        <v>1135</v>
      </c>
      <c r="AX414" t="s">
        <v>177</v>
      </c>
      <c r="AY414" t="s">
        <v>627</v>
      </c>
      <c r="AZ414" t="s">
        <v>3713</v>
      </c>
      <c r="BB414" t="s">
        <v>140</v>
      </c>
    </row>
    <row r="415" spans="1:54" x14ac:dyDescent="0.35">
      <c r="A415" t="s">
        <v>3714</v>
      </c>
      <c r="B415" t="s">
        <v>107</v>
      </c>
      <c r="C415" t="s">
        <v>107</v>
      </c>
      <c r="F415" t="s">
        <v>358</v>
      </c>
      <c r="G415" t="s">
        <v>359</v>
      </c>
      <c r="H415" t="s">
        <v>360</v>
      </c>
      <c r="I415" t="s">
        <v>341</v>
      </c>
      <c r="J415" t="s">
        <v>113</v>
      </c>
      <c r="K415" t="s">
        <v>114</v>
      </c>
      <c r="L415" t="s">
        <v>114</v>
      </c>
      <c r="M415" t="s">
        <v>114</v>
      </c>
      <c r="N415" t="s">
        <v>114</v>
      </c>
      <c r="O415" t="s">
        <v>114</v>
      </c>
      <c r="P415" t="s">
        <v>114</v>
      </c>
      <c r="Q415" t="s">
        <v>114</v>
      </c>
      <c r="R415" t="s">
        <v>114</v>
      </c>
      <c r="S415" t="s">
        <v>114</v>
      </c>
      <c r="T415" t="s">
        <v>114</v>
      </c>
      <c r="V415" t="s">
        <v>114</v>
      </c>
      <c r="W415" t="s">
        <v>114</v>
      </c>
      <c r="Y415" t="s">
        <v>3715</v>
      </c>
      <c r="Z415" t="s">
        <v>3715</v>
      </c>
      <c r="AA415" t="s">
        <v>3707</v>
      </c>
      <c r="AB415" t="s">
        <v>3716</v>
      </c>
      <c r="AC415" t="s">
        <v>3717</v>
      </c>
      <c r="AG415" t="s">
        <v>123</v>
      </c>
      <c r="AH415" t="s">
        <v>124</v>
      </c>
      <c r="AI415" t="s">
        <v>3718</v>
      </c>
      <c r="AJ415" t="s">
        <v>126</v>
      </c>
      <c r="AK415" t="s">
        <v>127</v>
      </c>
      <c r="AM415" t="s">
        <v>3719</v>
      </c>
      <c r="AN415" t="s">
        <v>3720</v>
      </c>
      <c r="AO415" t="s">
        <v>3721</v>
      </c>
      <c r="AP415" t="s">
        <v>131</v>
      </c>
      <c r="AQ415" t="s">
        <v>132</v>
      </c>
      <c r="AR415" t="s">
        <v>152</v>
      </c>
      <c r="AS415" t="s">
        <v>3516</v>
      </c>
      <c r="AU415" t="s">
        <v>3722</v>
      </c>
      <c r="AX415" t="s">
        <v>177</v>
      </c>
      <c r="AY415" t="s">
        <v>364</v>
      </c>
      <c r="AZ415" t="s">
        <v>3723</v>
      </c>
      <c r="BB415" t="s">
        <v>140</v>
      </c>
    </row>
    <row r="416" spans="1:54" x14ac:dyDescent="0.35">
      <c r="A416" t="s">
        <v>3724</v>
      </c>
      <c r="B416" t="s">
        <v>107</v>
      </c>
      <c r="C416" t="s">
        <v>107</v>
      </c>
      <c r="F416" t="s">
        <v>358</v>
      </c>
      <c r="G416" t="s">
        <v>359</v>
      </c>
      <c r="H416" t="s">
        <v>360</v>
      </c>
      <c r="I416" t="s">
        <v>341</v>
      </c>
      <c r="J416" t="s">
        <v>113</v>
      </c>
      <c r="K416" t="s">
        <v>114</v>
      </c>
      <c r="L416" t="s">
        <v>114</v>
      </c>
      <c r="M416" t="s">
        <v>114</v>
      </c>
      <c r="N416" t="s">
        <v>114</v>
      </c>
      <c r="O416" t="s">
        <v>114</v>
      </c>
      <c r="P416" t="s">
        <v>114</v>
      </c>
      <c r="Q416" t="s">
        <v>114</v>
      </c>
      <c r="R416" t="s">
        <v>114</v>
      </c>
      <c r="S416" t="s">
        <v>114</v>
      </c>
      <c r="T416" t="s">
        <v>114</v>
      </c>
      <c r="V416" t="s">
        <v>114</v>
      </c>
      <c r="W416" t="s">
        <v>114</v>
      </c>
      <c r="Y416" t="s">
        <v>3725</v>
      </c>
      <c r="Z416" t="s">
        <v>3725</v>
      </c>
      <c r="AA416" t="s">
        <v>3726</v>
      </c>
      <c r="AB416" t="s">
        <v>3727</v>
      </c>
      <c r="AC416" t="s">
        <v>3728</v>
      </c>
      <c r="AG416" t="s">
        <v>123</v>
      </c>
      <c r="AH416" t="s">
        <v>124</v>
      </c>
      <c r="AI416" t="s">
        <v>3729</v>
      </c>
      <c r="AJ416" t="s">
        <v>126</v>
      </c>
      <c r="AK416" t="s">
        <v>127</v>
      </c>
      <c r="AM416" t="s">
        <v>3730</v>
      </c>
      <c r="AN416" t="s">
        <v>3731</v>
      </c>
      <c r="AO416" t="s">
        <v>3732</v>
      </c>
      <c r="AP416" t="s">
        <v>131</v>
      </c>
      <c r="AQ416" t="s">
        <v>132</v>
      </c>
      <c r="AR416" t="s">
        <v>1440</v>
      </c>
      <c r="AS416" t="s">
        <v>494</v>
      </c>
      <c r="AU416" t="s">
        <v>1821</v>
      </c>
      <c r="AX416" t="s">
        <v>177</v>
      </c>
      <c r="AY416" t="s">
        <v>364</v>
      </c>
      <c r="AZ416" t="s">
        <v>3733</v>
      </c>
      <c r="BB416" t="s">
        <v>140</v>
      </c>
    </row>
    <row r="417" spans="1:54" x14ac:dyDescent="0.35">
      <c r="A417" t="s">
        <v>3734</v>
      </c>
      <c r="B417" t="s">
        <v>107</v>
      </c>
      <c r="C417" t="s">
        <v>107</v>
      </c>
      <c r="F417" t="s">
        <v>358</v>
      </c>
      <c r="G417" t="s">
        <v>359</v>
      </c>
      <c r="H417" t="s">
        <v>360</v>
      </c>
      <c r="I417" t="s">
        <v>341</v>
      </c>
      <c r="J417" t="s">
        <v>113</v>
      </c>
      <c r="K417" t="s">
        <v>114</v>
      </c>
      <c r="L417" t="s">
        <v>114</v>
      </c>
      <c r="M417" t="s">
        <v>114</v>
      </c>
      <c r="N417" t="s">
        <v>114</v>
      </c>
      <c r="O417" t="s">
        <v>114</v>
      </c>
      <c r="P417" t="s">
        <v>114</v>
      </c>
      <c r="Q417" t="s">
        <v>114</v>
      </c>
      <c r="R417" t="s">
        <v>114</v>
      </c>
      <c r="S417" t="s">
        <v>114</v>
      </c>
      <c r="T417" t="s">
        <v>114</v>
      </c>
      <c r="V417" t="s">
        <v>114</v>
      </c>
      <c r="W417" t="s">
        <v>114</v>
      </c>
      <c r="Y417" t="s">
        <v>3735</v>
      </c>
      <c r="Z417" t="s">
        <v>3735</v>
      </c>
      <c r="AA417" t="s">
        <v>3736</v>
      </c>
      <c r="AB417" t="s">
        <v>3737</v>
      </c>
      <c r="AC417" t="s">
        <v>3738</v>
      </c>
      <c r="AG417" t="s">
        <v>123</v>
      </c>
      <c r="AH417" t="s">
        <v>124</v>
      </c>
      <c r="AI417" t="s">
        <v>3739</v>
      </c>
      <c r="AJ417" t="s">
        <v>126</v>
      </c>
      <c r="AK417" t="s">
        <v>127</v>
      </c>
      <c r="AM417" t="s">
        <v>3740</v>
      </c>
      <c r="AN417" t="s">
        <v>3741</v>
      </c>
      <c r="AO417" t="s">
        <v>3742</v>
      </c>
      <c r="AP417" t="s">
        <v>131</v>
      </c>
      <c r="AQ417" t="s">
        <v>132</v>
      </c>
      <c r="AR417" t="s">
        <v>202</v>
      </c>
      <c r="AS417" t="s">
        <v>1489</v>
      </c>
      <c r="AU417" t="s">
        <v>1195</v>
      </c>
      <c r="AV417" t="s">
        <v>892</v>
      </c>
      <c r="AX417" t="s">
        <v>177</v>
      </c>
      <c r="AY417" t="s">
        <v>364</v>
      </c>
      <c r="AZ417" t="s">
        <v>3743</v>
      </c>
      <c r="BB417" t="s">
        <v>140</v>
      </c>
    </row>
    <row r="418" spans="1:54" x14ac:dyDescent="0.35">
      <c r="A418" t="s">
        <v>3744</v>
      </c>
      <c r="B418" t="s">
        <v>107</v>
      </c>
      <c r="C418" t="s">
        <v>107</v>
      </c>
      <c r="F418" t="s">
        <v>358</v>
      </c>
      <c r="G418" t="s">
        <v>359</v>
      </c>
      <c r="H418" t="s">
        <v>360</v>
      </c>
      <c r="I418" t="s">
        <v>341</v>
      </c>
      <c r="J418" t="s">
        <v>113</v>
      </c>
      <c r="K418" t="s">
        <v>114</v>
      </c>
      <c r="L418" t="s">
        <v>114</v>
      </c>
      <c r="M418" t="s">
        <v>114</v>
      </c>
      <c r="N418" t="s">
        <v>114</v>
      </c>
      <c r="O418" t="s">
        <v>114</v>
      </c>
      <c r="P418" t="s">
        <v>114</v>
      </c>
      <c r="Q418" t="s">
        <v>114</v>
      </c>
      <c r="R418" t="s">
        <v>114</v>
      </c>
      <c r="S418" t="s">
        <v>114</v>
      </c>
      <c r="T418" t="s">
        <v>114</v>
      </c>
      <c r="V418" t="s">
        <v>114</v>
      </c>
      <c r="W418" t="s">
        <v>114</v>
      </c>
      <c r="Y418" t="s">
        <v>3745</v>
      </c>
      <c r="Z418" t="s">
        <v>3745</v>
      </c>
      <c r="AA418" t="s">
        <v>3746</v>
      </c>
      <c r="AB418" t="s">
        <v>3747</v>
      </c>
      <c r="AC418" t="s">
        <v>3748</v>
      </c>
      <c r="AG418" t="s">
        <v>123</v>
      </c>
      <c r="AH418" t="s">
        <v>124</v>
      </c>
      <c r="AI418" t="s">
        <v>3749</v>
      </c>
      <c r="AJ418" t="s">
        <v>126</v>
      </c>
      <c r="AK418" t="s">
        <v>127</v>
      </c>
      <c r="AM418" t="s">
        <v>3750</v>
      </c>
      <c r="AN418" t="s">
        <v>3751</v>
      </c>
      <c r="AO418" t="s">
        <v>3136</v>
      </c>
      <c r="AP418" t="s">
        <v>131</v>
      </c>
      <c r="AQ418" t="s">
        <v>132</v>
      </c>
      <c r="AR418" t="s">
        <v>466</v>
      </c>
      <c r="AS418" t="s">
        <v>467</v>
      </c>
      <c r="AU418" t="s">
        <v>1607</v>
      </c>
      <c r="AV418" t="s">
        <v>190</v>
      </c>
      <c r="AX418" t="s">
        <v>177</v>
      </c>
      <c r="AY418" t="s">
        <v>364</v>
      </c>
      <c r="AZ418" t="s">
        <v>3752</v>
      </c>
      <c r="BB418" t="s">
        <v>140</v>
      </c>
    </row>
    <row r="419" spans="1:54" x14ac:dyDescent="0.35">
      <c r="A419" t="s">
        <v>3753</v>
      </c>
      <c r="B419" t="s">
        <v>107</v>
      </c>
      <c r="C419" t="s">
        <v>107</v>
      </c>
      <c r="F419" t="s">
        <v>358</v>
      </c>
      <c r="G419" t="s">
        <v>359</v>
      </c>
      <c r="H419" t="s">
        <v>360</v>
      </c>
      <c r="I419" t="s">
        <v>341</v>
      </c>
      <c r="J419" t="s">
        <v>113</v>
      </c>
      <c r="K419" t="s">
        <v>114</v>
      </c>
      <c r="L419" t="s">
        <v>114</v>
      </c>
      <c r="M419" t="s">
        <v>114</v>
      </c>
      <c r="N419" t="s">
        <v>114</v>
      </c>
      <c r="O419" t="s">
        <v>114</v>
      </c>
      <c r="P419" t="s">
        <v>114</v>
      </c>
      <c r="Q419" t="s">
        <v>114</v>
      </c>
      <c r="R419" t="s">
        <v>114</v>
      </c>
      <c r="S419" t="s">
        <v>114</v>
      </c>
      <c r="T419" t="s">
        <v>114</v>
      </c>
      <c r="V419" t="s">
        <v>114</v>
      </c>
      <c r="W419" t="s">
        <v>114</v>
      </c>
      <c r="Y419" t="s">
        <v>3754</v>
      </c>
      <c r="Z419" t="s">
        <v>3754</v>
      </c>
      <c r="AA419" t="s">
        <v>3755</v>
      </c>
      <c r="AB419" t="s">
        <v>3756</v>
      </c>
      <c r="AC419" t="s">
        <v>3757</v>
      </c>
      <c r="AG419" t="s">
        <v>123</v>
      </c>
      <c r="AH419" t="s">
        <v>124</v>
      </c>
      <c r="AI419" t="s">
        <v>3758</v>
      </c>
      <c r="AJ419" t="s">
        <v>126</v>
      </c>
      <c r="AK419" t="s">
        <v>127</v>
      </c>
      <c r="AM419" t="s">
        <v>3759</v>
      </c>
      <c r="AN419" t="s">
        <v>3760</v>
      </c>
      <c r="AO419" t="s">
        <v>3761</v>
      </c>
      <c r="AP419" t="s">
        <v>131</v>
      </c>
      <c r="AQ419" t="s">
        <v>132</v>
      </c>
      <c r="AR419" t="s">
        <v>839</v>
      </c>
      <c r="AS419" t="s">
        <v>840</v>
      </c>
      <c r="AU419" t="s">
        <v>759</v>
      </c>
      <c r="AV419" t="s">
        <v>375</v>
      </c>
      <c r="AX419" t="s">
        <v>177</v>
      </c>
      <c r="AY419" t="s">
        <v>364</v>
      </c>
      <c r="AZ419" t="s">
        <v>3762</v>
      </c>
      <c r="BB419" t="s">
        <v>140</v>
      </c>
    </row>
    <row r="420" spans="1:54" x14ac:dyDescent="0.35">
      <c r="A420" t="s">
        <v>3763</v>
      </c>
      <c r="B420" t="s">
        <v>107</v>
      </c>
      <c r="C420" t="s">
        <v>107</v>
      </c>
      <c r="E420" t="s">
        <v>108</v>
      </c>
      <c r="F420" t="s">
        <v>613</v>
      </c>
      <c r="G420" t="s">
        <v>614</v>
      </c>
      <c r="H420" t="s">
        <v>615</v>
      </c>
      <c r="I420" t="s">
        <v>271</v>
      </c>
      <c r="J420" t="s">
        <v>113</v>
      </c>
      <c r="K420" t="s">
        <v>114</v>
      </c>
      <c r="L420" t="s">
        <v>2550</v>
      </c>
      <c r="M420" t="s">
        <v>2550</v>
      </c>
      <c r="N420" t="s">
        <v>114</v>
      </c>
      <c r="O420" t="s">
        <v>2551</v>
      </c>
      <c r="P420" t="s">
        <v>2552</v>
      </c>
      <c r="Q420" t="s">
        <v>114</v>
      </c>
      <c r="R420" t="s">
        <v>180</v>
      </c>
      <c r="S420" t="s">
        <v>114</v>
      </c>
      <c r="T420" t="s">
        <v>180</v>
      </c>
      <c r="V420" t="s">
        <v>114</v>
      </c>
      <c r="W420" t="s">
        <v>2552</v>
      </c>
      <c r="Y420" t="s">
        <v>3764</v>
      </c>
      <c r="Z420" t="s">
        <v>3765</v>
      </c>
      <c r="AA420" t="s">
        <v>3766</v>
      </c>
      <c r="AB420" t="s">
        <v>3767</v>
      </c>
      <c r="AC420" t="s">
        <v>3768</v>
      </c>
      <c r="AG420" t="s">
        <v>123</v>
      </c>
      <c r="AH420" t="s">
        <v>124</v>
      </c>
      <c r="AI420" t="s">
        <v>3769</v>
      </c>
      <c r="AJ420" t="s">
        <v>126</v>
      </c>
      <c r="AK420" t="s">
        <v>127</v>
      </c>
      <c r="AM420" t="s">
        <v>3770</v>
      </c>
      <c r="AN420" t="s">
        <v>1305</v>
      </c>
      <c r="AO420" t="s">
        <v>3771</v>
      </c>
      <c r="AP420" t="s">
        <v>131</v>
      </c>
      <c r="AQ420" t="s">
        <v>132</v>
      </c>
      <c r="AR420" t="s">
        <v>1318</v>
      </c>
      <c r="AS420" t="s">
        <v>1319</v>
      </c>
      <c r="AU420" t="s">
        <v>3150</v>
      </c>
      <c r="AV420" t="s">
        <v>1928</v>
      </c>
      <c r="AW420" t="s">
        <v>317</v>
      </c>
      <c r="AX420" t="s">
        <v>177</v>
      </c>
      <c r="AY420" t="s">
        <v>627</v>
      </c>
      <c r="AZ420" t="s">
        <v>3772</v>
      </c>
      <c r="BB420" t="s">
        <v>140</v>
      </c>
    </row>
    <row r="421" spans="1:54" x14ac:dyDescent="0.35">
      <c r="A421" t="s">
        <v>3773</v>
      </c>
      <c r="B421" t="s">
        <v>107</v>
      </c>
      <c r="C421" t="s">
        <v>107</v>
      </c>
      <c r="E421" t="s">
        <v>108</v>
      </c>
      <c r="F421" t="s">
        <v>499</v>
      </c>
      <c r="G421" t="s">
        <v>500</v>
      </c>
      <c r="H421" t="s">
        <v>501</v>
      </c>
      <c r="I421" t="s">
        <v>341</v>
      </c>
      <c r="J421" t="s">
        <v>113</v>
      </c>
      <c r="K421" t="s">
        <v>114</v>
      </c>
      <c r="L421" t="s">
        <v>502</v>
      </c>
      <c r="M421" t="s">
        <v>502</v>
      </c>
      <c r="N421" t="s">
        <v>113</v>
      </c>
      <c r="O421" t="s">
        <v>504</v>
      </c>
      <c r="P421" t="s">
        <v>3608</v>
      </c>
      <c r="Q421" t="s">
        <v>3774</v>
      </c>
      <c r="R421" t="s">
        <v>3774</v>
      </c>
      <c r="S421" t="s">
        <v>114</v>
      </c>
      <c r="T421" t="s">
        <v>114</v>
      </c>
      <c r="V421" t="s">
        <v>114</v>
      </c>
      <c r="W421" t="s">
        <v>3775</v>
      </c>
      <c r="Y421" t="s">
        <v>3776</v>
      </c>
      <c r="Z421" t="s">
        <v>3777</v>
      </c>
      <c r="AA421" t="s">
        <v>3778</v>
      </c>
      <c r="AB421" t="s">
        <v>3779</v>
      </c>
      <c r="AC421" t="s">
        <v>3777</v>
      </c>
      <c r="AG421" t="s">
        <v>123</v>
      </c>
      <c r="AH421" t="s">
        <v>124</v>
      </c>
      <c r="AI421" t="s">
        <v>3780</v>
      </c>
      <c r="AJ421" t="s">
        <v>126</v>
      </c>
      <c r="AK421" t="s">
        <v>127</v>
      </c>
      <c r="AM421" t="s">
        <v>3781</v>
      </c>
      <c r="AN421" t="s">
        <v>3782</v>
      </c>
      <c r="AO421" t="s">
        <v>3783</v>
      </c>
      <c r="AP421" t="s">
        <v>131</v>
      </c>
      <c r="AQ421" t="s">
        <v>403</v>
      </c>
      <c r="AR421" t="s">
        <v>3784</v>
      </c>
      <c r="AS421" t="s">
        <v>3785</v>
      </c>
      <c r="AU421" t="s">
        <v>940</v>
      </c>
      <c r="AW421" t="s">
        <v>136</v>
      </c>
      <c r="AX421" t="s">
        <v>177</v>
      </c>
      <c r="AY421" t="s">
        <v>517</v>
      </c>
      <c r="AZ421" t="s">
        <v>3786</v>
      </c>
      <c r="BB421" t="s">
        <v>140</v>
      </c>
    </row>
    <row r="422" spans="1:54" x14ac:dyDescent="0.35">
      <c r="A422" t="s">
        <v>3787</v>
      </c>
      <c r="B422" t="s">
        <v>336</v>
      </c>
      <c r="C422" t="s">
        <v>336</v>
      </c>
      <c r="D422" t="s">
        <v>337</v>
      </c>
      <c r="E422" t="s">
        <v>108</v>
      </c>
      <c r="F422" t="s">
        <v>613</v>
      </c>
      <c r="G422" t="s">
        <v>614</v>
      </c>
      <c r="H422" t="s">
        <v>615</v>
      </c>
      <c r="I422" t="s">
        <v>271</v>
      </c>
      <c r="J422" t="s">
        <v>113</v>
      </c>
      <c r="K422" t="s">
        <v>113</v>
      </c>
      <c r="L422" t="s">
        <v>2550</v>
      </c>
      <c r="M422" t="s">
        <v>2550</v>
      </c>
      <c r="N422" t="s">
        <v>3788</v>
      </c>
      <c r="O422" t="s">
        <v>3789</v>
      </c>
      <c r="P422" t="s">
        <v>3790</v>
      </c>
      <c r="Q422" t="s">
        <v>114</v>
      </c>
      <c r="R422" t="s">
        <v>180</v>
      </c>
      <c r="S422" t="s">
        <v>114</v>
      </c>
      <c r="T422" t="s">
        <v>180</v>
      </c>
      <c r="V422" t="s">
        <v>114</v>
      </c>
      <c r="W422" t="s">
        <v>3790</v>
      </c>
      <c r="X422" t="s">
        <v>3790</v>
      </c>
      <c r="Y422" t="s">
        <v>3791</v>
      </c>
      <c r="AD422" t="s">
        <v>3792</v>
      </c>
      <c r="AE422" t="s">
        <v>346</v>
      </c>
      <c r="AF422" t="s">
        <v>347</v>
      </c>
      <c r="AG422" t="s">
        <v>123</v>
      </c>
      <c r="AH422" t="s">
        <v>124</v>
      </c>
      <c r="AJ422" t="s">
        <v>126</v>
      </c>
      <c r="AM422" t="s">
        <v>3793</v>
      </c>
      <c r="AN422" t="s">
        <v>1144</v>
      </c>
      <c r="AO422" t="s">
        <v>3794</v>
      </c>
      <c r="AP422" t="s">
        <v>131</v>
      </c>
      <c r="AQ422" t="s">
        <v>132</v>
      </c>
      <c r="AR422" t="s">
        <v>352</v>
      </c>
      <c r="AS422" t="s">
        <v>667</v>
      </c>
      <c r="AU422" t="s">
        <v>3795</v>
      </c>
      <c r="AV422" t="s">
        <v>354</v>
      </c>
      <c r="AW422" t="s">
        <v>317</v>
      </c>
      <c r="AX422" t="s">
        <v>177</v>
      </c>
      <c r="AY422" t="s">
        <v>627</v>
      </c>
    </row>
    <row r="423" spans="1:54" x14ac:dyDescent="0.35">
      <c r="A423" t="s">
        <v>3796</v>
      </c>
      <c r="B423" t="s">
        <v>107</v>
      </c>
      <c r="C423" t="s">
        <v>107</v>
      </c>
      <c r="F423" t="s">
        <v>158</v>
      </c>
      <c r="G423" t="s">
        <v>159</v>
      </c>
      <c r="H423" t="s">
        <v>111</v>
      </c>
      <c r="I423" t="s">
        <v>341</v>
      </c>
      <c r="J423" t="s">
        <v>113</v>
      </c>
      <c r="K423" t="s">
        <v>114</v>
      </c>
      <c r="L423" t="s">
        <v>114</v>
      </c>
      <c r="M423" t="s">
        <v>114</v>
      </c>
      <c r="N423" t="s">
        <v>114</v>
      </c>
      <c r="O423" t="s">
        <v>114</v>
      </c>
      <c r="P423" t="s">
        <v>114</v>
      </c>
      <c r="Q423" t="s">
        <v>114</v>
      </c>
      <c r="R423" t="s">
        <v>114</v>
      </c>
      <c r="S423" t="s">
        <v>114</v>
      </c>
      <c r="T423" t="s">
        <v>114</v>
      </c>
      <c r="V423" t="s">
        <v>114</v>
      </c>
      <c r="W423" t="s">
        <v>114</v>
      </c>
      <c r="Y423" t="s">
        <v>3797</v>
      </c>
      <c r="Z423" t="s">
        <v>3797</v>
      </c>
      <c r="AA423" t="s">
        <v>3798</v>
      </c>
      <c r="AB423" t="s">
        <v>3799</v>
      </c>
      <c r="AC423" t="s">
        <v>3800</v>
      </c>
      <c r="AG423" t="s">
        <v>123</v>
      </c>
      <c r="AH423" t="s">
        <v>124</v>
      </c>
      <c r="AI423" t="s">
        <v>3801</v>
      </c>
      <c r="AJ423" t="s">
        <v>126</v>
      </c>
      <c r="AK423" t="s">
        <v>127</v>
      </c>
      <c r="AM423" t="s">
        <v>3802</v>
      </c>
      <c r="AN423" t="s">
        <v>3803</v>
      </c>
      <c r="AO423" t="s">
        <v>3804</v>
      </c>
      <c r="AP423" t="s">
        <v>131</v>
      </c>
      <c r="AQ423" t="s">
        <v>132</v>
      </c>
      <c r="AR423" t="s">
        <v>2134</v>
      </c>
      <c r="AS423" t="s">
        <v>3805</v>
      </c>
      <c r="AU423" t="s">
        <v>625</v>
      </c>
      <c r="AX423" t="s">
        <v>177</v>
      </c>
      <c r="AY423" t="s">
        <v>138</v>
      </c>
      <c r="AZ423" t="s">
        <v>3806</v>
      </c>
      <c r="BB423" t="s">
        <v>140</v>
      </c>
    </row>
    <row r="424" spans="1:54" x14ac:dyDescent="0.35">
      <c r="A424" t="s">
        <v>3807</v>
      </c>
      <c r="B424" t="s">
        <v>107</v>
      </c>
      <c r="C424" t="s">
        <v>107</v>
      </c>
      <c r="F424" t="s">
        <v>358</v>
      </c>
      <c r="G424" t="s">
        <v>359</v>
      </c>
      <c r="H424" t="s">
        <v>360</v>
      </c>
      <c r="I424" t="s">
        <v>341</v>
      </c>
      <c r="J424" t="s">
        <v>113</v>
      </c>
      <c r="K424" t="s">
        <v>114</v>
      </c>
      <c r="L424" t="s">
        <v>114</v>
      </c>
      <c r="M424" t="s">
        <v>114</v>
      </c>
      <c r="N424" t="s">
        <v>114</v>
      </c>
      <c r="O424" t="s">
        <v>114</v>
      </c>
      <c r="P424" t="s">
        <v>114</v>
      </c>
      <c r="Q424" t="s">
        <v>114</v>
      </c>
      <c r="R424" t="s">
        <v>114</v>
      </c>
      <c r="S424" t="s">
        <v>114</v>
      </c>
      <c r="T424" t="s">
        <v>114</v>
      </c>
      <c r="V424" t="s">
        <v>114</v>
      </c>
      <c r="W424" t="s">
        <v>114</v>
      </c>
      <c r="Y424" t="s">
        <v>3808</v>
      </c>
      <c r="Z424" t="s">
        <v>3808</v>
      </c>
      <c r="AA424" t="s">
        <v>3809</v>
      </c>
      <c r="AB424" t="s">
        <v>3810</v>
      </c>
      <c r="AC424" t="s">
        <v>3811</v>
      </c>
      <c r="AG424" t="s">
        <v>123</v>
      </c>
      <c r="AH424" t="s">
        <v>124</v>
      </c>
      <c r="AI424" t="s">
        <v>3812</v>
      </c>
      <c r="AJ424" t="s">
        <v>126</v>
      </c>
      <c r="AK424" t="s">
        <v>127</v>
      </c>
      <c r="AM424" t="s">
        <v>3813</v>
      </c>
      <c r="AN424" t="s">
        <v>3814</v>
      </c>
      <c r="AO424" t="s">
        <v>3815</v>
      </c>
      <c r="AP424" t="s">
        <v>131</v>
      </c>
      <c r="AQ424" t="s">
        <v>403</v>
      </c>
      <c r="AR424" t="s">
        <v>387</v>
      </c>
      <c r="AS424" t="s">
        <v>3038</v>
      </c>
      <c r="AU424" t="s">
        <v>1821</v>
      </c>
      <c r="AX424" t="s">
        <v>177</v>
      </c>
      <c r="AY424" t="s">
        <v>364</v>
      </c>
      <c r="AZ424" t="s">
        <v>3816</v>
      </c>
      <c r="BB424" t="s">
        <v>140</v>
      </c>
    </row>
    <row r="425" spans="1:54" x14ac:dyDescent="0.35">
      <c r="A425" t="s">
        <v>3817</v>
      </c>
      <c r="B425" t="s">
        <v>107</v>
      </c>
      <c r="C425" t="s">
        <v>107</v>
      </c>
      <c r="F425" t="s">
        <v>613</v>
      </c>
      <c r="G425" t="s">
        <v>614</v>
      </c>
      <c r="H425" t="s">
        <v>615</v>
      </c>
      <c r="I425" t="s">
        <v>271</v>
      </c>
      <c r="J425" t="s">
        <v>113</v>
      </c>
      <c r="K425" t="s">
        <v>114</v>
      </c>
      <c r="L425" t="s">
        <v>114</v>
      </c>
      <c r="M425" t="s">
        <v>114</v>
      </c>
      <c r="N425" t="s">
        <v>114</v>
      </c>
      <c r="O425" t="s">
        <v>114</v>
      </c>
      <c r="P425" t="s">
        <v>114</v>
      </c>
      <c r="Q425" t="s">
        <v>114</v>
      </c>
      <c r="R425" t="s">
        <v>114</v>
      </c>
      <c r="S425" t="s">
        <v>114</v>
      </c>
      <c r="T425" t="s">
        <v>114</v>
      </c>
      <c r="V425" t="s">
        <v>114</v>
      </c>
      <c r="W425" t="s">
        <v>114</v>
      </c>
      <c r="Y425" t="s">
        <v>3818</v>
      </c>
      <c r="Z425" t="s">
        <v>3818</v>
      </c>
      <c r="AA425" t="s">
        <v>3819</v>
      </c>
      <c r="AB425" t="s">
        <v>3820</v>
      </c>
      <c r="AC425" t="s">
        <v>3821</v>
      </c>
      <c r="AG425" t="s">
        <v>123</v>
      </c>
      <c r="AH425" t="s">
        <v>124</v>
      </c>
      <c r="AI425" t="s">
        <v>3822</v>
      </c>
      <c r="AJ425" t="s">
        <v>126</v>
      </c>
      <c r="AK425" t="s">
        <v>127</v>
      </c>
      <c r="AM425" t="s">
        <v>3823</v>
      </c>
      <c r="AN425" t="s">
        <v>3824</v>
      </c>
      <c r="AO425" t="s">
        <v>3825</v>
      </c>
      <c r="AP425" t="s">
        <v>131</v>
      </c>
      <c r="AQ425" t="s">
        <v>132</v>
      </c>
      <c r="AR425" t="s">
        <v>3082</v>
      </c>
      <c r="AS425" t="s">
        <v>3083</v>
      </c>
      <c r="AU425" t="s">
        <v>406</v>
      </c>
      <c r="AV425" t="s">
        <v>375</v>
      </c>
      <c r="AX425" t="s">
        <v>177</v>
      </c>
      <c r="AY425" t="s">
        <v>627</v>
      </c>
      <c r="AZ425" t="s">
        <v>3826</v>
      </c>
      <c r="BB425" t="s">
        <v>140</v>
      </c>
    </row>
    <row r="426" spans="1:54" x14ac:dyDescent="0.35">
      <c r="A426" t="s">
        <v>3827</v>
      </c>
      <c r="B426" t="s">
        <v>107</v>
      </c>
      <c r="C426" t="s">
        <v>107</v>
      </c>
      <c r="F426" t="s">
        <v>3828</v>
      </c>
      <c r="G426" t="s">
        <v>359</v>
      </c>
      <c r="H426" t="s">
        <v>3829</v>
      </c>
      <c r="I426" t="s">
        <v>341</v>
      </c>
      <c r="J426" t="s">
        <v>113</v>
      </c>
      <c r="K426" t="s">
        <v>114</v>
      </c>
      <c r="L426" t="s">
        <v>114</v>
      </c>
      <c r="M426" t="s">
        <v>114</v>
      </c>
      <c r="N426" t="s">
        <v>114</v>
      </c>
      <c r="O426" t="s">
        <v>114</v>
      </c>
      <c r="P426" t="s">
        <v>114</v>
      </c>
      <c r="Q426" t="s">
        <v>114</v>
      </c>
      <c r="R426" t="s">
        <v>114</v>
      </c>
      <c r="S426" t="s">
        <v>114</v>
      </c>
      <c r="T426" t="s">
        <v>114</v>
      </c>
      <c r="V426" t="s">
        <v>114</v>
      </c>
      <c r="W426" t="s">
        <v>114</v>
      </c>
      <c r="Y426" t="s">
        <v>3830</v>
      </c>
      <c r="Z426" t="s">
        <v>3830</v>
      </c>
      <c r="AA426" t="s">
        <v>3809</v>
      </c>
      <c r="AB426" t="s">
        <v>3820</v>
      </c>
      <c r="AC426" t="s">
        <v>3831</v>
      </c>
      <c r="AG426" t="s">
        <v>123</v>
      </c>
      <c r="AH426" t="s">
        <v>124</v>
      </c>
      <c r="AI426" t="s">
        <v>3832</v>
      </c>
      <c r="AJ426" t="s">
        <v>126</v>
      </c>
      <c r="AK426" t="s">
        <v>127</v>
      </c>
      <c r="AM426" t="s">
        <v>3833</v>
      </c>
      <c r="AN426" t="s">
        <v>3834</v>
      </c>
      <c r="AO426" t="s">
        <v>3835</v>
      </c>
      <c r="AP426" t="s">
        <v>131</v>
      </c>
      <c r="AQ426" t="s">
        <v>132</v>
      </c>
      <c r="AR426" t="s">
        <v>1440</v>
      </c>
      <c r="AS426" t="s">
        <v>1730</v>
      </c>
      <c r="AU426" t="s">
        <v>3836</v>
      </c>
      <c r="AX426" t="s">
        <v>177</v>
      </c>
      <c r="AY426" t="s">
        <v>364</v>
      </c>
      <c r="AZ426" t="s">
        <v>3837</v>
      </c>
      <c r="BB426" t="s">
        <v>140</v>
      </c>
    </row>
    <row r="427" spans="1:54" x14ac:dyDescent="0.35">
      <c r="A427" t="s">
        <v>3838</v>
      </c>
      <c r="B427" t="s">
        <v>107</v>
      </c>
      <c r="C427" t="s">
        <v>107</v>
      </c>
      <c r="E427" t="s">
        <v>108</v>
      </c>
      <c r="F427" t="s">
        <v>338</v>
      </c>
      <c r="G427" t="s">
        <v>339</v>
      </c>
      <c r="H427" t="s">
        <v>340</v>
      </c>
      <c r="I427" t="s">
        <v>341</v>
      </c>
      <c r="J427" t="s">
        <v>113</v>
      </c>
      <c r="K427" t="s">
        <v>114</v>
      </c>
      <c r="L427" t="s">
        <v>114</v>
      </c>
      <c r="M427" t="s">
        <v>114</v>
      </c>
      <c r="N427" t="s">
        <v>114</v>
      </c>
      <c r="O427" t="s">
        <v>114</v>
      </c>
      <c r="P427" t="s">
        <v>114</v>
      </c>
      <c r="Q427" t="s">
        <v>114</v>
      </c>
      <c r="R427" t="s">
        <v>180</v>
      </c>
      <c r="S427" t="s">
        <v>114</v>
      </c>
      <c r="T427" t="s">
        <v>180</v>
      </c>
      <c r="V427" t="s">
        <v>114</v>
      </c>
      <c r="W427" t="s">
        <v>562</v>
      </c>
      <c r="Y427" t="s">
        <v>3839</v>
      </c>
      <c r="Z427" t="s">
        <v>3840</v>
      </c>
      <c r="AA427" t="s">
        <v>3841</v>
      </c>
      <c r="AB427" t="s">
        <v>3842</v>
      </c>
      <c r="AC427" t="s">
        <v>3840</v>
      </c>
      <c r="AG427" t="s">
        <v>123</v>
      </c>
      <c r="AH427" t="s">
        <v>124</v>
      </c>
      <c r="AI427" t="s">
        <v>3843</v>
      </c>
      <c r="AJ427" t="s">
        <v>126</v>
      </c>
      <c r="AK427" t="s">
        <v>127</v>
      </c>
      <c r="AM427" t="s">
        <v>3844</v>
      </c>
      <c r="AN427" t="s">
        <v>3845</v>
      </c>
      <c r="AO427" t="s">
        <v>3846</v>
      </c>
      <c r="AP427" t="s">
        <v>131</v>
      </c>
      <c r="AQ427" t="s">
        <v>132</v>
      </c>
      <c r="AR427" t="s">
        <v>623</v>
      </c>
      <c r="AS427" t="s">
        <v>3847</v>
      </c>
      <c r="AU427" t="s">
        <v>355</v>
      </c>
      <c r="AW427" t="s">
        <v>136</v>
      </c>
      <c r="AX427" t="s">
        <v>177</v>
      </c>
      <c r="AY427" t="s">
        <v>356</v>
      </c>
      <c r="AZ427" t="s">
        <v>3848</v>
      </c>
      <c r="BB427" t="s">
        <v>140</v>
      </c>
    </row>
    <row r="428" spans="1:54" x14ac:dyDescent="0.35">
      <c r="A428" t="s">
        <v>3838</v>
      </c>
      <c r="B428" t="s">
        <v>107</v>
      </c>
      <c r="C428" t="s">
        <v>107</v>
      </c>
      <c r="E428" t="s">
        <v>108</v>
      </c>
      <c r="F428" t="s">
        <v>358</v>
      </c>
      <c r="G428" t="s">
        <v>359</v>
      </c>
      <c r="H428" t="s">
        <v>360</v>
      </c>
      <c r="I428" t="s">
        <v>341</v>
      </c>
      <c r="J428" t="s">
        <v>113</v>
      </c>
      <c r="K428" t="s">
        <v>114</v>
      </c>
      <c r="L428" t="s">
        <v>361</v>
      </c>
      <c r="M428" t="s">
        <v>361</v>
      </c>
      <c r="N428" t="s">
        <v>113</v>
      </c>
      <c r="O428" t="s">
        <v>363</v>
      </c>
      <c r="P428" t="s">
        <v>562</v>
      </c>
      <c r="Q428" t="s">
        <v>114</v>
      </c>
      <c r="R428" t="s">
        <v>180</v>
      </c>
      <c r="S428" t="s">
        <v>114</v>
      </c>
      <c r="T428" t="s">
        <v>180</v>
      </c>
      <c r="V428" t="s">
        <v>114</v>
      </c>
      <c r="W428" t="s">
        <v>562</v>
      </c>
      <c r="Y428" t="s">
        <v>3839</v>
      </c>
      <c r="Z428" t="s">
        <v>3840</v>
      </c>
      <c r="AA428" t="s">
        <v>3841</v>
      </c>
      <c r="AB428" t="s">
        <v>3842</v>
      </c>
      <c r="AC428" t="s">
        <v>3840</v>
      </c>
      <c r="AG428" t="s">
        <v>123</v>
      </c>
      <c r="AH428" t="s">
        <v>124</v>
      </c>
      <c r="AI428" t="s">
        <v>3843</v>
      </c>
      <c r="AJ428" t="s">
        <v>126</v>
      </c>
      <c r="AK428" t="s">
        <v>127</v>
      </c>
      <c r="AM428" t="s">
        <v>3844</v>
      </c>
      <c r="AN428" t="s">
        <v>3845</v>
      </c>
      <c r="AO428" t="s">
        <v>3846</v>
      </c>
      <c r="AP428" t="s">
        <v>131</v>
      </c>
      <c r="AQ428" t="s">
        <v>132</v>
      </c>
      <c r="AR428" t="s">
        <v>623</v>
      </c>
      <c r="AS428" t="s">
        <v>3847</v>
      </c>
      <c r="AU428" t="s">
        <v>355</v>
      </c>
      <c r="AW428" t="s">
        <v>136</v>
      </c>
      <c r="AX428" t="s">
        <v>177</v>
      </c>
      <c r="AY428" t="s">
        <v>364</v>
      </c>
      <c r="AZ428" t="s">
        <v>3848</v>
      </c>
      <c r="BB428" t="s">
        <v>140</v>
      </c>
    </row>
    <row r="429" spans="1:54" x14ac:dyDescent="0.35">
      <c r="A429" t="s">
        <v>3849</v>
      </c>
      <c r="B429" t="s">
        <v>336</v>
      </c>
      <c r="C429" t="s">
        <v>336</v>
      </c>
      <c r="D429" t="s">
        <v>337</v>
      </c>
      <c r="E429" t="s">
        <v>108</v>
      </c>
      <c r="F429" t="s">
        <v>268</v>
      </c>
      <c r="G429" t="s">
        <v>269</v>
      </c>
      <c r="H429" t="s">
        <v>2268</v>
      </c>
      <c r="I429" t="s">
        <v>271</v>
      </c>
      <c r="J429" t="s">
        <v>113</v>
      </c>
      <c r="K429" t="s">
        <v>113</v>
      </c>
      <c r="L429" t="s">
        <v>114</v>
      </c>
      <c r="M429" t="s">
        <v>114</v>
      </c>
      <c r="N429" t="s">
        <v>114</v>
      </c>
      <c r="O429" t="s">
        <v>114</v>
      </c>
      <c r="P429" t="s">
        <v>114</v>
      </c>
      <c r="Q429" t="s">
        <v>114</v>
      </c>
      <c r="R429" t="s">
        <v>180</v>
      </c>
      <c r="S429" t="s">
        <v>114</v>
      </c>
      <c r="T429" t="s">
        <v>180</v>
      </c>
      <c r="V429" t="s">
        <v>114</v>
      </c>
      <c r="W429" t="s">
        <v>1111</v>
      </c>
      <c r="X429" t="s">
        <v>114</v>
      </c>
      <c r="Y429" t="s">
        <v>3850</v>
      </c>
      <c r="AD429" t="s">
        <v>3851</v>
      </c>
      <c r="AE429" t="s">
        <v>474</v>
      </c>
      <c r="AF429" t="s">
        <v>2636</v>
      </c>
      <c r="AG429" t="s">
        <v>123</v>
      </c>
      <c r="AH429" t="s">
        <v>124</v>
      </c>
      <c r="AJ429" t="s">
        <v>126</v>
      </c>
      <c r="AM429" t="s">
        <v>3852</v>
      </c>
      <c r="AN429" t="s">
        <v>3853</v>
      </c>
      <c r="AO429" t="s">
        <v>3854</v>
      </c>
      <c r="AP429" t="s">
        <v>131</v>
      </c>
      <c r="AQ429" t="s">
        <v>132</v>
      </c>
      <c r="AR429" t="s">
        <v>284</v>
      </c>
      <c r="AS429" t="s">
        <v>1194</v>
      </c>
      <c r="AU429" t="s">
        <v>190</v>
      </c>
      <c r="AV429" t="s">
        <v>264</v>
      </c>
      <c r="AW429" t="s">
        <v>317</v>
      </c>
      <c r="AX429" t="s">
        <v>272</v>
      </c>
      <c r="AY429" t="s">
        <v>273</v>
      </c>
    </row>
    <row r="430" spans="1:54" x14ac:dyDescent="0.35">
      <c r="A430" t="s">
        <v>3849</v>
      </c>
      <c r="B430" t="s">
        <v>336</v>
      </c>
      <c r="C430" t="s">
        <v>336</v>
      </c>
      <c r="D430" t="s">
        <v>337</v>
      </c>
      <c r="E430" t="s">
        <v>108</v>
      </c>
      <c r="F430" t="s">
        <v>158</v>
      </c>
      <c r="G430" t="s">
        <v>159</v>
      </c>
      <c r="H430" t="s">
        <v>111</v>
      </c>
      <c r="I430" t="s">
        <v>341</v>
      </c>
      <c r="J430" t="s">
        <v>113</v>
      </c>
      <c r="K430" t="s">
        <v>113</v>
      </c>
      <c r="L430" t="s">
        <v>161</v>
      </c>
      <c r="M430" t="s">
        <v>161</v>
      </c>
      <c r="N430" t="s">
        <v>114</v>
      </c>
      <c r="O430" t="s">
        <v>1110</v>
      </c>
      <c r="P430" t="s">
        <v>1111</v>
      </c>
      <c r="Q430" t="s">
        <v>114</v>
      </c>
      <c r="R430" t="s">
        <v>180</v>
      </c>
      <c r="S430" t="s">
        <v>114</v>
      </c>
      <c r="T430" t="s">
        <v>180</v>
      </c>
      <c r="V430" t="s">
        <v>114</v>
      </c>
      <c r="W430" t="s">
        <v>1111</v>
      </c>
      <c r="X430" t="s">
        <v>1111</v>
      </c>
      <c r="Y430" t="s">
        <v>3850</v>
      </c>
      <c r="AD430" t="s">
        <v>3851</v>
      </c>
      <c r="AE430" t="s">
        <v>474</v>
      </c>
      <c r="AF430" t="s">
        <v>2636</v>
      </c>
      <c r="AG430" t="s">
        <v>123</v>
      </c>
      <c r="AH430" t="s">
        <v>124</v>
      </c>
      <c r="AJ430" t="s">
        <v>126</v>
      </c>
      <c r="AM430" t="s">
        <v>3852</v>
      </c>
      <c r="AN430" t="s">
        <v>3853</v>
      </c>
      <c r="AO430" t="s">
        <v>3854</v>
      </c>
      <c r="AP430" t="s">
        <v>131</v>
      </c>
      <c r="AQ430" t="s">
        <v>132</v>
      </c>
      <c r="AR430" t="s">
        <v>284</v>
      </c>
      <c r="AS430" t="s">
        <v>1194</v>
      </c>
      <c r="AU430" t="s">
        <v>190</v>
      </c>
      <c r="AV430" t="s">
        <v>264</v>
      </c>
      <c r="AW430" t="s">
        <v>317</v>
      </c>
      <c r="AX430" t="s">
        <v>177</v>
      </c>
      <c r="AY430" t="s">
        <v>138</v>
      </c>
    </row>
    <row r="431" spans="1:54" x14ac:dyDescent="0.35">
      <c r="A431" t="s">
        <v>3855</v>
      </c>
      <c r="B431" t="s">
        <v>107</v>
      </c>
      <c r="C431" t="s">
        <v>107</v>
      </c>
      <c r="E431" t="s">
        <v>108</v>
      </c>
      <c r="F431" t="s">
        <v>3856</v>
      </c>
      <c r="G431" t="s">
        <v>3857</v>
      </c>
      <c r="H431" t="s">
        <v>3858</v>
      </c>
      <c r="I431" t="s">
        <v>341</v>
      </c>
      <c r="J431" t="s">
        <v>113</v>
      </c>
      <c r="K431" t="s">
        <v>114</v>
      </c>
      <c r="L431" t="s">
        <v>857</v>
      </c>
      <c r="M431" t="s">
        <v>857</v>
      </c>
      <c r="N431" t="s">
        <v>114</v>
      </c>
      <c r="O431" t="s">
        <v>3459</v>
      </c>
      <c r="P431" t="s">
        <v>3859</v>
      </c>
      <c r="Q431" t="s">
        <v>114</v>
      </c>
      <c r="R431" t="s">
        <v>142</v>
      </c>
      <c r="S431" t="s">
        <v>114</v>
      </c>
      <c r="T431" t="s">
        <v>142</v>
      </c>
      <c r="V431" t="s">
        <v>114</v>
      </c>
      <c r="W431" t="s">
        <v>3859</v>
      </c>
      <c r="Y431" t="s">
        <v>3860</v>
      </c>
      <c r="Z431" t="s">
        <v>3861</v>
      </c>
      <c r="AA431" t="s">
        <v>3862</v>
      </c>
      <c r="AB431" t="s">
        <v>3863</v>
      </c>
      <c r="AC431" t="s">
        <v>3864</v>
      </c>
      <c r="AG431" t="s">
        <v>123</v>
      </c>
      <c r="AH431" t="s">
        <v>124</v>
      </c>
      <c r="AI431" t="s">
        <v>3865</v>
      </c>
      <c r="AJ431" t="s">
        <v>126</v>
      </c>
      <c r="AK431" t="s">
        <v>127</v>
      </c>
      <c r="AM431" t="s">
        <v>3866</v>
      </c>
      <c r="AN431" t="s">
        <v>3867</v>
      </c>
      <c r="AO431" t="s">
        <v>3868</v>
      </c>
      <c r="AP431" t="s">
        <v>131</v>
      </c>
      <c r="AQ431" t="s">
        <v>132</v>
      </c>
      <c r="AR431" t="s">
        <v>387</v>
      </c>
      <c r="AS431" t="s">
        <v>1742</v>
      </c>
      <c r="AU431" t="s">
        <v>798</v>
      </c>
      <c r="AW431" t="s">
        <v>317</v>
      </c>
      <c r="AX431" t="s">
        <v>547</v>
      </c>
      <c r="AY431" t="s">
        <v>273</v>
      </c>
      <c r="AZ431" t="s">
        <v>3869</v>
      </c>
      <c r="BB431" t="s">
        <v>140</v>
      </c>
    </row>
    <row r="432" spans="1:54" x14ac:dyDescent="0.35">
      <c r="A432" t="s">
        <v>3870</v>
      </c>
      <c r="B432" t="s">
        <v>107</v>
      </c>
      <c r="C432" t="s">
        <v>107</v>
      </c>
      <c r="E432" t="s">
        <v>108</v>
      </c>
      <c r="F432" t="s">
        <v>499</v>
      </c>
      <c r="G432" t="s">
        <v>500</v>
      </c>
      <c r="H432" t="s">
        <v>501</v>
      </c>
      <c r="I432" t="s">
        <v>341</v>
      </c>
      <c r="J432" t="s">
        <v>113</v>
      </c>
      <c r="K432" t="s">
        <v>114</v>
      </c>
      <c r="L432" t="s">
        <v>502</v>
      </c>
      <c r="M432" t="s">
        <v>502</v>
      </c>
      <c r="N432" t="s">
        <v>113</v>
      </c>
      <c r="O432" t="s">
        <v>504</v>
      </c>
      <c r="P432" t="s">
        <v>3608</v>
      </c>
      <c r="Q432" t="s">
        <v>142</v>
      </c>
      <c r="R432" t="s">
        <v>142</v>
      </c>
      <c r="S432" t="s">
        <v>114</v>
      </c>
      <c r="T432" t="s">
        <v>114</v>
      </c>
      <c r="V432" t="s">
        <v>114</v>
      </c>
      <c r="W432" t="s">
        <v>275</v>
      </c>
      <c r="Y432" t="s">
        <v>3871</v>
      </c>
      <c r="Z432" t="s">
        <v>3872</v>
      </c>
      <c r="AA432" t="s">
        <v>3873</v>
      </c>
      <c r="AB432" t="s">
        <v>3874</v>
      </c>
      <c r="AC432" t="s">
        <v>3875</v>
      </c>
      <c r="AG432" t="s">
        <v>123</v>
      </c>
      <c r="AH432" t="s">
        <v>124</v>
      </c>
      <c r="AI432" t="s">
        <v>3876</v>
      </c>
      <c r="AJ432" t="s">
        <v>126</v>
      </c>
      <c r="AK432" t="s">
        <v>127</v>
      </c>
      <c r="AM432" t="s">
        <v>3877</v>
      </c>
      <c r="AN432" t="s">
        <v>464</v>
      </c>
      <c r="AO432" t="s">
        <v>3878</v>
      </c>
      <c r="AP432" t="s">
        <v>131</v>
      </c>
      <c r="AQ432" t="s">
        <v>233</v>
      </c>
      <c r="AR432" t="s">
        <v>234</v>
      </c>
      <c r="AS432" t="s">
        <v>3879</v>
      </c>
      <c r="AU432" t="s">
        <v>204</v>
      </c>
      <c r="AV432" t="s">
        <v>131</v>
      </c>
      <c r="AW432" t="s">
        <v>176</v>
      </c>
      <c r="AX432" t="s">
        <v>177</v>
      </c>
      <c r="AY432" t="s">
        <v>517</v>
      </c>
      <c r="AZ432" t="s">
        <v>3880</v>
      </c>
      <c r="BB432" t="s">
        <v>140</v>
      </c>
    </row>
    <row r="433" spans="1:54" x14ac:dyDescent="0.35">
      <c r="A433" t="s">
        <v>3881</v>
      </c>
      <c r="B433" t="s">
        <v>107</v>
      </c>
      <c r="C433" t="s">
        <v>107</v>
      </c>
      <c r="E433" t="s">
        <v>108</v>
      </c>
      <c r="F433" t="s">
        <v>158</v>
      </c>
      <c r="G433" t="s">
        <v>159</v>
      </c>
      <c r="H433" t="s">
        <v>111</v>
      </c>
      <c r="I433" t="s">
        <v>341</v>
      </c>
      <c r="J433" t="s">
        <v>113</v>
      </c>
      <c r="K433" t="s">
        <v>114</v>
      </c>
      <c r="L433" t="s">
        <v>161</v>
      </c>
      <c r="M433" t="s">
        <v>161</v>
      </c>
      <c r="N433" t="s">
        <v>994</v>
      </c>
      <c r="O433" t="s">
        <v>1110</v>
      </c>
      <c r="P433" t="s">
        <v>1151</v>
      </c>
      <c r="Q433" t="s">
        <v>114</v>
      </c>
      <c r="R433" t="s">
        <v>180</v>
      </c>
      <c r="S433" t="s">
        <v>114</v>
      </c>
      <c r="T433" t="s">
        <v>180</v>
      </c>
      <c r="V433" t="s">
        <v>114</v>
      </c>
      <c r="W433" t="s">
        <v>1151</v>
      </c>
      <c r="Y433" t="s">
        <v>3882</v>
      </c>
      <c r="Z433" t="s">
        <v>3883</v>
      </c>
      <c r="AA433" t="s">
        <v>3884</v>
      </c>
      <c r="AB433" t="s">
        <v>3885</v>
      </c>
      <c r="AC433" t="s">
        <v>3883</v>
      </c>
      <c r="AG433" t="s">
        <v>123</v>
      </c>
      <c r="AH433" t="s">
        <v>124</v>
      </c>
      <c r="AI433" t="s">
        <v>3886</v>
      </c>
      <c r="AJ433" t="s">
        <v>126</v>
      </c>
      <c r="AK433" t="s">
        <v>127</v>
      </c>
      <c r="AM433" t="s">
        <v>3887</v>
      </c>
      <c r="AN433" t="s">
        <v>3888</v>
      </c>
      <c r="AO433" t="s">
        <v>3889</v>
      </c>
      <c r="AP433" t="s">
        <v>131</v>
      </c>
      <c r="AQ433" t="s">
        <v>132</v>
      </c>
      <c r="AR433" t="s">
        <v>297</v>
      </c>
      <c r="AS433" t="s">
        <v>3890</v>
      </c>
      <c r="AU433" t="s">
        <v>299</v>
      </c>
      <c r="AW433" t="s">
        <v>136</v>
      </c>
      <c r="AX433" t="s">
        <v>177</v>
      </c>
      <c r="AY433" t="s">
        <v>138</v>
      </c>
      <c r="AZ433" t="s">
        <v>3891</v>
      </c>
      <c r="BB433" t="s">
        <v>140</v>
      </c>
    </row>
    <row r="434" spans="1:54" x14ac:dyDescent="0.35">
      <c r="A434" t="s">
        <v>3881</v>
      </c>
      <c r="B434" t="s">
        <v>107</v>
      </c>
      <c r="C434" t="s">
        <v>107</v>
      </c>
      <c r="E434" t="s">
        <v>108</v>
      </c>
      <c r="F434" t="s">
        <v>268</v>
      </c>
      <c r="G434" t="s">
        <v>269</v>
      </c>
      <c r="H434" t="s">
        <v>2268</v>
      </c>
      <c r="I434" t="s">
        <v>271</v>
      </c>
      <c r="J434" t="s">
        <v>113</v>
      </c>
      <c r="K434" t="s">
        <v>114</v>
      </c>
      <c r="L434" t="s">
        <v>114</v>
      </c>
      <c r="M434" t="s">
        <v>114</v>
      </c>
      <c r="N434" t="s">
        <v>114</v>
      </c>
      <c r="O434" t="s">
        <v>114</v>
      </c>
      <c r="P434" t="s">
        <v>114</v>
      </c>
      <c r="Q434" t="s">
        <v>114</v>
      </c>
      <c r="R434" t="s">
        <v>180</v>
      </c>
      <c r="S434" t="s">
        <v>114</v>
      </c>
      <c r="T434" t="s">
        <v>180</v>
      </c>
      <c r="V434" t="s">
        <v>114</v>
      </c>
      <c r="W434" t="s">
        <v>1151</v>
      </c>
      <c r="Y434" t="s">
        <v>3882</v>
      </c>
      <c r="Z434" t="s">
        <v>3883</v>
      </c>
      <c r="AA434" t="s">
        <v>3884</v>
      </c>
      <c r="AB434" t="s">
        <v>3885</v>
      </c>
      <c r="AC434" t="s">
        <v>3883</v>
      </c>
      <c r="AG434" t="s">
        <v>123</v>
      </c>
      <c r="AH434" t="s">
        <v>124</v>
      </c>
      <c r="AI434" t="s">
        <v>3886</v>
      </c>
      <c r="AJ434" t="s">
        <v>126</v>
      </c>
      <c r="AK434" t="s">
        <v>127</v>
      </c>
      <c r="AM434" t="s">
        <v>3887</v>
      </c>
      <c r="AN434" t="s">
        <v>3888</v>
      </c>
      <c r="AO434" t="s">
        <v>3889</v>
      </c>
      <c r="AP434" t="s">
        <v>131</v>
      </c>
      <c r="AQ434" t="s">
        <v>132</v>
      </c>
      <c r="AR434" t="s">
        <v>297</v>
      </c>
      <c r="AS434" t="s">
        <v>3890</v>
      </c>
      <c r="AU434" t="s">
        <v>299</v>
      </c>
      <c r="AW434" t="s">
        <v>136</v>
      </c>
      <c r="AX434" t="s">
        <v>272</v>
      </c>
      <c r="AY434" t="s">
        <v>273</v>
      </c>
      <c r="AZ434" t="s">
        <v>3891</v>
      </c>
      <c r="BB434" t="s">
        <v>140</v>
      </c>
    </row>
    <row r="435" spans="1:54" x14ac:dyDescent="0.35">
      <c r="A435" t="s">
        <v>3892</v>
      </c>
      <c r="B435" t="s">
        <v>107</v>
      </c>
      <c r="C435" t="s">
        <v>107</v>
      </c>
      <c r="E435" t="s">
        <v>108</v>
      </c>
      <c r="F435" t="s">
        <v>338</v>
      </c>
      <c r="G435" t="s">
        <v>339</v>
      </c>
      <c r="H435" t="s">
        <v>340</v>
      </c>
      <c r="I435" t="s">
        <v>341</v>
      </c>
      <c r="J435" t="s">
        <v>113</v>
      </c>
      <c r="K435" t="s">
        <v>114</v>
      </c>
      <c r="L435" t="s">
        <v>114</v>
      </c>
      <c r="M435" t="s">
        <v>114</v>
      </c>
      <c r="N435" t="s">
        <v>114</v>
      </c>
      <c r="O435" t="s">
        <v>114</v>
      </c>
      <c r="P435" t="s">
        <v>114</v>
      </c>
      <c r="Q435" t="s">
        <v>114</v>
      </c>
      <c r="R435" t="s">
        <v>142</v>
      </c>
      <c r="S435" t="s">
        <v>114</v>
      </c>
      <c r="T435" t="s">
        <v>142</v>
      </c>
      <c r="V435" t="s">
        <v>114</v>
      </c>
      <c r="W435" t="s">
        <v>3893</v>
      </c>
      <c r="Y435" t="s">
        <v>3894</v>
      </c>
      <c r="Z435" t="s">
        <v>3895</v>
      </c>
      <c r="AA435" t="s">
        <v>3896</v>
      </c>
      <c r="AB435" t="s">
        <v>3897</v>
      </c>
      <c r="AC435" t="s">
        <v>3898</v>
      </c>
      <c r="AG435" t="s">
        <v>123</v>
      </c>
      <c r="AH435" t="s">
        <v>124</v>
      </c>
      <c r="AI435" t="s">
        <v>3899</v>
      </c>
      <c r="AJ435" t="s">
        <v>126</v>
      </c>
      <c r="AK435" t="s">
        <v>127</v>
      </c>
      <c r="AM435" t="s">
        <v>3900</v>
      </c>
      <c r="AN435" t="s">
        <v>3901</v>
      </c>
      <c r="AO435" t="s">
        <v>3902</v>
      </c>
      <c r="AP435" t="s">
        <v>131</v>
      </c>
      <c r="AQ435" t="s">
        <v>233</v>
      </c>
      <c r="AR435" t="s">
        <v>234</v>
      </c>
      <c r="AS435" t="s">
        <v>3903</v>
      </c>
      <c r="AU435" t="s">
        <v>1135</v>
      </c>
      <c r="AV435" t="s">
        <v>219</v>
      </c>
      <c r="AW435" t="s">
        <v>176</v>
      </c>
      <c r="AX435" t="s">
        <v>177</v>
      </c>
      <c r="AY435" t="s">
        <v>356</v>
      </c>
      <c r="AZ435" t="s">
        <v>3904</v>
      </c>
      <c r="BB435" t="s">
        <v>140</v>
      </c>
    </row>
    <row r="436" spans="1:54" x14ac:dyDescent="0.35">
      <c r="A436" t="s">
        <v>3892</v>
      </c>
      <c r="B436" t="s">
        <v>107</v>
      </c>
      <c r="C436" t="s">
        <v>107</v>
      </c>
      <c r="E436" t="s">
        <v>108</v>
      </c>
      <c r="F436" t="s">
        <v>358</v>
      </c>
      <c r="G436" t="s">
        <v>359</v>
      </c>
      <c r="H436" t="s">
        <v>360</v>
      </c>
      <c r="I436" t="s">
        <v>341</v>
      </c>
      <c r="J436" t="s">
        <v>1548</v>
      </c>
      <c r="K436" t="s">
        <v>114</v>
      </c>
      <c r="L436" t="s">
        <v>361</v>
      </c>
      <c r="M436" t="s">
        <v>3905</v>
      </c>
      <c r="N436" t="s">
        <v>1548</v>
      </c>
      <c r="O436" t="s">
        <v>3906</v>
      </c>
      <c r="P436" t="s">
        <v>3893</v>
      </c>
      <c r="Q436" t="s">
        <v>114</v>
      </c>
      <c r="R436" t="s">
        <v>142</v>
      </c>
      <c r="S436" t="s">
        <v>114</v>
      </c>
      <c r="T436" t="s">
        <v>142</v>
      </c>
      <c r="V436" t="s">
        <v>114</v>
      </c>
      <c r="W436" t="s">
        <v>3893</v>
      </c>
      <c r="Y436" t="s">
        <v>3894</v>
      </c>
      <c r="Z436" t="s">
        <v>3895</v>
      </c>
      <c r="AA436" t="s">
        <v>3896</v>
      </c>
      <c r="AB436" t="s">
        <v>3897</v>
      </c>
      <c r="AC436" t="s">
        <v>3898</v>
      </c>
      <c r="AG436" t="s">
        <v>123</v>
      </c>
      <c r="AH436" t="s">
        <v>124</v>
      </c>
      <c r="AI436" t="s">
        <v>3899</v>
      </c>
      <c r="AJ436" t="s">
        <v>126</v>
      </c>
      <c r="AK436" t="s">
        <v>127</v>
      </c>
      <c r="AM436" t="s">
        <v>3900</v>
      </c>
      <c r="AN436" t="s">
        <v>3901</v>
      </c>
      <c r="AO436" t="s">
        <v>3902</v>
      </c>
      <c r="AP436" t="s">
        <v>131</v>
      </c>
      <c r="AQ436" t="s">
        <v>233</v>
      </c>
      <c r="AR436" t="s">
        <v>234</v>
      </c>
      <c r="AS436" t="s">
        <v>3903</v>
      </c>
      <c r="AU436" t="s">
        <v>1135</v>
      </c>
      <c r="AV436" t="s">
        <v>219</v>
      </c>
      <c r="AW436" t="s">
        <v>176</v>
      </c>
      <c r="AX436" t="s">
        <v>1562</v>
      </c>
      <c r="AY436" t="s">
        <v>364</v>
      </c>
      <c r="AZ436" t="s">
        <v>3904</v>
      </c>
      <c r="BB436" t="s">
        <v>140</v>
      </c>
    </row>
    <row r="437" spans="1:54" x14ac:dyDescent="0.35">
      <c r="A437" t="s">
        <v>3907</v>
      </c>
      <c r="B437" t="s">
        <v>107</v>
      </c>
      <c r="C437" t="s">
        <v>107</v>
      </c>
      <c r="E437" t="s">
        <v>108</v>
      </c>
      <c r="F437" t="s">
        <v>338</v>
      </c>
      <c r="G437" t="s">
        <v>339</v>
      </c>
      <c r="H437" t="s">
        <v>340</v>
      </c>
      <c r="I437" t="s">
        <v>341</v>
      </c>
      <c r="J437" t="s">
        <v>113</v>
      </c>
      <c r="K437" t="s">
        <v>114</v>
      </c>
      <c r="L437" t="s">
        <v>114</v>
      </c>
      <c r="M437" t="s">
        <v>114</v>
      </c>
      <c r="N437" t="s">
        <v>114</v>
      </c>
      <c r="O437" t="s">
        <v>114</v>
      </c>
      <c r="P437" t="s">
        <v>114</v>
      </c>
      <c r="Q437" t="s">
        <v>180</v>
      </c>
      <c r="R437" t="s">
        <v>180</v>
      </c>
      <c r="S437" t="s">
        <v>114</v>
      </c>
      <c r="T437" t="s">
        <v>114</v>
      </c>
      <c r="V437" t="s">
        <v>114</v>
      </c>
      <c r="W437" t="s">
        <v>3908</v>
      </c>
      <c r="Y437" t="s">
        <v>3909</v>
      </c>
      <c r="Z437" t="s">
        <v>3910</v>
      </c>
      <c r="AA437" t="s">
        <v>3911</v>
      </c>
      <c r="AB437" t="s">
        <v>3912</v>
      </c>
      <c r="AC437" t="s">
        <v>3910</v>
      </c>
      <c r="AG437" t="s">
        <v>123</v>
      </c>
      <c r="AH437" t="s">
        <v>124</v>
      </c>
      <c r="AI437" t="s">
        <v>3913</v>
      </c>
      <c r="AJ437" t="s">
        <v>126</v>
      </c>
      <c r="AK437" t="s">
        <v>127</v>
      </c>
      <c r="AM437" t="s">
        <v>3914</v>
      </c>
      <c r="AN437" t="s">
        <v>3915</v>
      </c>
      <c r="AO437" t="s">
        <v>3916</v>
      </c>
      <c r="AP437" t="s">
        <v>131</v>
      </c>
      <c r="AQ437" t="s">
        <v>132</v>
      </c>
      <c r="AR437" t="s">
        <v>2300</v>
      </c>
      <c r="AS437" t="s">
        <v>2301</v>
      </c>
      <c r="AU437" t="s">
        <v>481</v>
      </c>
      <c r="AW437" t="s">
        <v>136</v>
      </c>
      <c r="AX437" t="s">
        <v>177</v>
      </c>
      <c r="AY437" t="s">
        <v>356</v>
      </c>
      <c r="AZ437" t="s">
        <v>3917</v>
      </c>
      <c r="BB437" t="s">
        <v>140</v>
      </c>
    </row>
    <row r="438" spans="1:54" x14ac:dyDescent="0.35">
      <c r="A438" t="s">
        <v>3907</v>
      </c>
      <c r="B438" t="s">
        <v>107</v>
      </c>
      <c r="C438" t="s">
        <v>107</v>
      </c>
      <c r="E438" t="s">
        <v>108</v>
      </c>
      <c r="F438" t="s">
        <v>358</v>
      </c>
      <c r="G438" t="s">
        <v>359</v>
      </c>
      <c r="H438" t="s">
        <v>360</v>
      </c>
      <c r="I438" t="s">
        <v>341</v>
      </c>
      <c r="J438" t="s">
        <v>113</v>
      </c>
      <c r="K438" t="s">
        <v>114</v>
      </c>
      <c r="L438" t="s">
        <v>361</v>
      </c>
      <c r="M438" t="s">
        <v>361</v>
      </c>
      <c r="N438" t="s">
        <v>113</v>
      </c>
      <c r="O438" t="s">
        <v>363</v>
      </c>
      <c r="P438" t="s">
        <v>562</v>
      </c>
      <c r="Q438" t="s">
        <v>180</v>
      </c>
      <c r="R438" t="s">
        <v>180</v>
      </c>
      <c r="S438" t="s">
        <v>114</v>
      </c>
      <c r="T438" t="s">
        <v>114</v>
      </c>
      <c r="V438" t="s">
        <v>114</v>
      </c>
      <c r="W438" t="s">
        <v>3908</v>
      </c>
      <c r="Y438" t="s">
        <v>3909</v>
      </c>
      <c r="Z438" t="s">
        <v>3910</v>
      </c>
      <c r="AA438" t="s">
        <v>3911</v>
      </c>
      <c r="AB438" t="s">
        <v>3912</v>
      </c>
      <c r="AC438" t="s">
        <v>3910</v>
      </c>
      <c r="AG438" t="s">
        <v>123</v>
      </c>
      <c r="AH438" t="s">
        <v>124</v>
      </c>
      <c r="AI438" t="s">
        <v>3913</v>
      </c>
      <c r="AJ438" t="s">
        <v>126</v>
      </c>
      <c r="AK438" t="s">
        <v>127</v>
      </c>
      <c r="AM438" t="s">
        <v>3914</v>
      </c>
      <c r="AN438" t="s">
        <v>3915</v>
      </c>
      <c r="AO438" t="s">
        <v>3916</v>
      </c>
      <c r="AP438" t="s">
        <v>131</v>
      </c>
      <c r="AQ438" t="s">
        <v>132</v>
      </c>
      <c r="AR438" t="s">
        <v>2300</v>
      </c>
      <c r="AS438" t="s">
        <v>2301</v>
      </c>
      <c r="AU438" t="s">
        <v>481</v>
      </c>
      <c r="AW438" t="s">
        <v>136</v>
      </c>
      <c r="AX438" t="s">
        <v>177</v>
      </c>
      <c r="AY438" t="s">
        <v>364</v>
      </c>
      <c r="AZ438" t="s">
        <v>3917</v>
      </c>
      <c r="BB438" t="s">
        <v>140</v>
      </c>
    </row>
    <row r="439" spans="1:54" x14ac:dyDescent="0.35">
      <c r="A439" t="s">
        <v>3918</v>
      </c>
      <c r="B439" t="s">
        <v>107</v>
      </c>
      <c r="C439" t="s">
        <v>107</v>
      </c>
      <c r="F439" t="s">
        <v>358</v>
      </c>
      <c r="G439" t="s">
        <v>359</v>
      </c>
      <c r="H439" t="s">
        <v>360</v>
      </c>
      <c r="I439" t="s">
        <v>341</v>
      </c>
      <c r="J439" t="s">
        <v>113</v>
      </c>
      <c r="K439" t="s">
        <v>114</v>
      </c>
      <c r="L439" t="s">
        <v>114</v>
      </c>
      <c r="M439" t="s">
        <v>114</v>
      </c>
      <c r="N439" t="s">
        <v>114</v>
      </c>
      <c r="O439" t="s">
        <v>114</v>
      </c>
      <c r="P439" t="s">
        <v>114</v>
      </c>
      <c r="Q439" t="s">
        <v>114</v>
      </c>
      <c r="R439" t="s">
        <v>114</v>
      </c>
      <c r="S439" t="s">
        <v>114</v>
      </c>
      <c r="T439" t="s">
        <v>114</v>
      </c>
      <c r="V439" t="s">
        <v>114</v>
      </c>
      <c r="W439" t="s">
        <v>114</v>
      </c>
      <c r="Y439" t="s">
        <v>3919</v>
      </c>
      <c r="Z439" t="s">
        <v>3919</v>
      </c>
      <c r="AA439" t="s">
        <v>3920</v>
      </c>
      <c r="AB439" t="s">
        <v>3921</v>
      </c>
      <c r="AC439" t="s">
        <v>3922</v>
      </c>
      <c r="AG439" t="s">
        <v>123</v>
      </c>
      <c r="AH439" t="s">
        <v>124</v>
      </c>
      <c r="AI439" t="s">
        <v>3923</v>
      </c>
      <c r="AJ439" t="s">
        <v>126</v>
      </c>
      <c r="AK439" t="s">
        <v>127</v>
      </c>
      <c r="AM439" t="s">
        <v>3924</v>
      </c>
      <c r="AN439" t="s">
        <v>3925</v>
      </c>
      <c r="AO439" t="s">
        <v>3926</v>
      </c>
      <c r="AP439" t="s">
        <v>131</v>
      </c>
      <c r="AQ439" t="s">
        <v>132</v>
      </c>
      <c r="AR439" t="s">
        <v>652</v>
      </c>
      <c r="AS439" t="s">
        <v>3927</v>
      </c>
      <c r="AU439" t="s">
        <v>638</v>
      </c>
      <c r="AX439" t="s">
        <v>177</v>
      </c>
      <c r="AY439" t="s">
        <v>364</v>
      </c>
      <c r="AZ439" t="s">
        <v>3928</v>
      </c>
      <c r="BB439" t="s">
        <v>140</v>
      </c>
    </row>
    <row r="440" spans="1:54" x14ac:dyDescent="0.35">
      <c r="A440" t="s">
        <v>3929</v>
      </c>
      <c r="B440" t="s">
        <v>107</v>
      </c>
      <c r="C440" t="s">
        <v>107</v>
      </c>
      <c r="E440" t="s">
        <v>108</v>
      </c>
      <c r="F440" t="s">
        <v>268</v>
      </c>
      <c r="G440" t="s">
        <v>269</v>
      </c>
      <c r="H440" t="s">
        <v>2268</v>
      </c>
      <c r="I440" t="s">
        <v>271</v>
      </c>
      <c r="J440" t="s">
        <v>113</v>
      </c>
      <c r="K440" t="s">
        <v>114</v>
      </c>
      <c r="L440" t="s">
        <v>114</v>
      </c>
      <c r="M440" t="s">
        <v>114</v>
      </c>
      <c r="N440" t="s">
        <v>114</v>
      </c>
      <c r="O440" t="s">
        <v>114</v>
      </c>
      <c r="P440" t="s">
        <v>114</v>
      </c>
      <c r="Q440" t="s">
        <v>114</v>
      </c>
      <c r="R440" t="s">
        <v>180</v>
      </c>
      <c r="S440" t="s">
        <v>114</v>
      </c>
      <c r="T440" t="s">
        <v>180</v>
      </c>
      <c r="V440" t="s">
        <v>114</v>
      </c>
      <c r="W440" t="s">
        <v>3930</v>
      </c>
      <c r="Y440" t="s">
        <v>3931</v>
      </c>
      <c r="Z440" t="s">
        <v>3932</v>
      </c>
      <c r="AA440" t="s">
        <v>3933</v>
      </c>
      <c r="AB440" t="s">
        <v>3934</v>
      </c>
      <c r="AC440" t="s">
        <v>3935</v>
      </c>
      <c r="AG440" t="s">
        <v>123</v>
      </c>
      <c r="AH440" t="s">
        <v>124</v>
      </c>
      <c r="AI440" t="s">
        <v>3936</v>
      </c>
      <c r="AJ440" t="s">
        <v>126</v>
      </c>
      <c r="AK440" t="s">
        <v>127</v>
      </c>
      <c r="AM440" t="s">
        <v>3937</v>
      </c>
      <c r="AN440" t="s">
        <v>3938</v>
      </c>
      <c r="AO440" t="s">
        <v>3939</v>
      </c>
      <c r="AP440" t="s">
        <v>131</v>
      </c>
      <c r="AQ440" t="s">
        <v>132</v>
      </c>
      <c r="AR440" t="s">
        <v>448</v>
      </c>
      <c r="AS440" t="s">
        <v>3559</v>
      </c>
      <c r="AU440" t="s">
        <v>516</v>
      </c>
      <c r="AW440" t="s">
        <v>655</v>
      </c>
      <c r="AX440" t="s">
        <v>272</v>
      </c>
      <c r="AY440" t="s">
        <v>273</v>
      </c>
      <c r="AZ440" t="s">
        <v>3940</v>
      </c>
      <c r="BB440" t="s">
        <v>140</v>
      </c>
    </row>
    <row r="441" spans="1:54" x14ac:dyDescent="0.35">
      <c r="A441" t="s">
        <v>3929</v>
      </c>
      <c r="B441" t="s">
        <v>107</v>
      </c>
      <c r="C441" t="s">
        <v>107</v>
      </c>
      <c r="E441" t="s">
        <v>108</v>
      </c>
      <c r="F441" t="s">
        <v>158</v>
      </c>
      <c r="G441" t="s">
        <v>159</v>
      </c>
      <c r="H441" t="s">
        <v>111</v>
      </c>
      <c r="I441" t="s">
        <v>341</v>
      </c>
      <c r="J441" t="s">
        <v>113</v>
      </c>
      <c r="K441" t="s">
        <v>114</v>
      </c>
      <c r="L441" t="s">
        <v>161</v>
      </c>
      <c r="M441" t="s">
        <v>161</v>
      </c>
      <c r="N441" t="s">
        <v>3941</v>
      </c>
      <c r="O441" t="s">
        <v>1110</v>
      </c>
      <c r="P441" t="s">
        <v>3942</v>
      </c>
      <c r="Q441" t="s">
        <v>114</v>
      </c>
      <c r="R441" t="s">
        <v>180</v>
      </c>
      <c r="S441" t="s">
        <v>114</v>
      </c>
      <c r="T441" t="s">
        <v>180</v>
      </c>
      <c r="V441" t="s">
        <v>114</v>
      </c>
      <c r="W441" t="s">
        <v>3930</v>
      </c>
      <c r="Y441" t="s">
        <v>3931</v>
      </c>
      <c r="Z441" t="s">
        <v>3932</v>
      </c>
      <c r="AA441" t="s">
        <v>3933</v>
      </c>
      <c r="AB441" t="s">
        <v>3934</v>
      </c>
      <c r="AC441" t="s">
        <v>3935</v>
      </c>
      <c r="AG441" t="s">
        <v>123</v>
      </c>
      <c r="AH441" t="s">
        <v>124</v>
      </c>
      <c r="AI441" t="s">
        <v>3936</v>
      </c>
      <c r="AJ441" t="s">
        <v>126</v>
      </c>
      <c r="AK441" t="s">
        <v>127</v>
      </c>
      <c r="AM441" t="s">
        <v>3937</v>
      </c>
      <c r="AN441" t="s">
        <v>3938</v>
      </c>
      <c r="AO441" t="s">
        <v>3939</v>
      </c>
      <c r="AP441" t="s">
        <v>131</v>
      </c>
      <c r="AQ441" t="s">
        <v>132</v>
      </c>
      <c r="AR441" t="s">
        <v>448</v>
      </c>
      <c r="AS441" t="s">
        <v>3559</v>
      </c>
      <c r="AU441" t="s">
        <v>516</v>
      </c>
      <c r="AW441" t="s">
        <v>655</v>
      </c>
      <c r="AX441" t="s">
        <v>177</v>
      </c>
      <c r="AY441" t="s">
        <v>138</v>
      </c>
      <c r="AZ441" t="s">
        <v>3940</v>
      </c>
      <c r="BB441" t="s">
        <v>140</v>
      </c>
    </row>
    <row r="442" spans="1:54" x14ac:dyDescent="0.35">
      <c r="A442" t="s">
        <v>3929</v>
      </c>
      <c r="B442" t="s">
        <v>107</v>
      </c>
      <c r="C442" t="s">
        <v>107</v>
      </c>
      <c r="E442" t="s">
        <v>108</v>
      </c>
      <c r="F442" t="s">
        <v>338</v>
      </c>
      <c r="G442" t="s">
        <v>339</v>
      </c>
      <c r="H442" t="s">
        <v>340</v>
      </c>
      <c r="I442" t="s">
        <v>341</v>
      </c>
      <c r="J442" t="s">
        <v>1548</v>
      </c>
      <c r="K442" t="s">
        <v>114</v>
      </c>
      <c r="L442" t="s">
        <v>2928</v>
      </c>
      <c r="M442" t="s">
        <v>2928</v>
      </c>
      <c r="N442" t="s">
        <v>3943</v>
      </c>
      <c r="O442" t="s">
        <v>3944</v>
      </c>
      <c r="P442" t="s">
        <v>3945</v>
      </c>
      <c r="Q442" t="s">
        <v>114</v>
      </c>
      <c r="R442" t="s">
        <v>180</v>
      </c>
      <c r="S442" t="s">
        <v>114</v>
      </c>
      <c r="T442" t="s">
        <v>180</v>
      </c>
      <c r="V442" t="s">
        <v>114</v>
      </c>
      <c r="W442" t="s">
        <v>3930</v>
      </c>
      <c r="Y442" t="s">
        <v>3931</v>
      </c>
      <c r="Z442" t="s">
        <v>3932</v>
      </c>
      <c r="AA442" t="s">
        <v>3933</v>
      </c>
      <c r="AB442" t="s">
        <v>3934</v>
      </c>
      <c r="AC442" t="s">
        <v>3935</v>
      </c>
      <c r="AG442" t="s">
        <v>123</v>
      </c>
      <c r="AH442" t="s">
        <v>124</v>
      </c>
      <c r="AI442" t="s">
        <v>3936</v>
      </c>
      <c r="AJ442" t="s">
        <v>126</v>
      </c>
      <c r="AK442" t="s">
        <v>127</v>
      </c>
      <c r="AM442" t="s">
        <v>3937</v>
      </c>
      <c r="AN442" t="s">
        <v>3938</v>
      </c>
      <c r="AO442" t="s">
        <v>3939</v>
      </c>
      <c r="AP442" t="s">
        <v>131</v>
      </c>
      <c r="AQ442" t="s">
        <v>132</v>
      </c>
      <c r="AR442" t="s">
        <v>448</v>
      </c>
      <c r="AS442" t="s">
        <v>3559</v>
      </c>
      <c r="AU442" t="s">
        <v>516</v>
      </c>
      <c r="AW442" t="s">
        <v>655</v>
      </c>
      <c r="AX442" t="s">
        <v>1562</v>
      </c>
      <c r="AY442" t="s">
        <v>356</v>
      </c>
      <c r="AZ442" t="s">
        <v>3940</v>
      </c>
      <c r="BB442" t="s">
        <v>140</v>
      </c>
    </row>
    <row r="443" spans="1:54" x14ac:dyDescent="0.35">
      <c r="A443" t="s">
        <v>3929</v>
      </c>
      <c r="B443" t="s">
        <v>107</v>
      </c>
      <c r="C443" t="s">
        <v>107</v>
      </c>
      <c r="E443" t="s">
        <v>108</v>
      </c>
      <c r="F443" t="s">
        <v>358</v>
      </c>
      <c r="G443" t="s">
        <v>359</v>
      </c>
      <c r="H443" t="s">
        <v>360</v>
      </c>
      <c r="I443" t="s">
        <v>341</v>
      </c>
      <c r="J443" t="s">
        <v>113</v>
      </c>
      <c r="K443" t="s">
        <v>114</v>
      </c>
      <c r="L443" t="s">
        <v>361</v>
      </c>
      <c r="M443" t="s">
        <v>361</v>
      </c>
      <c r="N443" t="s">
        <v>3946</v>
      </c>
      <c r="O443" t="s">
        <v>363</v>
      </c>
      <c r="P443" t="s">
        <v>3947</v>
      </c>
      <c r="Q443" t="s">
        <v>114</v>
      </c>
      <c r="R443" t="s">
        <v>180</v>
      </c>
      <c r="S443" t="s">
        <v>114</v>
      </c>
      <c r="T443" t="s">
        <v>180</v>
      </c>
      <c r="V443" t="s">
        <v>114</v>
      </c>
      <c r="W443" t="s">
        <v>3930</v>
      </c>
      <c r="Y443" t="s">
        <v>3931</v>
      </c>
      <c r="Z443" t="s">
        <v>3932</v>
      </c>
      <c r="AA443" t="s">
        <v>3933</v>
      </c>
      <c r="AB443" t="s">
        <v>3934</v>
      </c>
      <c r="AC443" t="s">
        <v>3935</v>
      </c>
      <c r="AG443" t="s">
        <v>123</v>
      </c>
      <c r="AH443" t="s">
        <v>124</v>
      </c>
      <c r="AI443" t="s">
        <v>3936</v>
      </c>
      <c r="AJ443" t="s">
        <v>126</v>
      </c>
      <c r="AK443" t="s">
        <v>127</v>
      </c>
      <c r="AM443" t="s">
        <v>3937</v>
      </c>
      <c r="AN443" t="s">
        <v>3938</v>
      </c>
      <c r="AO443" t="s">
        <v>3939</v>
      </c>
      <c r="AP443" t="s">
        <v>131</v>
      </c>
      <c r="AQ443" t="s">
        <v>132</v>
      </c>
      <c r="AR443" t="s">
        <v>448</v>
      </c>
      <c r="AS443" t="s">
        <v>3559</v>
      </c>
      <c r="AU443" t="s">
        <v>516</v>
      </c>
      <c r="AW443" t="s">
        <v>655</v>
      </c>
      <c r="AX443" t="s">
        <v>177</v>
      </c>
      <c r="AY443" t="s">
        <v>364</v>
      </c>
      <c r="AZ443" t="s">
        <v>3940</v>
      </c>
      <c r="BB443" t="s">
        <v>140</v>
      </c>
    </row>
    <row r="444" spans="1:54" x14ac:dyDescent="0.35">
      <c r="A444" t="s">
        <v>3948</v>
      </c>
      <c r="B444" t="s">
        <v>107</v>
      </c>
      <c r="C444" t="s">
        <v>107</v>
      </c>
      <c r="E444" t="s">
        <v>108</v>
      </c>
      <c r="F444" t="s">
        <v>613</v>
      </c>
      <c r="G444" t="s">
        <v>614</v>
      </c>
      <c r="H444" t="s">
        <v>615</v>
      </c>
      <c r="I444" t="s">
        <v>271</v>
      </c>
      <c r="J444" t="s">
        <v>113</v>
      </c>
      <c r="K444" t="s">
        <v>114</v>
      </c>
      <c r="L444" t="s">
        <v>2550</v>
      </c>
      <c r="M444" t="s">
        <v>2550</v>
      </c>
      <c r="N444" t="s">
        <v>3949</v>
      </c>
      <c r="O444" t="s">
        <v>2551</v>
      </c>
      <c r="P444" t="s">
        <v>3950</v>
      </c>
      <c r="Q444" t="s">
        <v>114</v>
      </c>
      <c r="R444" t="s">
        <v>180</v>
      </c>
      <c r="S444" t="s">
        <v>114</v>
      </c>
      <c r="T444" t="s">
        <v>180</v>
      </c>
      <c r="V444" t="s">
        <v>114</v>
      </c>
      <c r="W444" t="s">
        <v>3950</v>
      </c>
      <c r="Y444" t="s">
        <v>3951</v>
      </c>
      <c r="Z444" t="s">
        <v>3952</v>
      </c>
      <c r="AA444" t="s">
        <v>3953</v>
      </c>
      <c r="AB444" t="s">
        <v>3954</v>
      </c>
      <c r="AC444" t="s">
        <v>3955</v>
      </c>
      <c r="AG444" t="s">
        <v>123</v>
      </c>
      <c r="AH444" t="s">
        <v>124</v>
      </c>
      <c r="AI444" t="s">
        <v>3956</v>
      </c>
      <c r="AJ444" t="s">
        <v>126</v>
      </c>
      <c r="AK444" t="s">
        <v>127</v>
      </c>
      <c r="AM444" t="s">
        <v>3957</v>
      </c>
      <c r="AN444" t="s">
        <v>3958</v>
      </c>
      <c r="AO444" t="s">
        <v>3959</v>
      </c>
      <c r="AP444" t="s">
        <v>131</v>
      </c>
      <c r="AQ444" t="s">
        <v>132</v>
      </c>
      <c r="AR444" t="s">
        <v>756</v>
      </c>
      <c r="AS444" t="s">
        <v>1906</v>
      </c>
      <c r="AU444" t="s">
        <v>286</v>
      </c>
      <c r="AW444" t="s">
        <v>1997</v>
      </c>
      <c r="AX444" t="s">
        <v>177</v>
      </c>
      <c r="AY444" t="s">
        <v>627</v>
      </c>
      <c r="AZ444" t="s">
        <v>3960</v>
      </c>
      <c r="BB444" t="s">
        <v>140</v>
      </c>
    </row>
    <row r="445" spans="1:54" x14ac:dyDescent="0.35">
      <c r="A445" t="s">
        <v>3961</v>
      </c>
      <c r="B445" t="s">
        <v>107</v>
      </c>
      <c r="C445" t="s">
        <v>107</v>
      </c>
      <c r="F445" t="s">
        <v>613</v>
      </c>
      <c r="G445" t="s">
        <v>614</v>
      </c>
      <c r="H445" t="s">
        <v>615</v>
      </c>
      <c r="I445" t="s">
        <v>271</v>
      </c>
      <c r="J445" t="s">
        <v>113</v>
      </c>
      <c r="K445" t="s">
        <v>114</v>
      </c>
      <c r="L445" t="s">
        <v>114</v>
      </c>
      <c r="M445" t="s">
        <v>114</v>
      </c>
      <c r="N445" t="s">
        <v>114</v>
      </c>
      <c r="O445" t="s">
        <v>114</v>
      </c>
      <c r="P445" t="s">
        <v>114</v>
      </c>
      <c r="Q445" t="s">
        <v>114</v>
      </c>
      <c r="R445" t="s">
        <v>114</v>
      </c>
      <c r="S445" t="s">
        <v>114</v>
      </c>
      <c r="T445" t="s">
        <v>114</v>
      </c>
      <c r="V445" t="s">
        <v>114</v>
      </c>
      <c r="W445" t="s">
        <v>114</v>
      </c>
      <c r="Y445" t="s">
        <v>3962</v>
      </c>
      <c r="Z445" t="s">
        <v>3962</v>
      </c>
      <c r="AA445" t="s">
        <v>3963</v>
      </c>
      <c r="AB445" t="s">
        <v>3964</v>
      </c>
      <c r="AC445" t="s">
        <v>3965</v>
      </c>
      <c r="AG445" t="s">
        <v>123</v>
      </c>
      <c r="AH445" t="s">
        <v>124</v>
      </c>
      <c r="AI445" t="s">
        <v>3966</v>
      </c>
      <c r="AJ445" t="s">
        <v>126</v>
      </c>
      <c r="AK445" t="s">
        <v>127</v>
      </c>
      <c r="AM445" t="s">
        <v>3967</v>
      </c>
      <c r="AN445" t="s">
        <v>3968</v>
      </c>
      <c r="AO445" t="s">
        <v>3969</v>
      </c>
      <c r="AP445" t="s">
        <v>131</v>
      </c>
      <c r="AQ445" t="s">
        <v>132</v>
      </c>
      <c r="AR445" t="s">
        <v>152</v>
      </c>
      <c r="AS445" t="s">
        <v>2120</v>
      </c>
      <c r="AU445" t="s">
        <v>1607</v>
      </c>
      <c r="AX445" t="s">
        <v>177</v>
      </c>
      <c r="AY445" t="s">
        <v>627</v>
      </c>
      <c r="AZ445" t="s">
        <v>3970</v>
      </c>
      <c r="BB445" t="s">
        <v>140</v>
      </c>
    </row>
    <row r="446" spans="1:54" x14ac:dyDescent="0.35">
      <c r="A446" t="s">
        <v>3971</v>
      </c>
      <c r="B446" t="s">
        <v>107</v>
      </c>
      <c r="C446" t="s">
        <v>107</v>
      </c>
      <c r="F446" t="s">
        <v>358</v>
      </c>
      <c r="G446" t="s">
        <v>359</v>
      </c>
      <c r="H446" t="s">
        <v>360</v>
      </c>
      <c r="I446" t="s">
        <v>341</v>
      </c>
      <c r="J446" t="s">
        <v>113</v>
      </c>
      <c r="K446" t="s">
        <v>114</v>
      </c>
      <c r="L446" t="s">
        <v>114</v>
      </c>
      <c r="M446" t="s">
        <v>114</v>
      </c>
      <c r="N446" t="s">
        <v>114</v>
      </c>
      <c r="O446" t="s">
        <v>114</v>
      </c>
      <c r="P446" t="s">
        <v>114</v>
      </c>
      <c r="Q446" t="s">
        <v>114</v>
      </c>
      <c r="R446" t="s">
        <v>114</v>
      </c>
      <c r="S446" t="s">
        <v>114</v>
      </c>
      <c r="T446" t="s">
        <v>114</v>
      </c>
      <c r="V446" t="s">
        <v>114</v>
      </c>
      <c r="W446" t="s">
        <v>114</v>
      </c>
      <c r="Y446" t="s">
        <v>3972</v>
      </c>
      <c r="Z446" t="s">
        <v>3972</v>
      </c>
      <c r="AA446" t="s">
        <v>3963</v>
      </c>
      <c r="AB446" t="s">
        <v>3973</v>
      </c>
      <c r="AC446" t="s">
        <v>3974</v>
      </c>
      <c r="AG446" t="s">
        <v>123</v>
      </c>
      <c r="AH446" t="s">
        <v>124</v>
      </c>
      <c r="AI446" t="s">
        <v>3975</v>
      </c>
      <c r="AJ446" t="s">
        <v>126</v>
      </c>
      <c r="AK446" t="s">
        <v>127</v>
      </c>
      <c r="AM446" t="s">
        <v>3976</v>
      </c>
      <c r="AN446" t="s">
        <v>3977</v>
      </c>
      <c r="AO446" t="s">
        <v>3978</v>
      </c>
      <c r="AP446" t="s">
        <v>131</v>
      </c>
      <c r="AQ446" t="s">
        <v>132</v>
      </c>
      <c r="AR446" t="s">
        <v>284</v>
      </c>
      <c r="AS446" t="s">
        <v>3592</v>
      </c>
      <c r="AU446" t="s">
        <v>965</v>
      </c>
      <c r="AV446" t="s">
        <v>638</v>
      </c>
      <c r="AX446" t="s">
        <v>177</v>
      </c>
      <c r="AY446" t="s">
        <v>364</v>
      </c>
      <c r="AZ446" t="s">
        <v>3979</v>
      </c>
      <c r="BB446" t="s">
        <v>140</v>
      </c>
    </row>
    <row r="447" spans="1:54" x14ac:dyDescent="0.35">
      <c r="A447" t="s">
        <v>3980</v>
      </c>
      <c r="B447" t="s">
        <v>107</v>
      </c>
      <c r="C447" t="s">
        <v>107</v>
      </c>
      <c r="F447" t="s">
        <v>613</v>
      </c>
      <c r="G447" t="s">
        <v>614</v>
      </c>
      <c r="H447" t="s">
        <v>615</v>
      </c>
      <c r="I447" t="s">
        <v>271</v>
      </c>
      <c r="J447" t="s">
        <v>113</v>
      </c>
      <c r="K447" t="s">
        <v>114</v>
      </c>
      <c r="L447" t="s">
        <v>114</v>
      </c>
      <c r="M447" t="s">
        <v>114</v>
      </c>
      <c r="N447" t="s">
        <v>114</v>
      </c>
      <c r="O447" t="s">
        <v>114</v>
      </c>
      <c r="P447" t="s">
        <v>114</v>
      </c>
      <c r="Q447" t="s">
        <v>114</v>
      </c>
      <c r="R447" t="s">
        <v>114</v>
      </c>
      <c r="S447" t="s">
        <v>114</v>
      </c>
      <c r="T447" t="s">
        <v>114</v>
      </c>
      <c r="V447" t="s">
        <v>114</v>
      </c>
      <c r="W447" t="s">
        <v>114</v>
      </c>
      <c r="Y447" t="s">
        <v>3972</v>
      </c>
      <c r="Z447" t="s">
        <v>3972</v>
      </c>
      <c r="AA447" t="s">
        <v>3981</v>
      </c>
      <c r="AB447" t="s">
        <v>3982</v>
      </c>
      <c r="AC447" t="s">
        <v>3983</v>
      </c>
      <c r="AG447" t="s">
        <v>123</v>
      </c>
      <c r="AH447" t="s">
        <v>124</v>
      </c>
      <c r="AI447" t="s">
        <v>3984</v>
      </c>
      <c r="AJ447" t="s">
        <v>126</v>
      </c>
      <c r="AK447" t="s">
        <v>127</v>
      </c>
      <c r="AM447" t="s">
        <v>3985</v>
      </c>
      <c r="AN447" t="s">
        <v>3986</v>
      </c>
      <c r="AO447" t="s">
        <v>3987</v>
      </c>
      <c r="AP447" t="s">
        <v>131</v>
      </c>
      <c r="AQ447" t="s">
        <v>132</v>
      </c>
      <c r="AR447" t="s">
        <v>1862</v>
      </c>
      <c r="AS447" t="s">
        <v>3988</v>
      </c>
      <c r="AU447" t="s">
        <v>434</v>
      </c>
      <c r="AX447" t="s">
        <v>177</v>
      </c>
      <c r="AY447" t="s">
        <v>627</v>
      </c>
      <c r="AZ447" t="s">
        <v>3989</v>
      </c>
      <c r="BB447" t="s">
        <v>140</v>
      </c>
    </row>
    <row r="448" spans="1:54" x14ac:dyDescent="0.35">
      <c r="A448" t="s">
        <v>3990</v>
      </c>
      <c r="B448" t="s">
        <v>107</v>
      </c>
      <c r="C448" t="s">
        <v>107</v>
      </c>
      <c r="F448" t="s">
        <v>613</v>
      </c>
      <c r="G448" t="s">
        <v>614</v>
      </c>
      <c r="H448" t="s">
        <v>615</v>
      </c>
      <c r="I448" t="s">
        <v>271</v>
      </c>
      <c r="J448" t="s">
        <v>113</v>
      </c>
      <c r="K448" t="s">
        <v>114</v>
      </c>
      <c r="L448" t="s">
        <v>114</v>
      </c>
      <c r="M448" t="s">
        <v>114</v>
      </c>
      <c r="N448" t="s">
        <v>114</v>
      </c>
      <c r="O448" t="s">
        <v>114</v>
      </c>
      <c r="P448" t="s">
        <v>114</v>
      </c>
      <c r="Q448" t="s">
        <v>114</v>
      </c>
      <c r="R448" t="s">
        <v>114</v>
      </c>
      <c r="S448" t="s">
        <v>114</v>
      </c>
      <c r="T448" t="s">
        <v>114</v>
      </c>
      <c r="V448" t="s">
        <v>114</v>
      </c>
      <c r="W448" t="s">
        <v>114</v>
      </c>
      <c r="Y448" t="s">
        <v>3991</v>
      </c>
      <c r="Z448" t="s">
        <v>3991</v>
      </c>
      <c r="AA448" t="s">
        <v>3981</v>
      </c>
      <c r="AB448" t="s">
        <v>3992</v>
      </c>
      <c r="AC448" t="s">
        <v>3993</v>
      </c>
      <c r="AG448" t="s">
        <v>123</v>
      </c>
      <c r="AH448" t="s">
        <v>124</v>
      </c>
      <c r="AI448" t="s">
        <v>3994</v>
      </c>
      <c r="AJ448" t="s">
        <v>126</v>
      </c>
      <c r="AK448" t="s">
        <v>127</v>
      </c>
      <c r="AM448" t="s">
        <v>3995</v>
      </c>
      <c r="AN448" t="s">
        <v>3996</v>
      </c>
      <c r="AO448" t="s">
        <v>3997</v>
      </c>
      <c r="AP448" t="s">
        <v>131</v>
      </c>
      <c r="AQ448" t="s">
        <v>132</v>
      </c>
      <c r="AR448" t="s">
        <v>152</v>
      </c>
      <c r="AS448" t="s">
        <v>3998</v>
      </c>
      <c r="AU448" t="s">
        <v>3999</v>
      </c>
      <c r="AX448" t="s">
        <v>177</v>
      </c>
      <c r="AY448" t="s">
        <v>627</v>
      </c>
      <c r="AZ448" t="s">
        <v>4000</v>
      </c>
      <c r="BB448" t="s">
        <v>140</v>
      </c>
    </row>
    <row r="449" spans="1:54" x14ac:dyDescent="0.35">
      <c r="A449" t="s">
        <v>4001</v>
      </c>
      <c r="B449" t="s">
        <v>107</v>
      </c>
      <c r="C449" t="s">
        <v>107</v>
      </c>
      <c r="E449" t="s">
        <v>108</v>
      </c>
      <c r="F449" t="s">
        <v>338</v>
      </c>
      <c r="G449" t="s">
        <v>339</v>
      </c>
      <c r="H449" t="s">
        <v>340</v>
      </c>
      <c r="I449" t="s">
        <v>341</v>
      </c>
      <c r="J449" t="s">
        <v>113</v>
      </c>
      <c r="K449" t="s">
        <v>114</v>
      </c>
      <c r="L449" t="s">
        <v>114</v>
      </c>
      <c r="M449" t="s">
        <v>114</v>
      </c>
      <c r="N449" t="s">
        <v>114</v>
      </c>
      <c r="O449" t="s">
        <v>114</v>
      </c>
      <c r="P449" t="s">
        <v>114</v>
      </c>
      <c r="Q449" t="s">
        <v>114</v>
      </c>
      <c r="R449" t="s">
        <v>180</v>
      </c>
      <c r="S449" t="s">
        <v>114</v>
      </c>
      <c r="T449" t="s">
        <v>180</v>
      </c>
      <c r="V449" t="s">
        <v>114</v>
      </c>
      <c r="W449" t="s">
        <v>4002</v>
      </c>
      <c r="Y449" t="s">
        <v>4003</v>
      </c>
      <c r="Z449" t="s">
        <v>4004</v>
      </c>
      <c r="AA449" t="s">
        <v>4005</v>
      </c>
      <c r="AB449" t="s">
        <v>4006</v>
      </c>
      <c r="AC449" t="s">
        <v>4007</v>
      </c>
      <c r="AG449" t="s">
        <v>123</v>
      </c>
      <c r="AH449" t="s">
        <v>124</v>
      </c>
      <c r="AI449" t="s">
        <v>4008</v>
      </c>
      <c r="AJ449" t="s">
        <v>126</v>
      </c>
      <c r="AK449" t="s">
        <v>127</v>
      </c>
      <c r="AM449" t="s">
        <v>4009</v>
      </c>
      <c r="AN449" t="s">
        <v>4010</v>
      </c>
      <c r="AO449" t="s">
        <v>4011</v>
      </c>
      <c r="AP449" t="s">
        <v>131</v>
      </c>
      <c r="AQ449" t="s">
        <v>132</v>
      </c>
      <c r="AR449" t="s">
        <v>796</v>
      </c>
      <c r="AS449" t="s">
        <v>2224</v>
      </c>
      <c r="AU449" t="s">
        <v>3795</v>
      </c>
      <c r="AV449" t="s">
        <v>546</v>
      </c>
      <c r="AW449" t="s">
        <v>317</v>
      </c>
      <c r="AX449" t="s">
        <v>177</v>
      </c>
      <c r="AY449" t="s">
        <v>356</v>
      </c>
      <c r="AZ449" t="s">
        <v>4012</v>
      </c>
      <c r="BB449" t="s">
        <v>140</v>
      </c>
    </row>
    <row r="450" spans="1:54" x14ac:dyDescent="0.35">
      <c r="A450" t="s">
        <v>4001</v>
      </c>
      <c r="B450" t="s">
        <v>107</v>
      </c>
      <c r="C450" t="s">
        <v>107</v>
      </c>
      <c r="E450" t="s">
        <v>108</v>
      </c>
      <c r="F450" t="s">
        <v>358</v>
      </c>
      <c r="G450" t="s">
        <v>359</v>
      </c>
      <c r="H450" t="s">
        <v>360</v>
      </c>
      <c r="I450" t="s">
        <v>341</v>
      </c>
      <c r="J450" t="s">
        <v>113</v>
      </c>
      <c r="K450" t="s">
        <v>114</v>
      </c>
      <c r="L450" t="s">
        <v>361</v>
      </c>
      <c r="M450" t="s">
        <v>361</v>
      </c>
      <c r="N450" t="s">
        <v>4013</v>
      </c>
      <c r="O450" t="s">
        <v>363</v>
      </c>
      <c r="P450" t="s">
        <v>4014</v>
      </c>
      <c r="Q450" t="s">
        <v>114</v>
      </c>
      <c r="R450" t="s">
        <v>180</v>
      </c>
      <c r="S450" t="s">
        <v>114</v>
      </c>
      <c r="T450" t="s">
        <v>180</v>
      </c>
      <c r="V450" t="s">
        <v>114</v>
      </c>
      <c r="W450" t="s">
        <v>4002</v>
      </c>
      <c r="Y450" t="s">
        <v>4003</v>
      </c>
      <c r="Z450" t="s">
        <v>4004</v>
      </c>
      <c r="AA450" t="s">
        <v>4005</v>
      </c>
      <c r="AB450" t="s">
        <v>4006</v>
      </c>
      <c r="AC450" t="s">
        <v>4007</v>
      </c>
      <c r="AG450" t="s">
        <v>123</v>
      </c>
      <c r="AH450" t="s">
        <v>124</v>
      </c>
      <c r="AI450" t="s">
        <v>4008</v>
      </c>
      <c r="AJ450" t="s">
        <v>126</v>
      </c>
      <c r="AK450" t="s">
        <v>127</v>
      </c>
      <c r="AM450" t="s">
        <v>4009</v>
      </c>
      <c r="AN450" t="s">
        <v>4010</v>
      </c>
      <c r="AO450" t="s">
        <v>4011</v>
      </c>
      <c r="AP450" t="s">
        <v>131</v>
      </c>
      <c r="AQ450" t="s">
        <v>132</v>
      </c>
      <c r="AR450" t="s">
        <v>796</v>
      </c>
      <c r="AS450" t="s">
        <v>2224</v>
      </c>
      <c r="AU450" t="s">
        <v>3795</v>
      </c>
      <c r="AV450" t="s">
        <v>546</v>
      </c>
      <c r="AW450" t="s">
        <v>317</v>
      </c>
      <c r="AX450" t="s">
        <v>177</v>
      </c>
      <c r="AY450" t="s">
        <v>364</v>
      </c>
      <c r="AZ450" t="s">
        <v>4012</v>
      </c>
      <c r="BB450" t="s">
        <v>140</v>
      </c>
    </row>
    <row r="451" spans="1:54" x14ac:dyDescent="0.35">
      <c r="A451" t="s">
        <v>4001</v>
      </c>
      <c r="B451" t="s">
        <v>107</v>
      </c>
      <c r="C451" t="s">
        <v>107</v>
      </c>
      <c r="E451" t="s">
        <v>108</v>
      </c>
      <c r="F451" t="s">
        <v>533</v>
      </c>
      <c r="G451" t="s">
        <v>534</v>
      </c>
      <c r="H451" t="s">
        <v>2360</v>
      </c>
      <c r="I451" t="s">
        <v>536</v>
      </c>
      <c r="J451" t="s">
        <v>113</v>
      </c>
      <c r="K451" t="s">
        <v>114</v>
      </c>
      <c r="L451" t="s">
        <v>115</v>
      </c>
      <c r="M451" t="s">
        <v>115</v>
      </c>
      <c r="N451" t="s">
        <v>304</v>
      </c>
      <c r="O451" t="s">
        <v>457</v>
      </c>
      <c r="P451" t="s">
        <v>3775</v>
      </c>
      <c r="Q451" t="s">
        <v>114</v>
      </c>
      <c r="R451" t="s">
        <v>180</v>
      </c>
      <c r="S451" t="s">
        <v>114</v>
      </c>
      <c r="T451" t="s">
        <v>180</v>
      </c>
      <c r="V451" t="s">
        <v>114</v>
      </c>
      <c r="W451" t="s">
        <v>4002</v>
      </c>
      <c r="Y451" t="s">
        <v>4003</v>
      </c>
      <c r="Z451" t="s">
        <v>4004</v>
      </c>
      <c r="AA451" t="s">
        <v>4005</v>
      </c>
      <c r="AB451" t="s">
        <v>4006</v>
      </c>
      <c r="AC451" t="s">
        <v>4007</v>
      </c>
      <c r="AG451" t="s">
        <v>123</v>
      </c>
      <c r="AH451" t="s">
        <v>124</v>
      </c>
      <c r="AI451" t="s">
        <v>4008</v>
      </c>
      <c r="AJ451" t="s">
        <v>126</v>
      </c>
      <c r="AK451" t="s">
        <v>127</v>
      </c>
      <c r="AM451" t="s">
        <v>4009</v>
      </c>
      <c r="AN451" t="s">
        <v>4010</v>
      </c>
      <c r="AO451" t="s">
        <v>4011</v>
      </c>
      <c r="AP451" t="s">
        <v>131</v>
      </c>
      <c r="AQ451" t="s">
        <v>132</v>
      </c>
      <c r="AR451" t="s">
        <v>796</v>
      </c>
      <c r="AS451" t="s">
        <v>2224</v>
      </c>
      <c r="AU451" t="s">
        <v>3795</v>
      </c>
      <c r="AV451" t="s">
        <v>546</v>
      </c>
      <c r="AW451" t="s">
        <v>317</v>
      </c>
      <c r="AX451" t="s">
        <v>547</v>
      </c>
      <c r="AY451" t="s">
        <v>364</v>
      </c>
      <c r="AZ451" t="s">
        <v>4012</v>
      </c>
      <c r="BB451" t="s">
        <v>140</v>
      </c>
    </row>
    <row r="452" spans="1:54" x14ac:dyDescent="0.35">
      <c r="A452" t="s">
        <v>4015</v>
      </c>
      <c r="B452" t="s">
        <v>107</v>
      </c>
      <c r="C452" t="s">
        <v>107</v>
      </c>
      <c r="F452" t="s">
        <v>613</v>
      </c>
      <c r="G452" t="s">
        <v>614</v>
      </c>
      <c r="H452" t="s">
        <v>615</v>
      </c>
      <c r="I452" t="s">
        <v>271</v>
      </c>
      <c r="J452" t="s">
        <v>113</v>
      </c>
      <c r="K452" t="s">
        <v>114</v>
      </c>
      <c r="L452" t="s">
        <v>114</v>
      </c>
      <c r="M452" t="s">
        <v>114</v>
      </c>
      <c r="N452" t="s">
        <v>114</v>
      </c>
      <c r="O452" t="s">
        <v>114</v>
      </c>
      <c r="P452" t="s">
        <v>114</v>
      </c>
      <c r="Q452" t="s">
        <v>114</v>
      </c>
      <c r="R452" t="s">
        <v>114</v>
      </c>
      <c r="S452" t="s">
        <v>114</v>
      </c>
      <c r="T452" t="s">
        <v>114</v>
      </c>
      <c r="V452" t="s">
        <v>114</v>
      </c>
      <c r="W452" t="s">
        <v>114</v>
      </c>
      <c r="Y452" t="s">
        <v>4016</v>
      </c>
      <c r="Z452" t="s">
        <v>4016</v>
      </c>
      <c r="AA452" t="s">
        <v>4017</v>
      </c>
      <c r="AB452" t="s">
        <v>4018</v>
      </c>
      <c r="AC452" t="s">
        <v>4019</v>
      </c>
      <c r="AG452" t="s">
        <v>123</v>
      </c>
      <c r="AH452" t="s">
        <v>124</v>
      </c>
      <c r="AI452" t="s">
        <v>4020</v>
      </c>
      <c r="AJ452" t="s">
        <v>126</v>
      </c>
      <c r="AK452" t="s">
        <v>127</v>
      </c>
      <c r="AM452" t="s">
        <v>4021</v>
      </c>
      <c r="AN452" t="s">
        <v>4022</v>
      </c>
      <c r="AO452" t="s">
        <v>4023</v>
      </c>
      <c r="AP452" t="s">
        <v>131</v>
      </c>
      <c r="AQ452" t="s">
        <v>132</v>
      </c>
      <c r="AR452" t="s">
        <v>1056</v>
      </c>
      <c r="AS452" t="s">
        <v>1106</v>
      </c>
      <c r="AU452" t="s">
        <v>690</v>
      </c>
      <c r="AV452" t="s">
        <v>690</v>
      </c>
      <c r="AX452" t="s">
        <v>177</v>
      </c>
      <c r="AY452" t="s">
        <v>627</v>
      </c>
      <c r="AZ452" t="s">
        <v>4024</v>
      </c>
      <c r="BB452" t="s">
        <v>140</v>
      </c>
    </row>
    <row r="453" spans="1:54" x14ac:dyDescent="0.35">
      <c r="A453" t="s">
        <v>4025</v>
      </c>
      <c r="B453" t="s">
        <v>336</v>
      </c>
      <c r="C453" t="s">
        <v>336</v>
      </c>
      <c r="D453" t="s">
        <v>337</v>
      </c>
      <c r="E453" t="s">
        <v>108</v>
      </c>
      <c r="F453" t="s">
        <v>3828</v>
      </c>
      <c r="G453" t="s">
        <v>359</v>
      </c>
      <c r="H453" t="s">
        <v>3829</v>
      </c>
      <c r="I453" t="s">
        <v>341</v>
      </c>
      <c r="J453" t="s">
        <v>113</v>
      </c>
      <c r="K453" t="s">
        <v>113</v>
      </c>
      <c r="L453" t="s">
        <v>361</v>
      </c>
      <c r="M453" t="s">
        <v>361</v>
      </c>
      <c r="N453" t="s">
        <v>114</v>
      </c>
      <c r="O453" t="s">
        <v>3174</v>
      </c>
      <c r="P453" t="s">
        <v>322</v>
      </c>
      <c r="Q453" t="s">
        <v>114</v>
      </c>
      <c r="R453" t="s">
        <v>180</v>
      </c>
      <c r="S453" t="s">
        <v>114</v>
      </c>
      <c r="T453" t="s">
        <v>180</v>
      </c>
      <c r="V453" t="s">
        <v>114</v>
      </c>
      <c r="W453" t="s">
        <v>322</v>
      </c>
      <c r="X453" t="s">
        <v>322</v>
      </c>
      <c r="Y453" t="s">
        <v>4026</v>
      </c>
      <c r="AA453" t="s">
        <v>4027</v>
      </c>
      <c r="AB453" t="s">
        <v>4028</v>
      </c>
      <c r="AD453" t="s">
        <v>4029</v>
      </c>
      <c r="AE453" t="s">
        <v>474</v>
      </c>
      <c r="AF453" t="s">
        <v>475</v>
      </c>
      <c r="AG453" t="s">
        <v>123</v>
      </c>
      <c r="AH453" t="s">
        <v>124</v>
      </c>
      <c r="AI453" t="s">
        <v>4030</v>
      </c>
      <c r="AJ453" t="s">
        <v>126</v>
      </c>
      <c r="AK453" t="s">
        <v>127</v>
      </c>
      <c r="AM453" t="s">
        <v>4031</v>
      </c>
      <c r="AN453" t="s">
        <v>4032</v>
      </c>
      <c r="AO453" t="s">
        <v>4033</v>
      </c>
      <c r="AP453" t="s">
        <v>131</v>
      </c>
      <c r="AQ453" t="s">
        <v>132</v>
      </c>
      <c r="AR453" t="s">
        <v>596</v>
      </c>
      <c r="AS453" t="s">
        <v>4034</v>
      </c>
      <c r="AU453" t="s">
        <v>175</v>
      </c>
      <c r="AW453" t="s">
        <v>136</v>
      </c>
      <c r="AX453" t="s">
        <v>177</v>
      </c>
      <c r="AY453" t="s">
        <v>364</v>
      </c>
      <c r="AZ453" t="s">
        <v>4035</v>
      </c>
      <c r="BB453" t="s">
        <v>140</v>
      </c>
    </row>
    <row r="454" spans="1:54" x14ac:dyDescent="0.35">
      <c r="A454" t="s">
        <v>4036</v>
      </c>
      <c r="B454" t="s">
        <v>107</v>
      </c>
      <c r="C454" t="s">
        <v>107</v>
      </c>
      <c r="E454" t="s">
        <v>108</v>
      </c>
      <c r="F454" t="s">
        <v>338</v>
      </c>
      <c r="G454" t="s">
        <v>339</v>
      </c>
      <c r="H454" t="s">
        <v>340</v>
      </c>
      <c r="I454" t="s">
        <v>341</v>
      </c>
      <c r="J454" t="s">
        <v>113</v>
      </c>
      <c r="K454" t="s">
        <v>114</v>
      </c>
      <c r="L454" t="s">
        <v>114</v>
      </c>
      <c r="M454" t="s">
        <v>114</v>
      </c>
      <c r="N454" t="s">
        <v>114</v>
      </c>
      <c r="O454" t="s">
        <v>114</v>
      </c>
      <c r="P454" t="s">
        <v>114</v>
      </c>
      <c r="Q454" t="s">
        <v>114</v>
      </c>
      <c r="R454" t="s">
        <v>180</v>
      </c>
      <c r="S454" t="s">
        <v>114</v>
      </c>
      <c r="T454" t="s">
        <v>180</v>
      </c>
      <c r="V454" t="s">
        <v>114</v>
      </c>
      <c r="W454" t="s">
        <v>4037</v>
      </c>
      <c r="Y454" t="s">
        <v>4038</v>
      </c>
      <c r="Z454" t="s">
        <v>4039</v>
      </c>
      <c r="AA454" t="s">
        <v>4040</v>
      </c>
      <c r="AB454" t="s">
        <v>4041</v>
      </c>
      <c r="AC454" t="s">
        <v>4042</v>
      </c>
      <c r="AG454" t="s">
        <v>123</v>
      </c>
      <c r="AH454" t="s">
        <v>124</v>
      </c>
      <c r="AI454" t="s">
        <v>4043</v>
      </c>
      <c r="AJ454" t="s">
        <v>126</v>
      </c>
      <c r="AK454" t="s">
        <v>127</v>
      </c>
      <c r="AM454" t="s">
        <v>4044</v>
      </c>
      <c r="AN454" t="s">
        <v>4045</v>
      </c>
      <c r="AO454" t="s">
        <v>4046</v>
      </c>
      <c r="AP454" t="s">
        <v>131</v>
      </c>
      <c r="AQ454" t="s">
        <v>132</v>
      </c>
      <c r="AR454" t="s">
        <v>743</v>
      </c>
      <c r="AS454" t="s">
        <v>4047</v>
      </c>
      <c r="AU454" t="s">
        <v>965</v>
      </c>
      <c r="AW454" t="s">
        <v>155</v>
      </c>
      <c r="AX454" t="s">
        <v>177</v>
      </c>
      <c r="AY454" t="s">
        <v>356</v>
      </c>
      <c r="AZ454" t="s">
        <v>4048</v>
      </c>
      <c r="BB454" t="s">
        <v>140</v>
      </c>
    </row>
    <row r="455" spans="1:54" x14ac:dyDescent="0.35">
      <c r="A455" t="s">
        <v>4036</v>
      </c>
      <c r="B455" t="s">
        <v>107</v>
      </c>
      <c r="C455" t="s">
        <v>107</v>
      </c>
      <c r="E455" t="s">
        <v>108</v>
      </c>
      <c r="F455" t="s">
        <v>358</v>
      </c>
      <c r="G455" t="s">
        <v>359</v>
      </c>
      <c r="H455" t="s">
        <v>360</v>
      </c>
      <c r="I455" t="s">
        <v>341</v>
      </c>
      <c r="J455" t="s">
        <v>113</v>
      </c>
      <c r="K455" t="s">
        <v>114</v>
      </c>
      <c r="L455" t="s">
        <v>361</v>
      </c>
      <c r="M455" t="s">
        <v>361</v>
      </c>
      <c r="N455" t="s">
        <v>114</v>
      </c>
      <c r="O455" t="s">
        <v>363</v>
      </c>
      <c r="P455" t="s">
        <v>4037</v>
      </c>
      <c r="Q455" t="s">
        <v>114</v>
      </c>
      <c r="R455" t="s">
        <v>180</v>
      </c>
      <c r="S455" t="s">
        <v>114</v>
      </c>
      <c r="T455" t="s">
        <v>180</v>
      </c>
      <c r="V455" t="s">
        <v>114</v>
      </c>
      <c r="W455" t="s">
        <v>4037</v>
      </c>
      <c r="Y455" t="s">
        <v>4038</v>
      </c>
      <c r="Z455" t="s">
        <v>4039</v>
      </c>
      <c r="AA455" t="s">
        <v>4040</v>
      </c>
      <c r="AB455" t="s">
        <v>4041</v>
      </c>
      <c r="AC455" t="s">
        <v>4042</v>
      </c>
      <c r="AG455" t="s">
        <v>123</v>
      </c>
      <c r="AH455" t="s">
        <v>124</v>
      </c>
      <c r="AI455" t="s">
        <v>4043</v>
      </c>
      <c r="AJ455" t="s">
        <v>126</v>
      </c>
      <c r="AK455" t="s">
        <v>127</v>
      </c>
      <c r="AM455" t="s">
        <v>4044</v>
      </c>
      <c r="AN455" t="s">
        <v>4045</v>
      </c>
      <c r="AO455" t="s">
        <v>4046</v>
      </c>
      <c r="AP455" t="s">
        <v>131</v>
      </c>
      <c r="AQ455" t="s">
        <v>132</v>
      </c>
      <c r="AR455" t="s">
        <v>743</v>
      </c>
      <c r="AS455" t="s">
        <v>4047</v>
      </c>
      <c r="AU455" t="s">
        <v>965</v>
      </c>
      <c r="AW455" t="s">
        <v>155</v>
      </c>
      <c r="AX455" t="s">
        <v>177</v>
      </c>
      <c r="AY455" t="s">
        <v>364</v>
      </c>
      <c r="AZ455" t="s">
        <v>4048</v>
      </c>
      <c r="BB455" t="s">
        <v>140</v>
      </c>
    </row>
    <row r="456" spans="1:54" x14ac:dyDescent="0.35">
      <c r="A456" t="s">
        <v>4049</v>
      </c>
      <c r="B456" t="s">
        <v>336</v>
      </c>
      <c r="C456" t="s">
        <v>336</v>
      </c>
      <c r="D456" t="s">
        <v>337</v>
      </c>
      <c r="E456" t="s">
        <v>108</v>
      </c>
      <c r="F456" t="s">
        <v>268</v>
      </c>
      <c r="G456" t="s">
        <v>269</v>
      </c>
      <c r="H456" t="s">
        <v>2268</v>
      </c>
      <c r="I456" t="s">
        <v>271</v>
      </c>
      <c r="J456" t="s">
        <v>113</v>
      </c>
      <c r="K456" t="s">
        <v>113</v>
      </c>
      <c r="L456" t="s">
        <v>114</v>
      </c>
      <c r="M456" t="s">
        <v>114</v>
      </c>
      <c r="N456" t="s">
        <v>114</v>
      </c>
      <c r="O456" t="s">
        <v>114</v>
      </c>
      <c r="P456" t="s">
        <v>114</v>
      </c>
      <c r="Q456" t="s">
        <v>114</v>
      </c>
      <c r="R456" t="s">
        <v>142</v>
      </c>
      <c r="S456" t="s">
        <v>114</v>
      </c>
      <c r="T456" t="s">
        <v>142</v>
      </c>
      <c r="V456" t="s">
        <v>114</v>
      </c>
      <c r="W456" t="s">
        <v>3563</v>
      </c>
      <c r="X456" t="s">
        <v>114</v>
      </c>
      <c r="Y456" t="s">
        <v>4050</v>
      </c>
      <c r="AD456" t="s">
        <v>4051</v>
      </c>
      <c r="AE456" t="s">
        <v>346</v>
      </c>
      <c r="AF456" t="s">
        <v>347</v>
      </c>
      <c r="AG456" t="s">
        <v>123</v>
      </c>
      <c r="AH456" t="s">
        <v>124</v>
      </c>
      <c r="AJ456" t="s">
        <v>126</v>
      </c>
      <c r="AM456" t="s">
        <v>4052</v>
      </c>
      <c r="AN456" t="s">
        <v>4053</v>
      </c>
      <c r="AO456" t="s">
        <v>4054</v>
      </c>
      <c r="AP456" t="s">
        <v>131</v>
      </c>
      <c r="AQ456" t="s">
        <v>132</v>
      </c>
      <c r="AR456" t="s">
        <v>720</v>
      </c>
      <c r="AS456" t="s">
        <v>4055</v>
      </c>
      <c r="AU456" t="s">
        <v>1216</v>
      </c>
      <c r="AV456" t="s">
        <v>758</v>
      </c>
      <c r="AW456" t="s">
        <v>317</v>
      </c>
      <c r="AX456" t="s">
        <v>272</v>
      </c>
      <c r="AY456" t="s">
        <v>273</v>
      </c>
    </row>
    <row r="457" spans="1:54" x14ac:dyDescent="0.35">
      <c r="A457" t="s">
        <v>4049</v>
      </c>
      <c r="B457" t="s">
        <v>336</v>
      </c>
      <c r="C457" t="s">
        <v>336</v>
      </c>
      <c r="D457" t="s">
        <v>337</v>
      </c>
      <c r="E457" t="s">
        <v>108</v>
      </c>
      <c r="F457" t="s">
        <v>158</v>
      </c>
      <c r="G457" t="s">
        <v>159</v>
      </c>
      <c r="H457" t="s">
        <v>111</v>
      </c>
      <c r="I457" t="s">
        <v>341</v>
      </c>
      <c r="J457" t="s">
        <v>113</v>
      </c>
      <c r="K457" t="s">
        <v>113</v>
      </c>
      <c r="L457" t="s">
        <v>161</v>
      </c>
      <c r="M457" t="s">
        <v>161</v>
      </c>
      <c r="N457" t="s">
        <v>979</v>
      </c>
      <c r="O457" t="s">
        <v>1110</v>
      </c>
      <c r="P457" t="s">
        <v>3563</v>
      </c>
      <c r="Q457" t="s">
        <v>114</v>
      </c>
      <c r="R457" t="s">
        <v>142</v>
      </c>
      <c r="S457" t="s">
        <v>114</v>
      </c>
      <c r="T457" t="s">
        <v>142</v>
      </c>
      <c r="V457" t="s">
        <v>114</v>
      </c>
      <c r="W457" t="s">
        <v>3563</v>
      </c>
      <c r="X457" t="s">
        <v>3563</v>
      </c>
      <c r="Y457" t="s">
        <v>4050</v>
      </c>
      <c r="AD457" t="s">
        <v>4051</v>
      </c>
      <c r="AE457" t="s">
        <v>346</v>
      </c>
      <c r="AF457" t="s">
        <v>347</v>
      </c>
      <c r="AG457" t="s">
        <v>123</v>
      </c>
      <c r="AH457" t="s">
        <v>124</v>
      </c>
      <c r="AJ457" t="s">
        <v>126</v>
      </c>
      <c r="AM457" t="s">
        <v>4052</v>
      </c>
      <c r="AN457" t="s">
        <v>4053</v>
      </c>
      <c r="AO457" t="s">
        <v>4054</v>
      </c>
      <c r="AP457" t="s">
        <v>131</v>
      </c>
      <c r="AQ457" t="s">
        <v>132</v>
      </c>
      <c r="AR457" t="s">
        <v>720</v>
      </c>
      <c r="AS457" t="s">
        <v>4055</v>
      </c>
      <c r="AU457" t="s">
        <v>1216</v>
      </c>
      <c r="AV457" t="s">
        <v>758</v>
      </c>
      <c r="AW457" t="s">
        <v>317</v>
      </c>
      <c r="AX457" t="s">
        <v>177</v>
      </c>
      <c r="AY457" t="s">
        <v>138</v>
      </c>
    </row>
    <row r="458" spans="1:54" x14ac:dyDescent="0.35">
      <c r="A458" t="s">
        <v>4056</v>
      </c>
      <c r="B458" t="s">
        <v>336</v>
      </c>
      <c r="C458" t="s">
        <v>336</v>
      </c>
      <c r="D458" t="s">
        <v>337</v>
      </c>
      <c r="E458" t="s">
        <v>108</v>
      </c>
      <c r="F458" t="s">
        <v>158</v>
      </c>
      <c r="G458" t="s">
        <v>159</v>
      </c>
      <c r="H458" t="s">
        <v>111</v>
      </c>
      <c r="I458" t="s">
        <v>341</v>
      </c>
      <c r="J458" t="s">
        <v>113</v>
      </c>
      <c r="K458" t="s">
        <v>113</v>
      </c>
      <c r="L458" t="s">
        <v>161</v>
      </c>
      <c r="M458" t="s">
        <v>161</v>
      </c>
      <c r="N458" t="s">
        <v>979</v>
      </c>
      <c r="O458" t="s">
        <v>1110</v>
      </c>
      <c r="P458" t="s">
        <v>3563</v>
      </c>
      <c r="Q458" t="s">
        <v>180</v>
      </c>
      <c r="R458" t="s">
        <v>180</v>
      </c>
      <c r="S458" t="s">
        <v>114</v>
      </c>
      <c r="T458" t="s">
        <v>114</v>
      </c>
      <c r="V458" t="s">
        <v>114</v>
      </c>
      <c r="W458" t="s">
        <v>4057</v>
      </c>
      <c r="X458" t="s">
        <v>3563</v>
      </c>
      <c r="Y458" t="s">
        <v>4058</v>
      </c>
      <c r="AD458" t="s">
        <v>4059</v>
      </c>
      <c r="AE458" t="s">
        <v>346</v>
      </c>
      <c r="AF458" t="s">
        <v>4060</v>
      </c>
      <c r="AG458" t="s">
        <v>123</v>
      </c>
      <c r="AH458" t="s">
        <v>124</v>
      </c>
      <c r="AJ458" t="s">
        <v>126</v>
      </c>
      <c r="AM458" t="s">
        <v>4061</v>
      </c>
      <c r="AN458" t="s">
        <v>4062</v>
      </c>
      <c r="AO458" t="s">
        <v>4063</v>
      </c>
      <c r="AP458" t="s">
        <v>131</v>
      </c>
      <c r="AQ458" t="s">
        <v>132</v>
      </c>
      <c r="AR458" t="s">
        <v>796</v>
      </c>
      <c r="AS458" t="s">
        <v>2224</v>
      </c>
      <c r="AU458" t="s">
        <v>1607</v>
      </c>
      <c r="AW458" t="s">
        <v>155</v>
      </c>
      <c r="AX458" t="s">
        <v>177</v>
      </c>
      <c r="AY458" t="s">
        <v>138</v>
      </c>
    </row>
    <row r="459" spans="1:54" x14ac:dyDescent="0.35">
      <c r="A459" t="s">
        <v>4056</v>
      </c>
      <c r="B459" t="s">
        <v>336</v>
      </c>
      <c r="C459" t="s">
        <v>336</v>
      </c>
      <c r="D459" t="s">
        <v>337</v>
      </c>
      <c r="E459" t="s">
        <v>108</v>
      </c>
      <c r="F459" t="s">
        <v>268</v>
      </c>
      <c r="G459" t="s">
        <v>269</v>
      </c>
      <c r="H459" t="s">
        <v>2268</v>
      </c>
      <c r="I459" t="s">
        <v>271</v>
      </c>
      <c r="J459" t="s">
        <v>113</v>
      </c>
      <c r="K459" t="s">
        <v>113</v>
      </c>
      <c r="L459" t="s">
        <v>114</v>
      </c>
      <c r="M459" t="s">
        <v>114</v>
      </c>
      <c r="N459" t="s">
        <v>114</v>
      </c>
      <c r="O459" t="s">
        <v>114</v>
      </c>
      <c r="P459" t="s">
        <v>114</v>
      </c>
      <c r="Q459" t="s">
        <v>180</v>
      </c>
      <c r="R459" t="s">
        <v>180</v>
      </c>
      <c r="S459" t="s">
        <v>114</v>
      </c>
      <c r="T459" t="s">
        <v>114</v>
      </c>
      <c r="V459" t="s">
        <v>114</v>
      </c>
      <c r="W459" t="s">
        <v>4057</v>
      </c>
      <c r="X459" t="s">
        <v>114</v>
      </c>
      <c r="Y459" t="s">
        <v>4058</v>
      </c>
      <c r="AD459" t="s">
        <v>4059</v>
      </c>
      <c r="AE459" t="s">
        <v>346</v>
      </c>
      <c r="AF459" t="s">
        <v>4060</v>
      </c>
      <c r="AG459" t="s">
        <v>123</v>
      </c>
      <c r="AH459" t="s">
        <v>124</v>
      </c>
      <c r="AJ459" t="s">
        <v>126</v>
      </c>
      <c r="AM459" t="s">
        <v>4061</v>
      </c>
      <c r="AN459" t="s">
        <v>4062</v>
      </c>
      <c r="AO459" t="s">
        <v>4063</v>
      </c>
      <c r="AP459" t="s">
        <v>131</v>
      </c>
      <c r="AQ459" t="s">
        <v>132</v>
      </c>
      <c r="AR459" t="s">
        <v>796</v>
      </c>
      <c r="AS459" t="s">
        <v>2224</v>
      </c>
      <c r="AU459" t="s">
        <v>1607</v>
      </c>
      <c r="AW459" t="s">
        <v>155</v>
      </c>
      <c r="AX459" t="s">
        <v>272</v>
      </c>
      <c r="AY459" t="s">
        <v>273</v>
      </c>
    </row>
    <row r="460" spans="1:54" x14ac:dyDescent="0.35">
      <c r="A460" t="s">
        <v>4064</v>
      </c>
      <c r="B460" t="s">
        <v>107</v>
      </c>
      <c r="C460" t="s">
        <v>107</v>
      </c>
      <c r="E460" t="s">
        <v>108</v>
      </c>
      <c r="F460" t="s">
        <v>338</v>
      </c>
      <c r="G460" t="s">
        <v>339</v>
      </c>
      <c r="H460" t="s">
        <v>340</v>
      </c>
      <c r="I460" t="s">
        <v>341</v>
      </c>
      <c r="J460" t="s">
        <v>113</v>
      </c>
      <c r="K460" t="s">
        <v>114</v>
      </c>
      <c r="L460" t="s">
        <v>114</v>
      </c>
      <c r="M460" t="s">
        <v>114</v>
      </c>
      <c r="N460" t="s">
        <v>114</v>
      </c>
      <c r="O460" t="s">
        <v>114</v>
      </c>
      <c r="P460" t="s">
        <v>114</v>
      </c>
      <c r="Q460" t="s">
        <v>114</v>
      </c>
      <c r="R460" t="s">
        <v>142</v>
      </c>
      <c r="S460" t="s">
        <v>114</v>
      </c>
      <c r="T460" t="s">
        <v>142</v>
      </c>
      <c r="V460" t="s">
        <v>114</v>
      </c>
      <c r="W460" t="s">
        <v>4037</v>
      </c>
      <c r="Y460" t="s">
        <v>4065</v>
      </c>
      <c r="Z460" t="s">
        <v>4066</v>
      </c>
      <c r="AA460" t="s">
        <v>4067</v>
      </c>
      <c r="AB460" t="s">
        <v>4068</v>
      </c>
      <c r="AC460" t="s">
        <v>4066</v>
      </c>
      <c r="AG460" t="s">
        <v>123</v>
      </c>
      <c r="AH460" t="s">
        <v>124</v>
      </c>
      <c r="AI460" t="s">
        <v>4069</v>
      </c>
      <c r="AJ460" t="s">
        <v>126</v>
      </c>
      <c r="AK460" t="s">
        <v>127</v>
      </c>
      <c r="AM460" t="s">
        <v>4070</v>
      </c>
      <c r="AN460" t="s">
        <v>4071</v>
      </c>
      <c r="AO460" t="s">
        <v>4072</v>
      </c>
      <c r="AP460" t="s">
        <v>131</v>
      </c>
      <c r="AQ460" t="s">
        <v>132</v>
      </c>
      <c r="AR460" t="s">
        <v>1440</v>
      </c>
      <c r="AS460" t="s">
        <v>4073</v>
      </c>
      <c r="AU460" t="s">
        <v>638</v>
      </c>
      <c r="AW460" t="s">
        <v>136</v>
      </c>
      <c r="AX460" t="s">
        <v>177</v>
      </c>
      <c r="AY460" t="s">
        <v>356</v>
      </c>
      <c r="AZ460" t="s">
        <v>4074</v>
      </c>
      <c r="BB460" t="s">
        <v>140</v>
      </c>
    </row>
    <row r="461" spans="1:54" x14ac:dyDescent="0.35">
      <c r="A461" t="s">
        <v>4064</v>
      </c>
      <c r="B461" t="s">
        <v>107</v>
      </c>
      <c r="C461" t="s">
        <v>107</v>
      </c>
      <c r="E461" t="s">
        <v>108</v>
      </c>
      <c r="F461" t="s">
        <v>358</v>
      </c>
      <c r="G461" t="s">
        <v>359</v>
      </c>
      <c r="H461" t="s">
        <v>360</v>
      </c>
      <c r="I461" t="s">
        <v>341</v>
      </c>
      <c r="J461" t="s">
        <v>113</v>
      </c>
      <c r="K461" t="s">
        <v>114</v>
      </c>
      <c r="L461" t="s">
        <v>361</v>
      </c>
      <c r="M461" t="s">
        <v>361</v>
      </c>
      <c r="N461" t="s">
        <v>114</v>
      </c>
      <c r="O461" t="s">
        <v>363</v>
      </c>
      <c r="P461" t="s">
        <v>4037</v>
      </c>
      <c r="Q461" t="s">
        <v>114</v>
      </c>
      <c r="R461" t="s">
        <v>142</v>
      </c>
      <c r="S461" t="s">
        <v>114</v>
      </c>
      <c r="T461" t="s">
        <v>142</v>
      </c>
      <c r="V461" t="s">
        <v>114</v>
      </c>
      <c r="W461" t="s">
        <v>4037</v>
      </c>
      <c r="Y461" t="s">
        <v>4065</v>
      </c>
      <c r="Z461" t="s">
        <v>4066</v>
      </c>
      <c r="AA461" t="s">
        <v>4067</v>
      </c>
      <c r="AB461" t="s">
        <v>4068</v>
      </c>
      <c r="AC461" t="s">
        <v>4066</v>
      </c>
      <c r="AG461" t="s">
        <v>123</v>
      </c>
      <c r="AH461" t="s">
        <v>124</v>
      </c>
      <c r="AI461" t="s">
        <v>4069</v>
      </c>
      <c r="AJ461" t="s">
        <v>126</v>
      </c>
      <c r="AK461" t="s">
        <v>127</v>
      </c>
      <c r="AM461" t="s">
        <v>4070</v>
      </c>
      <c r="AN461" t="s">
        <v>4071</v>
      </c>
      <c r="AO461" t="s">
        <v>4072</v>
      </c>
      <c r="AP461" t="s">
        <v>131</v>
      </c>
      <c r="AQ461" t="s">
        <v>132</v>
      </c>
      <c r="AR461" t="s">
        <v>1440</v>
      </c>
      <c r="AS461" t="s">
        <v>4073</v>
      </c>
      <c r="AU461" t="s">
        <v>638</v>
      </c>
      <c r="AW461" t="s">
        <v>136</v>
      </c>
      <c r="AX461" t="s">
        <v>177</v>
      </c>
      <c r="AY461" t="s">
        <v>364</v>
      </c>
      <c r="AZ461" t="s">
        <v>4074</v>
      </c>
      <c r="BB461" t="s">
        <v>140</v>
      </c>
    </row>
    <row r="462" spans="1:54" x14ac:dyDescent="0.35">
      <c r="A462" t="s">
        <v>4075</v>
      </c>
      <c r="B462" t="s">
        <v>107</v>
      </c>
      <c r="C462" t="s">
        <v>107</v>
      </c>
      <c r="E462" t="s">
        <v>108</v>
      </c>
      <c r="F462" t="s">
        <v>158</v>
      </c>
      <c r="G462" t="s">
        <v>159</v>
      </c>
      <c r="H462" t="s">
        <v>111</v>
      </c>
      <c r="I462" t="s">
        <v>341</v>
      </c>
      <c r="J462" t="s">
        <v>113</v>
      </c>
      <c r="K462" t="s">
        <v>114</v>
      </c>
      <c r="L462" t="s">
        <v>161</v>
      </c>
      <c r="M462" t="s">
        <v>161</v>
      </c>
      <c r="N462" t="s">
        <v>994</v>
      </c>
      <c r="O462" t="s">
        <v>1110</v>
      </c>
      <c r="P462" t="s">
        <v>1151</v>
      </c>
      <c r="Q462" t="s">
        <v>114</v>
      </c>
      <c r="R462" t="s">
        <v>180</v>
      </c>
      <c r="S462" t="s">
        <v>114</v>
      </c>
      <c r="T462" t="s">
        <v>180</v>
      </c>
      <c r="V462" t="s">
        <v>114</v>
      </c>
      <c r="W462" t="s">
        <v>1151</v>
      </c>
      <c r="Y462" t="s">
        <v>4076</v>
      </c>
      <c r="Z462" t="s">
        <v>4077</v>
      </c>
      <c r="AA462" t="s">
        <v>4078</v>
      </c>
      <c r="AB462" t="s">
        <v>4079</v>
      </c>
      <c r="AC462" t="s">
        <v>4077</v>
      </c>
      <c r="AG462" t="s">
        <v>123</v>
      </c>
      <c r="AH462" t="s">
        <v>124</v>
      </c>
      <c r="AI462" t="s">
        <v>4080</v>
      </c>
      <c r="AJ462" t="s">
        <v>126</v>
      </c>
      <c r="AK462" t="s">
        <v>127</v>
      </c>
      <c r="AM462" t="s">
        <v>4081</v>
      </c>
      <c r="AN462" t="s">
        <v>4082</v>
      </c>
      <c r="AO462" t="s">
        <v>4083</v>
      </c>
      <c r="AP462" t="s">
        <v>131</v>
      </c>
      <c r="AQ462" t="s">
        <v>132</v>
      </c>
      <c r="AR462" t="s">
        <v>297</v>
      </c>
      <c r="AS462" t="s">
        <v>4084</v>
      </c>
      <c r="AU462" t="s">
        <v>625</v>
      </c>
      <c r="AV462" t="s">
        <v>759</v>
      </c>
      <c r="AW462" t="s">
        <v>136</v>
      </c>
      <c r="AX462" t="s">
        <v>177</v>
      </c>
      <c r="AY462" t="s">
        <v>138</v>
      </c>
      <c r="AZ462" t="s">
        <v>4085</v>
      </c>
      <c r="BB462" t="s">
        <v>140</v>
      </c>
    </row>
    <row r="463" spans="1:54" x14ac:dyDescent="0.35">
      <c r="A463" t="s">
        <v>4075</v>
      </c>
      <c r="B463" t="s">
        <v>107</v>
      </c>
      <c r="C463" t="s">
        <v>107</v>
      </c>
      <c r="E463" t="s">
        <v>108</v>
      </c>
      <c r="F463" t="s">
        <v>268</v>
      </c>
      <c r="G463" t="s">
        <v>269</v>
      </c>
      <c r="H463" t="s">
        <v>2268</v>
      </c>
      <c r="I463" t="s">
        <v>271</v>
      </c>
      <c r="J463" t="s">
        <v>113</v>
      </c>
      <c r="K463" t="s">
        <v>114</v>
      </c>
      <c r="L463" t="s">
        <v>114</v>
      </c>
      <c r="M463" t="s">
        <v>114</v>
      </c>
      <c r="N463" t="s">
        <v>114</v>
      </c>
      <c r="O463" t="s">
        <v>114</v>
      </c>
      <c r="P463" t="s">
        <v>114</v>
      </c>
      <c r="Q463" t="s">
        <v>114</v>
      </c>
      <c r="R463" t="s">
        <v>180</v>
      </c>
      <c r="S463" t="s">
        <v>114</v>
      </c>
      <c r="T463" t="s">
        <v>180</v>
      </c>
      <c r="V463" t="s">
        <v>114</v>
      </c>
      <c r="W463" t="s">
        <v>1151</v>
      </c>
      <c r="Y463" t="s">
        <v>4076</v>
      </c>
      <c r="Z463" t="s">
        <v>4077</v>
      </c>
      <c r="AA463" t="s">
        <v>4078</v>
      </c>
      <c r="AB463" t="s">
        <v>4079</v>
      </c>
      <c r="AC463" t="s">
        <v>4077</v>
      </c>
      <c r="AG463" t="s">
        <v>123</v>
      </c>
      <c r="AH463" t="s">
        <v>124</v>
      </c>
      <c r="AI463" t="s">
        <v>4080</v>
      </c>
      <c r="AJ463" t="s">
        <v>126</v>
      </c>
      <c r="AK463" t="s">
        <v>127</v>
      </c>
      <c r="AM463" t="s">
        <v>4081</v>
      </c>
      <c r="AN463" t="s">
        <v>4082</v>
      </c>
      <c r="AO463" t="s">
        <v>4083</v>
      </c>
      <c r="AP463" t="s">
        <v>131</v>
      </c>
      <c r="AQ463" t="s">
        <v>132</v>
      </c>
      <c r="AR463" t="s">
        <v>297</v>
      </c>
      <c r="AS463" t="s">
        <v>4084</v>
      </c>
      <c r="AU463" t="s">
        <v>625</v>
      </c>
      <c r="AV463" t="s">
        <v>759</v>
      </c>
      <c r="AW463" t="s">
        <v>136</v>
      </c>
      <c r="AX463" t="s">
        <v>272</v>
      </c>
      <c r="AY463" t="s">
        <v>273</v>
      </c>
      <c r="AZ463" t="s">
        <v>4085</v>
      </c>
      <c r="BB463" t="s">
        <v>140</v>
      </c>
    </row>
    <row r="464" spans="1:54" x14ac:dyDescent="0.35">
      <c r="A464" t="s">
        <v>4086</v>
      </c>
      <c r="B464" t="s">
        <v>107</v>
      </c>
      <c r="C464" t="s">
        <v>107</v>
      </c>
      <c r="E464" t="s">
        <v>108</v>
      </c>
      <c r="F464" t="s">
        <v>158</v>
      </c>
      <c r="G464" t="s">
        <v>159</v>
      </c>
      <c r="H464" t="s">
        <v>111</v>
      </c>
      <c r="I464" t="s">
        <v>341</v>
      </c>
      <c r="J464" t="s">
        <v>113</v>
      </c>
      <c r="K464" t="s">
        <v>114</v>
      </c>
      <c r="L464" t="s">
        <v>161</v>
      </c>
      <c r="M464" t="s">
        <v>161</v>
      </c>
      <c r="N464" t="s">
        <v>114</v>
      </c>
      <c r="O464" t="s">
        <v>1110</v>
      </c>
      <c r="P464" t="s">
        <v>1111</v>
      </c>
      <c r="Q464" t="s">
        <v>114</v>
      </c>
      <c r="R464" t="s">
        <v>180</v>
      </c>
      <c r="S464" t="s">
        <v>114</v>
      </c>
      <c r="T464" t="s">
        <v>180</v>
      </c>
      <c r="V464" t="s">
        <v>114</v>
      </c>
      <c r="W464" t="s">
        <v>1111</v>
      </c>
      <c r="Y464" t="s">
        <v>4087</v>
      </c>
      <c r="Z464" t="s">
        <v>4088</v>
      </c>
      <c r="AA464" t="s">
        <v>4089</v>
      </c>
      <c r="AB464" t="s">
        <v>4090</v>
      </c>
      <c r="AC464" t="s">
        <v>4088</v>
      </c>
      <c r="AG464" t="s">
        <v>123</v>
      </c>
      <c r="AH464" t="s">
        <v>124</v>
      </c>
      <c r="AI464" t="s">
        <v>4091</v>
      </c>
      <c r="AJ464" t="s">
        <v>126</v>
      </c>
      <c r="AK464" t="s">
        <v>127</v>
      </c>
      <c r="AM464" t="s">
        <v>4092</v>
      </c>
      <c r="AN464" t="s">
        <v>4093</v>
      </c>
      <c r="AO464" t="s">
        <v>4094</v>
      </c>
      <c r="AP464" t="s">
        <v>131</v>
      </c>
      <c r="AQ464" t="s">
        <v>132</v>
      </c>
      <c r="AR464" t="s">
        <v>756</v>
      </c>
      <c r="AS464" t="s">
        <v>4095</v>
      </c>
      <c r="AU464" t="s">
        <v>516</v>
      </c>
      <c r="AW464" t="s">
        <v>136</v>
      </c>
      <c r="AX464" t="s">
        <v>177</v>
      </c>
      <c r="AY464" t="s">
        <v>138</v>
      </c>
      <c r="AZ464" t="s">
        <v>4096</v>
      </c>
      <c r="BB464" t="s">
        <v>140</v>
      </c>
    </row>
    <row r="465" spans="1:54" x14ac:dyDescent="0.35">
      <c r="A465" t="s">
        <v>4086</v>
      </c>
      <c r="B465" t="s">
        <v>107</v>
      </c>
      <c r="C465" t="s">
        <v>107</v>
      </c>
      <c r="E465" t="s">
        <v>108</v>
      </c>
      <c r="F465" t="s">
        <v>268</v>
      </c>
      <c r="G465" t="s">
        <v>269</v>
      </c>
      <c r="H465" t="s">
        <v>2268</v>
      </c>
      <c r="I465" t="s">
        <v>271</v>
      </c>
      <c r="J465" t="s">
        <v>113</v>
      </c>
      <c r="K465" t="s">
        <v>114</v>
      </c>
      <c r="L465" t="s">
        <v>114</v>
      </c>
      <c r="M465" t="s">
        <v>114</v>
      </c>
      <c r="N465" t="s">
        <v>114</v>
      </c>
      <c r="O465" t="s">
        <v>114</v>
      </c>
      <c r="P465" t="s">
        <v>114</v>
      </c>
      <c r="Q465" t="s">
        <v>114</v>
      </c>
      <c r="R465" t="s">
        <v>180</v>
      </c>
      <c r="S465" t="s">
        <v>114</v>
      </c>
      <c r="T465" t="s">
        <v>180</v>
      </c>
      <c r="V465" t="s">
        <v>114</v>
      </c>
      <c r="W465" t="s">
        <v>1111</v>
      </c>
      <c r="Y465" t="s">
        <v>4087</v>
      </c>
      <c r="Z465" t="s">
        <v>4088</v>
      </c>
      <c r="AA465" t="s">
        <v>4089</v>
      </c>
      <c r="AB465" t="s">
        <v>4090</v>
      </c>
      <c r="AC465" t="s">
        <v>4088</v>
      </c>
      <c r="AG465" t="s">
        <v>123</v>
      </c>
      <c r="AH465" t="s">
        <v>124</v>
      </c>
      <c r="AI465" t="s">
        <v>4091</v>
      </c>
      <c r="AJ465" t="s">
        <v>126</v>
      </c>
      <c r="AK465" t="s">
        <v>127</v>
      </c>
      <c r="AM465" t="s">
        <v>4092</v>
      </c>
      <c r="AN465" t="s">
        <v>4093</v>
      </c>
      <c r="AO465" t="s">
        <v>4094</v>
      </c>
      <c r="AP465" t="s">
        <v>131</v>
      </c>
      <c r="AQ465" t="s">
        <v>132</v>
      </c>
      <c r="AR465" t="s">
        <v>756</v>
      </c>
      <c r="AS465" t="s">
        <v>4095</v>
      </c>
      <c r="AU465" t="s">
        <v>516</v>
      </c>
      <c r="AW465" t="s">
        <v>136</v>
      </c>
      <c r="AX465" t="s">
        <v>272</v>
      </c>
      <c r="AY465" t="s">
        <v>273</v>
      </c>
      <c r="AZ465" t="s">
        <v>4096</v>
      </c>
      <c r="BB465" t="s">
        <v>140</v>
      </c>
    </row>
    <row r="466" spans="1:54" x14ac:dyDescent="0.35">
      <c r="A466" t="s">
        <v>4097</v>
      </c>
      <c r="B466" t="s">
        <v>107</v>
      </c>
      <c r="C466" t="s">
        <v>107</v>
      </c>
      <c r="E466" t="s">
        <v>108</v>
      </c>
      <c r="F466" t="s">
        <v>158</v>
      </c>
      <c r="G466" t="s">
        <v>159</v>
      </c>
      <c r="H466" t="s">
        <v>111</v>
      </c>
      <c r="I466" t="s">
        <v>341</v>
      </c>
      <c r="J466" t="s">
        <v>113</v>
      </c>
      <c r="K466" t="s">
        <v>114</v>
      </c>
      <c r="L466" t="s">
        <v>161</v>
      </c>
      <c r="M466" t="s">
        <v>161</v>
      </c>
      <c r="N466" t="s">
        <v>1679</v>
      </c>
      <c r="O466" t="s">
        <v>1110</v>
      </c>
      <c r="P466" t="s">
        <v>1680</v>
      </c>
      <c r="Q466" t="s">
        <v>114</v>
      </c>
      <c r="R466" t="s">
        <v>142</v>
      </c>
      <c r="S466" t="s">
        <v>114</v>
      </c>
      <c r="T466" t="s">
        <v>142</v>
      </c>
      <c r="V466" t="s">
        <v>114</v>
      </c>
      <c r="W466" t="s">
        <v>1680</v>
      </c>
      <c r="Y466" t="s">
        <v>4098</v>
      </c>
      <c r="Z466" t="s">
        <v>4099</v>
      </c>
      <c r="AA466" t="s">
        <v>4100</v>
      </c>
      <c r="AB466" t="s">
        <v>4101</v>
      </c>
      <c r="AC466" t="s">
        <v>4099</v>
      </c>
      <c r="AG466" t="s">
        <v>123</v>
      </c>
      <c r="AH466" t="s">
        <v>124</v>
      </c>
      <c r="AI466" t="s">
        <v>4102</v>
      </c>
      <c r="AJ466" t="s">
        <v>126</v>
      </c>
      <c r="AK466" t="s">
        <v>127</v>
      </c>
      <c r="AM466" t="s">
        <v>1581</v>
      </c>
      <c r="AN466" t="s">
        <v>1582</v>
      </c>
      <c r="AO466" t="s">
        <v>1583</v>
      </c>
      <c r="AP466" t="s">
        <v>131</v>
      </c>
      <c r="AQ466" t="s">
        <v>132</v>
      </c>
      <c r="AR466" t="s">
        <v>152</v>
      </c>
      <c r="AS466" t="s">
        <v>1584</v>
      </c>
      <c r="AU466" t="s">
        <v>406</v>
      </c>
      <c r="AW466" t="s">
        <v>136</v>
      </c>
      <c r="AX466" t="s">
        <v>177</v>
      </c>
      <c r="AY466" t="s">
        <v>138</v>
      </c>
      <c r="AZ466" t="s">
        <v>4103</v>
      </c>
      <c r="BB466" t="s">
        <v>140</v>
      </c>
    </row>
    <row r="467" spans="1:54" x14ac:dyDescent="0.35">
      <c r="A467" t="s">
        <v>4097</v>
      </c>
      <c r="B467" t="s">
        <v>107</v>
      </c>
      <c r="C467" t="s">
        <v>107</v>
      </c>
      <c r="E467" t="s">
        <v>108</v>
      </c>
      <c r="F467" t="s">
        <v>268</v>
      </c>
      <c r="G467" t="s">
        <v>269</v>
      </c>
      <c r="H467" t="s">
        <v>2268</v>
      </c>
      <c r="I467" t="s">
        <v>271</v>
      </c>
      <c r="J467" t="s">
        <v>113</v>
      </c>
      <c r="K467" t="s">
        <v>114</v>
      </c>
      <c r="L467" t="s">
        <v>114</v>
      </c>
      <c r="M467" t="s">
        <v>114</v>
      </c>
      <c r="N467" t="s">
        <v>114</v>
      </c>
      <c r="O467" t="s">
        <v>114</v>
      </c>
      <c r="P467" t="s">
        <v>114</v>
      </c>
      <c r="Q467" t="s">
        <v>114</v>
      </c>
      <c r="R467" t="s">
        <v>142</v>
      </c>
      <c r="S467" t="s">
        <v>114</v>
      </c>
      <c r="T467" t="s">
        <v>142</v>
      </c>
      <c r="V467" t="s">
        <v>114</v>
      </c>
      <c r="W467" t="s">
        <v>1680</v>
      </c>
      <c r="Y467" t="s">
        <v>4098</v>
      </c>
      <c r="Z467" t="s">
        <v>4099</v>
      </c>
      <c r="AA467" t="s">
        <v>4100</v>
      </c>
      <c r="AB467" t="s">
        <v>4101</v>
      </c>
      <c r="AC467" t="s">
        <v>4099</v>
      </c>
      <c r="AG467" t="s">
        <v>123</v>
      </c>
      <c r="AH467" t="s">
        <v>124</v>
      </c>
      <c r="AI467" t="s">
        <v>4102</v>
      </c>
      <c r="AJ467" t="s">
        <v>126</v>
      </c>
      <c r="AK467" t="s">
        <v>127</v>
      </c>
      <c r="AM467" t="s">
        <v>1581</v>
      </c>
      <c r="AN467" t="s">
        <v>1582</v>
      </c>
      <c r="AO467" t="s">
        <v>1583</v>
      </c>
      <c r="AP467" t="s">
        <v>131</v>
      </c>
      <c r="AQ467" t="s">
        <v>132</v>
      </c>
      <c r="AR467" t="s">
        <v>152</v>
      </c>
      <c r="AS467" t="s">
        <v>1584</v>
      </c>
      <c r="AU467" t="s">
        <v>406</v>
      </c>
      <c r="AW467" t="s">
        <v>136</v>
      </c>
      <c r="AX467" t="s">
        <v>272</v>
      </c>
      <c r="AY467" t="s">
        <v>273</v>
      </c>
      <c r="AZ467" t="s">
        <v>4103</v>
      </c>
      <c r="BB467" t="s">
        <v>140</v>
      </c>
    </row>
    <row r="468" spans="1:54" x14ac:dyDescent="0.35">
      <c r="A468" t="s">
        <v>4104</v>
      </c>
      <c r="B468" t="s">
        <v>107</v>
      </c>
      <c r="C468" t="s">
        <v>107</v>
      </c>
      <c r="E468" t="s">
        <v>108</v>
      </c>
      <c r="F468" t="s">
        <v>338</v>
      </c>
      <c r="G468" t="s">
        <v>339</v>
      </c>
      <c r="H468" t="s">
        <v>340</v>
      </c>
      <c r="I468" t="s">
        <v>341</v>
      </c>
      <c r="J468" t="s">
        <v>113</v>
      </c>
      <c r="K468" t="s">
        <v>114</v>
      </c>
      <c r="L468" t="s">
        <v>114</v>
      </c>
      <c r="M468" t="s">
        <v>114</v>
      </c>
      <c r="N468" t="s">
        <v>114</v>
      </c>
      <c r="O468" t="s">
        <v>114</v>
      </c>
      <c r="P468" t="s">
        <v>114</v>
      </c>
      <c r="Q468" t="s">
        <v>114</v>
      </c>
      <c r="R468" t="s">
        <v>142</v>
      </c>
      <c r="S468" t="s">
        <v>114</v>
      </c>
      <c r="T468" t="s">
        <v>142</v>
      </c>
      <c r="V468" t="s">
        <v>114</v>
      </c>
      <c r="W468" t="s">
        <v>4037</v>
      </c>
      <c r="Y468" t="s">
        <v>4105</v>
      </c>
      <c r="Z468" t="s">
        <v>4106</v>
      </c>
      <c r="AA468" t="s">
        <v>4107</v>
      </c>
      <c r="AB468" t="s">
        <v>4108</v>
      </c>
      <c r="AC468" t="s">
        <v>4109</v>
      </c>
      <c r="AG468" t="s">
        <v>123</v>
      </c>
      <c r="AH468" t="s">
        <v>124</v>
      </c>
      <c r="AI468" t="s">
        <v>4110</v>
      </c>
      <c r="AJ468" t="s">
        <v>126</v>
      </c>
      <c r="AK468" t="s">
        <v>127</v>
      </c>
      <c r="AM468" t="s">
        <v>4111</v>
      </c>
      <c r="AN468" t="s">
        <v>4112</v>
      </c>
      <c r="AO468" t="s">
        <v>4113</v>
      </c>
      <c r="AP468" t="s">
        <v>131</v>
      </c>
      <c r="AQ468" t="s">
        <v>132</v>
      </c>
      <c r="AR468" t="s">
        <v>466</v>
      </c>
      <c r="AS468" t="s">
        <v>584</v>
      </c>
      <c r="AU468" t="s">
        <v>4114</v>
      </c>
      <c r="AW468" t="s">
        <v>655</v>
      </c>
      <c r="AX468" t="s">
        <v>177</v>
      </c>
      <c r="AY468" t="s">
        <v>356</v>
      </c>
      <c r="AZ468" t="s">
        <v>4115</v>
      </c>
      <c r="BB468" t="s">
        <v>140</v>
      </c>
    </row>
    <row r="469" spans="1:54" x14ac:dyDescent="0.35">
      <c r="A469" t="s">
        <v>4104</v>
      </c>
      <c r="B469" t="s">
        <v>107</v>
      </c>
      <c r="C469" t="s">
        <v>107</v>
      </c>
      <c r="E469" t="s">
        <v>108</v>
      </c>
      <c r="F469" t="s">
        <v>358</v>
      </c>
      <c r="G469" t="s">
        <v>359</v>
      </c>
      <c r="H469" t="s">
        <v>360</v>
      </c>
      <c r="I469" t="s">
        <v>341</v>
      </c>
      <c r="J469" t="s">
        <v>113</v>
      </c>
      <c r="K469" t="s">
        <v>114</v>
      </c>
      <c r="L469" t="s">
        <v>361</v>
      </c>
      <c r="M469" t="s">
        <v>361</v>
      </c>
      <c r="N469" t="s">
        <v>114</v>
      </c>
      <c r="O469" t="s">
        <v>363</v>
      </c>
      <c r="P469" t="s">
        <v>4037</v>
      </c>
      <c r="Q469" t="s">
        <v>114</v>
      </c>
      <c r="R469" t="s">
        <v>142</v>
      </c>
      <c r="S469" t="s">
        <v>114</v>
      </c>
      <c r="T469" t="s">
        <v>142</v>
      </c>
      <c r="V469" t="s">
        <v>114</v>
      </c>
      <c r="W469" t="s">
        <v>4037</v>
      </c>
      <c r="Y469" t="s">
        <v>4105</v>
      </c>
      <c r="Z469" t="s">
        <v>4106</v>
      </c>
      <c r="AA469" t="s">
        <v>4107</v>
      </c>
      <c r="AB469" t="s">
        <v>4108</v>
      </c>
      <c r="AC469" t="s">
        <v>4109</v>
      </c>
      <c r="AG469" t="s">
        <v>123</v>
      </c>
      <c r="AH469" t="s">
        <v>124</v>
      </c>
      <c r="AI469" t="s">
        <v>4110</v>
      </c>
      <c r="AJ469" t="s">
        <v>126</v>
      </c>
      <c r="AK469" t="s">
        <v>127</v>
      </c>
      <c r="AM469" t="s">
        <v>4111</v>
      </c>
      <c r="AN469" t="s">
        <v>4112</v>
      </c>
      <c r="AO469" t="s">
        <v>4113</v>
      </c>
      <c r="AP469" t="s">
        <v>131</v>
      </c>
      <c r="AQ469" t="s">
        <v>132</v>
      </c>
      <c r="AR469" t="s">
        <v>466</v>
      </c>
      <c r="AS469" t="s">
        <v>584</v>
      </c>
      <c r="AU469" t="s">
        <v>4114</v>
      </c>
      <c r="AW469" t="s">
        <v>655</v>
      </c>
      <c r="AX469" t="s">
        <v>177</v>
      </c>
      <c r="AY469" t="s">
        <v>364</v>
      </c>
      <c r="AZ469" t="s">
        <v>4115</v>
      </c>
      <c r="BB469" t="s">
        <v>140</v>
      </c>
    </row>
    <row r="470" spans="1:54" x14ac:dyDescent="0.35">
      <c r="A470" t="s">
        <v>4116</v>
      </c>
      <c r="B470" t="s">
        <v>107</v>
      </c>
      <c r="C470" t="s">
        <v>107</v>
      </c>
      <c r="F470" t="s">
        <v>358</v>
      </c>
      <c r="G470" t="s">
        <v>359</v>
      </c>
      <c r="H470" t="s">
        <v>360</v>
      </c>
      <c r="I470" t="s">
        <v>341</v>
      </c>
      <c r="J470" t="s">
        <v>113</v>
      </c>
      <c r="K470" t="s">
        <v>114</v>
      </c>
      <c r="L470" t="s">
        <v>114</v>
      </c>
      <c r="M470" t="s">
        <v>114</v>
      </c>
      <c r="N470" t="s">
        <v>114</v>
      </c>
      <c r="O470" t="s">
        <v>114</v>
      </c>
      <c r="P470" t="s">
        <v>114</v>
      </c>
      <c r="Q470" t="s">
        <v>114</v>
      </c>
      <c r="R470" t="s">
        <v>114</v>
      </c>
      <c r="S470" t="s">
        <v>114</v>
      </c>
      <c r="T470" t="s">
        <v>114</v>
      </c>
      <c r="V470" t="s">
        <v>114</v>
      </c>
      <c r="W470" t="s">
        <v>114</v>
      </c>
      <c r="Y470" t="s">
        <v>4117</v>
      </c>
      <c r="Z470" t="s">
        <v>4118</v>
      </c>
      <c r="AA470" t="s">
        <v>4119</v>
      </c>
      <c r="AB470" t="s">
        <v>4120</v>
      </c>
      <c r="AC470" t="s">
        <v>4121</v>
      </c>
      <c r="AG470" t="s">
        <v>123</v>
      </c>
      <c r="AH470" t="s">
        <v>124</v>
      </c>
      <c r="AI470" t="s">
        <v>4122</v>
      </c>
      <c r="AJ470" t="s">
        <v>126</v>
      </c>
      <c r="AK470" t="s">
        <v>127</v>
      </c>
      <c r="AM470" t="s">
        <v>4123</v>
      </c>
      <c r="AN470" t="s">
        <v>4124</v>
      </c>
      <c r="AO470" t="s">
        <v>4125</v>
      </c>
      <c r="AP470" t="s">
        <v>131</v>
      </c>
      <c r="AQ470" t="s">
        <v>132</v>
      </c>
      <c r="AR470" t="s">
        <v>352</v>
      </c>
      <c r="AS470" t="s">
        <v>353</v>
      </c>
      <c r="AU470" t="s">
        <v>354</v>
      </c>
      <c r="AX470" t="s">
        <v>177</v>
      </c>
      <c r="AY470" t="s">
        <v>364</v>
      </c>
      <c r="AZ470" t="s">
        <v>4126</v>
      </c>
      <c r="BB470" t="s">
        <v>140</v>
      </c>
    </row>
    <row r="471" spans="1:54" x14ac:dyDescent="0.35">
      <c r="A471" t="s">
        <v>4127</v>
      </c>
      <c r="B471" t="s">
        <v>107</v>
      </c>
      <c r="C471" t="s">
        <v>107</v>
      </c>
      <c r="F471" t="s">
        <v>613</v>
      </c>
      <c r="G471" t="s">
        <v>614</v>
      </c>
      <c r="H471" t="s">
        <v>615</v>
      </c>
      <c r="I471" t="s">
        <v>271</v>
      </c>
      <c r="J471" t="s">
        <v>113</v>
      </c>
      <c r="K471" t="s">
        <v>114</v>
      </c>
      <c r="L471" t="s">
        <v>114</v>
      </c>
      <c r="M471" t="s">
        <v>114</v>
      </c>
      <c r="N471" t="s">
        <v>114</v>
      </c>
      <c r="O471" t="s">
        <v>114</v>
      </c>
      <c r="P471" t="s">
        <v>114</v>
      </c>
      <c r="Q471" t="s">
        <v>114</v>
      </c>
      <c r="R471" t="s">
        <v>114</v>
      </c>
      <c r="S471" t="s">
        <v>114</v>
      </c>
      <c r="T471" t="s">
        <v>114</v>
      </c>
      <c r="V471" t="s">
        <v>114</v>
      </c>
      <c r="W471" t="s">
        <v>114</v>
      </c>
      <c r="Y471" t="s">
        <v>4128</v>
      </c>
      <c r="Z471" t="s">
        <v>4128</v>
      </c>
      <c r="AA471" t="s">
        <v>4129</v>
      </c>
      <c r="AB471" t="s">
        <v>4130</v>
      </c>
      <c r="AC471" t="s">
        <v>4131</v>
      </c>
      <c r="AG471" t="s">
        <v>123</v>
      </c>
      <c r="AH471" t="s">
        <v>124</v>
      </c>
      <c r="AI471" t="s">
        <v>4132</v>
      </c>
      <c r="AJ471" t="s">
        <v>126</v>
      </c>
      <c r="AK471" t="s">
        <v>127</v>
      </c>
      <c r="AM471" t="s">
        <v>4133</v>
      </c>
      <c r="AN471" t="s">
        <v>3711</v>
      </c>
      <c r="AO471" t="s">
        <v>4134</v>
      </c>
      <c r="AP471" t="s">
        <v>131</v>
      </c>
      <c r="AQ471" t="s">
        <v>132</v>
      </c>
      <c r="AR471" t="s">
        <v>152</v>
      </c>
      <c r="AS471" t="s">
        <v>609</v>
      </c>
      <c r="AU471" t="s">
        <v>2195</v>
      </c>
      <c r="AV471" t="s">
        <v>2008</v>
      </c>
      <c r="AX471" t="s">
        <v>177</v>
      </c>
      <c r="AY471" t="s">
        <v>627</v>
      </c>
      <c r="AZ471" t="s">
        <v>4135</v>
      </c>
      <c r="BB471" t="s">
        <v>140</v>
      </c>
    </row>
    <row r="472" spans="1:54" x14ac:dyDescent="0.35">
      <c r="A472" t="s">
        <v>4136</v>
      </c>
      <c r="B472" t="s">
        <v>107</v>
      </c>
      <c r="C472" t="s">
        <v>107</v>
      </c>
      <c r="F472" t="s">
        <v>158</v>
      </c>
      <c r="G472" t="s">
        <v>159</v>
      </c>
      <c r="H472" t="s">
        <v>111</v>
      </c>
      <c r="I472" t="s">
        <v>341</v>
      </c>
      <c r="J472" t="s">
        <v>113</v>
      </c>
      <c r="K472" t="s">
        <v>114</v>
      </c>
      <c r="L472" t="s">
        <v>114</v>
      </c>
      <c r="M472" t="s">
        <v>114</v>
      </c>
      <c r="N472" t="s">
        <v>114</v>
      </c>
      <c r="O472" t="s">
        <v>114</v>
      </c>
      <c r="P472" t="s">
        <v>114</v>
      </c>
      <c r="Q472" t="s">
        <v>114</v>
      </c>
      <c r="R472" t="s">
        <v>114</v>
      </c>
      <c r="S472" t="s">
        <v>114</v>
      </c>
      <c r="T472" t="s">
        <v>114</v>
      </c>
      <c r="V472" t="s">
        <v>114</v>
      </c>
      <c r="W472" t="s">
        <v>114</v>
      </c>
      <c r="Y472" t="s">
        <v>4137</v>
      </c>
      <c r="Z472" t="s">
        <v>4137</v>
      </c>
      <c r="AA472" t="s">
        <v>4138</v>
      </c>
      <c r="AB472" t="s">
        <v>4139</v>
      </c>
      <c r="AC472" t="s">
        <v>4140</v>
      </c>
      <c r="AG472" t="s">
        <v>123</v>
      </c>
      <c r="AH472" t="s">
        <v>124</v>
      </c>
      <c r="AI472" t="s">
        <v>4141</v>
      </c>
      <c r="AJ472" t="s">
        <v>126</v>
      </c>
      <c r="AK472" t="s">
        <v>127</v>
      </c>
      <c r="AM472" t="s">
        <v>4142</v>
      </c>
      <c r="AN472" t="s">
        <v>4143</v>
      </c>
      <c r="AO472" t="s">
        <v>4144</v>
      </c>
      <c r="AP472" t="s">
        <v>131</v>
      </c>
      <c r="AQ472" t="s">
        <v>132</v>
      </c>
      <c r="AR472" t="s">
        <v>152</v>
      </c>
      <c r="AS472" t="s">
        <v>4145</v>
      </c>
      <c r="AU472" t="s">
        <v>1821</v>
      </c>
      <c r="AX472" t="s">
        <v>177</v>
      </c>
      <c r="AY472" t="s">
        <v>138</v>
      </c>
      <c r="AZ472" t="s">
        <v>4146</v>
      </c>
      <c r="BB472" t="s">
        <v>140</v>
      </c>
    </row>
    <row r="473" spans="1:54" x14ac:dyDescent="0.35">
      <c r="A473" t="s">
        <v>4147</v>
      </c>
      <c r="B473" t="s">
        <v>107</v>
      </c>
      <c r="C473" t="s">
        <v>107</v>
      </c>
      <c r="F473" t="s">
        <v>358</v>
      </c>
      <c r="G473" t="s">
        <v>359</v>
      </c>
      <c r="H473" t="s">
        <v>360</v>
      </c>
      <c r="I473" t="s">
        <v>341</v>
      </c>
      <c r="J473" t="s">
        <v>113</v>
      </c>
      <c r="K473" t="s">
        <v>114</v>
      </c>
      <c r="L473" t="s">
        <v>114</v>
      </c>
      <c r="M473" t="s">
        <v>114</v>
      </c>
      <c r="N473" t="s">
        <v>114</v>
      </c>
      <c r="O473" t="s">
        <v>114</v>
      </c>
      <c r="P473" t="s">
        <v>114</v>
      </c>
      <c r="Q473" t="s">
        <v>114</v>
      </c>
      <c r="R473" t="s">
        <v>114</v>
      </c>
      <c r="S473" t="s">
        <v>114</v>
      </c>
      <c r="T473" t="s">
        <v>114</v>
      </c>
      <c r="V473" t="s">
        <v>114</v>
      </c>
      <c r="W473" t="s">
        <v>114</v>
      </c>
      <c r="Y473" t="s">
        <v>4148</v>
      </c>
      <c r="Z473" t="s">
        <v>4148</v>
      </c>
      <c r="AA473" t="s">
        <v>4149</v>
      </c>
      <c r="AB473" t="s">
        <v>4150</v>
      </c>
      <c r="AC473" t="s">
        <v>4151</v>
      </c>
      <c r="AG473" t="s">
        <v>123</v>
      </c>
      <c r="AH473" t="s">
        <v>124</v>
      </c>
      <c r="AI473" t="s">
        <v>4152</v>
      </c>
      <c r="AJ473" t="s">
        <v>126</v>
      </c>
      <c r="AK473" t="s">
        <v>127</v>
      </c>
      <c r="AM473" t="s">
        <v>4153</v>
      </c>
      <c r="AN473" t="s">
        <v>4154</v>
      </c>
      <c r="AO473" t="s">
        <v>4155</v>
      </c>
      <c r="AP473" t="s">
        <v>131</v>
      </c>
      <c r="AQ473" t="s">
        <v>233</v>
      </c>
      <c r="AR473" t="s">
        <v>234</v>
      </c>
      <c r="AS473" t="s">
        <v>4156</v>
      </c>
      <c r="AU473" t="s">
        <v>1183</v>
      </c>
      <c r="AX473" t="s">
        <v>177</v>
      </c>
      <c r="AY473" t="s">
        <v>364</v>
      </c>
      <c r="AZ473" t="s">
        <v>4157</v>
      </c>
      <c r="BB473" t="s">
        <v>140</v>
      </c>
    </row>
    <row r="474" spans="1:54" x14ac:dyDescent="0.35">
      <c r="A474" t="s">
        <v>4158</v>
      </c>
      <c r="B474" t="s">
        <v>107</v>
      </c>
      <c r="C474" t="s">
        <v>107</v>
      </c>
      <c r="F474" t="s">
        <v>358</v>
      </c>
      <c r="G474" t="s">
        <v>359</v>
      </c>
      <c r="H474" t="s">
        <v>360</v>
      </c>
      <c r="I474" t="s">
        <v>341</v>
      </c>
      <c r="J474" t="s">
        <v>113</v>
      </c>
      <c r="K474" t="s">
        <v>114</v>
      </c>
      <c r="L474" t="s">
        <v>114</v>
      </c>
      <c r="M474" t="s">
        <v>114</v>
      </c>
      <c r="N474" t="s">
        <v>114</v>
      </c>
      <c r="O474" t="s">
        <v>114</v>
      </c>
      <c r="P474" t="s">
        <v>114</v>
      </c>
      <c r="Q474" t="s">
        <v>114</v>
      </c>
      <c r="R474" t="s">
        <v>114</v>
      </c>
      <c r="S474" t="s">
        <v>114</v>
      </c>
      <c r="T474" t="s">
        <v>114</v>
      </c>
      <c r="V474" t="s">
        <v>114</v>
      </c>
      <c r="W474" t="s">
        <v>114</v>
      </c>
      <c r="Y474" t="s">
        <v>4159</v>
      </c>
      <c r="Z474" t="s">
        <v>4159</v>
      </c>
      <c r="AA474" t="s">
        <v>4160</v>
      </c>
      <c r="AB474" t="s">
        <v>4161</v>
      </c>
      <c r="AC474" t="s">
        <v>4162</v>
      </c>
      <c r="AG474" t="s">
        <v>123</v>
      </c>
      <c r="AH474" t="s">
        <v>124</v>
      </c>
      <c r="AI474" t="s">
        <v>4163</v>
      </c>
      <c r="AJ474" t="s">
        <v>126</v>
      </c>
      <c r="AK474" t="s">
        <v>127</v>
      </c>
      <c r="AM474" t="s">
        <v>4164</v>
      </c>
      <c r="AN474" t="s">
        <v>4165</v>
      </c>
      <c r="AO474" t="s">
        <v>4166</v>
      </c>
      <c r="AP474" t="s">
        <v>131</v>
      </c>
      <c r="AQ474" t="s">
        <v>132</v>
      </c>
      <c r="AR474" t="s">
        <v>152</v>
      </c>
      <c r="AS474" t="s">
        <v>1477</v>
      </c>
      <c r="AU474" t="s">
        <v>759</v>
      </c>
      <c r="AX474" t="s">
        <v>177</v>
      </c>
      <c r="AY474" t="s">
        <v>364</v>
      </c>
      <c r="AZ474" t="s">
        <v>4167</v>
      </c>
      <c r="BB474" t="s">
        <v>140</v>
      </c>
    </row>
    <row r="475" spans="1:54" x14ac:dyDescent="0.35">
      <c r="A475" t="s">
        <v>4168</v>
      </c>
      <c r="B475" t="s">
        <v>107</v>
      </c>
      <c r="C475" t="s">
        <v>107</v>
      </c>
      <c r="F475" t="s">
        <v>358</v>
      </c>
      <c r="G475" t="s">
        <v>359</v>
      </c>
      <c r="H475" t="s">
        <v>360</v>
      </c>
      <c r="I475" t="s">
        <v>341</v>
      </c>
      <c r="J475" t="s">
        <v>113</v>
      </c>
      <c r="K475" t="s">
        <v>114</v>
      </c>
      <c r="L475" t="s">
        <v>114</v>
      </c>
      <c r="M475" t="s">
        <v>114</v>
      </c>
      <c r="N475" t="s">
        <v>114</v>
      </c>
      <c r="O475" t="s">
        <v>114</v>
      </c>
      <c r="P475" t="s">
        <v>114</v>
      </c>
      <c r="Q475" t="s">
        <v>114</v>
      </c>
      <c r="R475" t="s">
        <v>114</v>
      </c>
      <c r="S475" t="s">
        <v>114</v>
      </c>
      <c r="T475" t="s">
        <v>114</v>
      </c>
      <c r="V475" t="s">
        <v>114</v>
      </c>
      <c r="W475" t="s">
        <v>114</v>
      </c>
      <c r="Y475" t="s">
        <v>4159</v>
      </c>
      <c r="Z475" t="s">
        <v>4169</v>
      </c>
      <c r="AA475" t="s">
        <v>4170</v>
      </c>
      <c r="AB475" t="s">
        <v>4161</v>
      </c>
      <c r="AC475" t="s">
        <v>4171</v>
      </c>
      <c r="AG475" t="s">
        <v>123</v>
      </c>
      <c r="AH475" t="s">
        <v>124</v>
      </c>
      <c r="AI475" t="s">
        <v>4172</v>
      </c>
      <c r="AJ475" t="s">
        <v>126</v>
      </c>
      <c r="AK475" t="s">
        <v>127</v>
      </c>
      <c r="AM475" t="s">
        <v>4173</v>
      </c>
      <c r="AN475" t="s">
        <v>3853</v>
      </c>
      <c r="AO475" t="s">
        <v>4174</v>
      </c>
      <c r="AP475" t="s">
        <v>131</v>
      </c>
      <c r="AQ475" t="s">
        <v>132</v>
      </c>
      <c r="AR475" t="s">
        <v>152</v>
      </c>
      <c r="AS475" t="s">
        <v>2120</v>
      </c>
      <c r="AU475" t="s">
        <v>4175</v>
      </c>
      <c r="AX475" t="s">
        <v>177</v>
      </c>
      <c r="AY475" t="s">
        <v>364</v>
      </c>
      <c r="AZ475" t="s">
        <v>4176</v>
      </c>
      <c r="BB475" t="s">
        <v>140</v>
      </c>
    </row>
    <row r="476" spans="1:54" x14ac:dyDescent="0.35">
      <c r="A476" t="s">
        <v>4177</v>
      </c>
      <c r="B476" t="s">
        <v>107</v>
      </c>
      <c r="C476" t="s">
        <v>107</v>
      </c>
      <c r="F476" t="s">
        <v>358</v>
      </c>
      <c r="G476" t="s">
        <v>359</v>
      </c>
      <c r="H476" t="s">
        <v>360</v>
      </c>
      <c r="I476" t="s">
        <v>341</v>
      </c>
      <c r="J476" t="s">
        <v>113</v>
      </c>
      <c r="K476" t="s">
        <v>114</v>
      </c>
      <c r="L476" t="s">
        <v>114</v>
      </c>
      <c r="M476" t="s">
        <v>114</v>
      </c>
      <c r="N476" t="s">
        <v>114</v>
      </c>
      <c r="O476" t="s">
        <v>114</v>
      </c>
      <c r="P476" t="s">
        <v>114</v>
      </c>
      <c r="Q476" t="s">
        <v>114</v>
      </c>
      <c r="R476" t="s">
        <v>114</v>
      </c>
      <c r="S476" t="s">
        <v>114</v>
      </c>
      <c r="T476" t="s">
        <v>114</v>
      </c>
      <c r="V476" t="s">
        <v>114</v>
      </c>
      <c r="W476" t="s">
        <v>114</v>
      </c>
      <c r="Y476" t="s">
        <v>4178</v>
      </c>
      <c r="Z476" t="s">
        <v>4178</v>
      </c>
      <c r="AA476" t="s">
        <v>4179</v>
      </c>
      <c r="AB476" t="s">
        <v>4180</v>
      </c>
      <c r="AC476" t="s">
        <v>4181</v>
      </c>
      <c r="AG476" t="s">
        <v>123</v>
      </c>
      <c r="AH476" t="s">
        <v>124</v>
      </c>
      <c r="AI476" t="s">
        <v>4182</v>
      </c>
      <c r="AJ476" t="s">
        <v>126</v>
      </c>
      <c r="AK476" t="s">
        <v>127</v>
      </c>
      <c r="AM476" t="s">
        <v>4183</v>
      </c>
      <c r="AN476" t="s">
        <v>4184</v>
      </c>
      <c r="AO476" t="s">
        <v>4185</v>
      </c>
      <c r="AP476" t="s">
        <v>131</v>
      </c>
      <c r="AQ476" t="s">
        <v>132</v>
      </c>
      <c r="AR476" t="s">
        <v>720</v>
      </c>
      <c r="AS476" t="s">
        <v>1664</v>
      </c>
      <c r="AU476" t="s">
        <v>1703</v>
      </c>
      <c r="AV476" t="s">
        <v>316</v>
      </c>
      <c r="AX476" t="s">
        <v>177</v>
      </c>
      <c r="AY476" t="s">
        <v>364</v>
      </c>
      <c r="AZ476" t="s">
        <v>4186</v>
      </c>
      <c r="BB476" t="s">
        <v>140</v>
      </c>
    </row>
    <row r="477" spans="1:54" x14ac:dyDescent="0.35">
      <c r="A477" t="s">
        <v>4187</v>
      </c>
      <c r="B477" t="s">
        <v>107</v>
      </c>
      <c r="C477" t="s">
        <v>107</v>
      </c>
      <c r="F477" t="s">
        <v>613</v>
      </c>
      <c r="G477" t="s">
        <v>614</v>
      </c>
      <c r="H477" t="s">
        <v>615</v>
      </c>
      <c r="I477" t="s">
        <v>271</v>
      </c>
      <c r="J477" t="s">
        <v>113</v>
      </c>
      <c r="K477" t="s">
        <v>114</v>
      </c>
      <c r="L477" t="s">
        <v>114</v>
      </c>
      <c r="M477" t="s">
        <v>114</v>
      </c>
      <c r="N477" t="s">
        <v>114</v>
      </c>
      <c r="O477" t="s">
        <v>114</v>
      </c>
      <c r="P477" t="s">
        <v>114</v>
      </c>
      <c r="Q477" t="s">
        <v>114</v>
      </c>
      <c r="R477" t="s">
        <v>114</v>
      </c>
      <c r="S477" t="s">
        <v>114</v>
      </c>
      <c r="T477" t="s">
        <v>114</v>
      </c>
      <c r="V477" t="s">
        <v>114</v>
      </c>
      <c r="W477" t="s">
        <v>114</v>
      </c>
      <c r="Y477" t="s">
        <v>4188</v>
      </c>
      <c r="Z477" t="s">
        <v>4189</v>
      </c>
      <c r="AA477" t="s">
        <v>4190</v>
      </c>
      <c r="AB477" t="s">
        <v>4191</v>
      </c>
      <c r="AC477" t="s">
        <v>4192</v>
      </c>
      <c r="AG477" t="s">
        <v>123</v>
      </c>
      <c r="AH477" t="s">
        <v>124</v>
      </c>
      <c r="AI477" t="s">
        <v>4193</v>
      </c>
      <c r="AJ477" t="s">
        <v>126</v>
      </c>
      <c r="AK477" t="s">
        <v>127</v>
      </c>
      <c r="AM477" t="s">
        <v>4194</v>
      </c>
      <c r="AN477" t="s">
        <v>4195</v>
      </c>
      <c r="AO477" t="s">
        <v>4196</v>
      </c>
      <c r="AP477" t="s">
        <v>131</v>
      </c>
      <c r="AQ477" t="s">
        <v>132</v>
      </c>
      <c r="AR477" t="s">
        <v>720</v>
      </c>
      <c r="AS477" t="s">
        <v>4055</v>
      </c>
      <c r="AU477" t="s">
        <v>3049</v>
      </c>
      <c r="AV477" t="s">
        <v>4197</v>
      </c>
      <c r="AX477" t="s">
        <v>177</v>
      </c>
      <c r="AY477" t="s">
        <v>627</v>
      </c>
      <c r="AZ477" t="s">
        <v>4198</v>
      </c>
      <c r="BB477" t="s">
        <v>140</v>
      </c>
    </row>
    <row r="478" spans="1:54" x14ac:dyDescent="0.35">
      <c r="A478" t="s">
        <v>4199</v>
      </c>
      <c r="B478" t="s">
        <v>107</v>
      </c>
      <c r="C478" t="s">
        <v>107</v>
      </c>
      <c r="F478" t="s">
        <v>358</v>
      </c>
      <c r="G478" t="s">
        <v>359</v>
      </c>
      <c r="H478" t="s">
        <v>360</v>
      </c>
      <c r="I478" t="s">
        <v>341</v>
      </c>
      <c r="J478" t="s">
        <v>113</v>
      </c>
      <c r="K478" t="s">
        <v>114</v>
      </c>
      <c r="L478" t="s">
        <v>114</v>
      </c>
      <c r="M478" t="s">
        <v>114</v>
      </c>
      <c r="N478" t="s">
        <v>114</v>
      </c>
      <c r="O478" t="s">
        <v>114</v>
      </c>
      <c r="P478" t="s">
        <v>114</v>
      </c>
      <c r="Q478" t="s">
        <v>114</v>
      </c>
      <c r="R478" t="s">
        <v>114</v>
      </c>
      <c r="S478" t="s">
        <v>114</v>
      </c>
      <c r="T478" t="s">
        <v>114</v>
      </c>
      <c r="V478" t="s">
        <v>114</v>
      </c>
      <c r="W478" t="s">
        <v>114</v>
      </c>
      <c r="Y478" t="s">
        <v>4200</v>
      </c>
      <c r="Z478" t="s">
        <v>4201</v>
      </c>
      <c r="AA478" t="s">
        <v>4202</v>
      </c>
      <c r="AB478" t="s">
        <v>4203</v>
      </c>
      <c r="AC478" t="s">
        <v>4204</v>
      </c>
      <c r="AG478" t="s">
        <v>123</v>
      </c>
      <c r="AH478" t="s">
        <v>124</v>
      </c>
      <c r="AI478" t="s">
        <v>4205</v>
      </c>
      <c r="AJ478" t="s">
        <v>126</v>
      </c>
      <c r="AK478" t="s">
        <v>127</v>
      </c>
      <c r="AM478" t="s">
        <v>4206</v>
      </c>
      <c r="AN478" t="s">
        <v>4207</v>
      </c>
      <c r="AO478" t="s">
        <v>4208</v>
      </c>
      <c r="AP478" t="s">
        <v>131</v>
      </c>
      <c r="AQ478" t="s">
        <v>132</v>
      </c>
      <c r="AR478" t="s">
        <v>514</v>
      </c>
      <c r="AS478" t="s">
        <v>4209</v>
      </c>
      <c r="AU478" t="s">
        <v>1403</v>
      </c>
      <c r="AV478" t="s">
        <v>1072</v>
      </c>
      <c r="AX478" t="s">
        <v>177</v>
      </c>
      <c r="AY478" t="s">
        <v>364</v>
      </c>
      <c r="AZ478" t="s">
        <v>4210</v>
      </c>
      <c r="BB478" t="s">
        <v>140</v>
      </c>
    </row>
    <row r="479" spans="1:54" x14ac:dyDescent="0.35">
      <c r="A479" t="s">
        <v>4211</v>
      </c>
      <c r="B479" t="s">
        <v>107</v>
      </c>
      <c r="C479" t="s">
        <v>107</v>
      </c>
      <c r="F479" t="s">
        <v>358</v>
      </c>
      <c r="G479" t="s">
        <v>359</v>
      </c>
      <c r="H479" t="s">
        <v>360</v>
      </c>
      <c r="I479" t="s">
        <v>341</v>
      </c>
      <c r="J479" t="s">
        <v>113</v>
      </c>
      <c r="K479" t="s">
        <v>114</v>
      </c>
      <c r="L479" t="s">
        <v>114</v>
      </c>
      <c r="M479" t="s">
        <v>114</v>
      </c>
      <c r="N479" t="s">
        <v>114</v>
      </c>
      <c r="O479" t="s">
        <v>114</v>
      </c>
      <c r="P479" t="s">
        <v>114</v>
      </c>
      <c r="Q479" t="s">
        <v>114</v>
      </c>
      <c r="R479" t="s">
        <v>114</v>
      </c>
      <c r="S479" t="s">
        <v>114</v>
      </c>
      <c r="T479" t="s">
        <v>114</v>
      </c>
      <c r="V479" t="s">
        <v>114</v>
      </c>
      <c r="W479" t="s">
        <v>114</v>
      </c>
      <c r="Y479" t="s">
        <v>4212</v>
      </c>
      <c r="Z479" t="s">
        <v>4213</v>
      </c>
      <c r="AA479" t="s">
        <v>4214</v>
      </c>
      <c r="AB479" t="s">
        <v>4215</v>
      </c>
      <c r="AC479" t="s">
        <v>4216</v>
      </c>
      <c r="AG479" t="s">
        <v>123</v>
      </c>
      <c r="AH479" t="s">
        <v>124</v>
      </c>
      <c r="AI479" t="s">
        <v>4217</v>
      </c>
      <c r="AJ479" t="s">
        <v>126</v>
      </c>
      <c r="AK479" t="s">
        <v>127</v>
      </c>
      <c r="AM479" t="s">
        <v>4218</v>
      </c>
      <c r="AN479" t="s">
        <v>4219</v>
      </c>
      <c r="AO479" t="s">
        <v>4220</v>
      </c>
      <c r="AP479" t="s">
        <v>131</v>
      </c>
      <c r="AQ479" t="s">
        <v>132</v>
      </c>
      <c r="AR479" t="s">
        <v>387</v>
      </c>
      <c r="AS479" t="s">
        <v>3038</v>
      </c>
      <c r="AU479" t="s">
        <v>3361</v>
      </c>
      <c r="AX479" t="s">
        <v>177</v>
      </c>
      <c r="AY479" t="s">
        <v>364</v>
      </c>
      <c r="AZ479" t="s">
        <v>4221</v>
      </c>
      <c r="BB479" t="s">
        <v>140</v>
      </c>
    </row>
    <row r="480" spans="1:54" x14ac:dyDescent="0.35">
      <c r="A480" t="s">
        <v>4222</v>
      </c>
      <c r="B480" t="s">
        <v>107</v>
      </c>
      <c r="C480" t="s">
        <v>107</v>
      </c>
      <c r="F480" t="s">
        <v>358</v>
      </c>
      <c r="G480" t="s">
        <v>359</v>
      </c>
      <c r="H480" t="s">
        <v>360</v>
      </c>
      <c r="I480" t="s">
        <v>341</v>
      </c>
      <c r="J480" t="s">
        <v>113</v>
      </c>
      <c r="K480" t="s">
        <v>114</v>
      </c>
      <c r="L480" t="s">
        <v>114</v>
      </c>
      <c r="M480" t="s">
        <v>114</v>
      </c>
      <c r="N480" t="s">
        <v>114</v>
      </c>
      <c r="O480" t="s">
        <v>114</v>
      </c>
      <c r="P480" t="s">
        <v>114</v>
      </c>
      <c r="Q480" t="s">
        <v>114</v>
      </c>
      <c r="R480" t="s">
        <v>114</v>
      </c>
      <c r="S480" t="s">
        <v>114</v>
      </c>
      <c r="T480" t="s">
        <v>114</v>
      </c>
      <c r="V480" t="s">
        <v>114</v>
      </c>
      <c r="W480" t="s">
        <v>114</v>
      </c>
      <c r="Y480" t="s">
        <v>4223</v>
      </c>
      <c r="Z480" t="s">
        <v>4224</v>
      </c>
      <c r="AA480" t="s">
        <v>4225</v>
      </c>
      <c r="AB480" t="s">
        <v>4226</v>
      </c>
      <c r="AC480" t="s">
        <v>4227</v>
      </c>
      <c r="AG480" t="s">
        <v>123</v>
      </c>
      <c r="AH480" t="s">
        <v>124</v>
      </c>
      <c r="AI480" t="s">
        <v>4228</v>
      </c>
      <c r="AJ480" t="s">
        <v>126</v>
      </c>
      <c r="AK480" t="s">
        <v>127</v>
      </c>
      <c r="AM480" t="s">
        <v>4229</v>
      </c>
      <c r="AN480" t="s">
        <v>4230</v>
      </c>
      <c r="AO480" t="s">
        <v>4231</v>
      </c>
      <c r="AP480" t="s">
        <v>131</v>
      </c>
      <c r="AQ480" t="s">
        <v>132</v>
      </c>
      <c r="AR480" t="s">
        <v>4232</v>
      </c>
      <c r="AS480" t="s">
        <v>4233</v>
      </c>
      <c r="AU480" t="s">
        <v>991</v>
      </c>
      <c r="AX480" t="s">
        <v>177</v>
      </c>
      <c r="AY480" t="s">
        <v>364</v>
      </c>
      <c r="AZ480" t="s">
        <v>4234</v>
      </c>
      <c r="BB480" t="s">
        <v>140</v>
      </c>
    </row>
    <row r="481" spans="1:54" x14ac:dyDescent="0.35">
      <c r="A481" t="s">
        <v>4235</v>
      </c>
      <c r="B481" t="s">
        <v>107</v>
      </c>
      <c r="C481" t="s">
        <v>107</v>
      </c>
      <c r="F481" t="s">
        <v>358</v>
      </c>
      <c r="G481" t="s">
        <v>359</v>
      </c>
      <c r="H481" t="s">
        <v>360</v>
      </c>
      <c r="I481" t="s">
        <v>341</v>
      </c>
      <c r="J481" t="s">
        <v>113</v>
      </c>
      <c r="K481" t="s">
        <v>114</v>
      </c>
      <c r="L481" t="s">
        <v>114</v>
      </c>
      <c r="M481" t="s">
        <v>114</v>
      </c>
      <c r="N481" t="s">
        <v>114</v>
      </c>
      <c r="O481" t="s">
        <v>114</v>
      </c>
      <c r="P481" t="s">
        <v>114</v>
      </c>
      <c r="Q481" t="s">
        <v>114</v>
      </c>
      <c r="R481" t="s">
        <v>114</v>
      </c>
      <c r="S481" t="s">
        <v>114</v>
      </c>
      <c r="T481" t="s">
        <v>114</v>
      </c>
      <c r="V481" t="s">
        <v>114</v>
      </c>
      <c r="W481" t="s">
        <v>114</v>
      </c>
      <c r="Y481" t="s">
        <v>4236</v>
      </c>
      <c r="Z481" t="s">
        <v>4237</v>
      </c>
      <c r="AA481" t="s">
        <v>4238</v>
      </c>
      <c r="AB481" t="s">
        <v>4239</v>
      </c>
      <c r="AC481" t="s">
        <v>4240</v>
      </c>
      <c r="AG481" t="s">
        <v>123</v>
      </c>
      <c r="AH481" t="s">
        <v>124</v>
      </c>
      <c r="AI481" t="s">
        <v>4241</v>
      </c>
      <c r="AJ481" t="s">
        <v>126</v>
      </c>
      <c r="AK481" t="s">
        <v>127</v>
      </c>
      <c r="AM481" t="s">
        <v>4242</v>
      </c>
      <c r="AN481" t="s">
        <v>4243</v>
      </c>
      <c r="AO481" t="s">
        <v>4244</v>
      </c>
      <c r="AP481" t="s">
        <v>131</v>
      </c>
      <c r="AQ481" t="s">
        <v>132</v>
      </c>
      <c r="AR481" t="s">
        <v>249</v>
      </c>
      <c r="AS481" t="s">
        <v>4245</v>
      </c>
      <c r="AU481" t="s">
        <v>389</v>
      </c>
      <c r="AX481" t="s">
        <v>177</v>
      </c>
      <c r="AY481" t="s">
        <v>364</v>
      </c>
      <c r="AZ481" t="s">
        <v>4246</v>
      </c>
      <c r="BB481" t="s">
        <v>140</v>
      </c>
    </row>
    <row r="482" spans="1:54" x14ac:dyDescent="0.35">
      <c r="A482" t="s">
        <v>4247</v>
      </c>
      <c r="B482" t="s">
        <v>107</v>
      </c>
      <c r="C482" t="s">
        <v>107</v>
      </c>
      <c r="F482" t="s">
        <v>358</v>
      </c>
      <c r="G482" t="s">
        <v>359</v>
      </c>
      <c r="H482" t="s">
        <v>360</v>
      </c>
      <c r="I482" t="s">
        <v>341</v>
      </c>
      <c r="J482" t="s">
        <v>113</v>
      </c>
      <c r="K482" t="s">
        <v>114</v>
      </c>
      <c r="L482" t="s">
        <v>114</v>
      </c>
      <c r="M482" t="s">
        <v>114</v>
      </c>
      <c r="N482" t="s">
        <v>114</v>
      </c>
      <c r="O482" t="s">
        <v>114</v>
      </c>
      <c r="P482" t="s">
        <v>114</v>
      </c>
      <c r="Q482" t="s">
        <v>114</v>
      </c>
      <c r="R482" t="s">
        <v>114</v>
      </c>
      <c r="S482" t="s">
        <v>114</v>
      </c>
      <c r="T482" t="s">
        <v>114</v>
      </c>
      <c r="V482" t="s">
        <v>114</v>
      </c>
      <c r="W482" t="s">
        <v>114</v>
      </c>
      <c r="Y482" t="s">
        <v>4248</v>
      </c>
      <c r="Z482" t="s">
        <v>4248</v>
      </c>
      <c r="AA482" t="s">
        <v>4249</v>
      </c>
      <c r="AB482" t="s">
        <v>4250</v>
      </c>
      <c r="AC482" t="s">
        <v>4251</v>
      </c>
      <c r="AG482" t="s">
        <v>123</v>
      </c>
      <c r="AH482" t="s">
        <v>124</v>
      </c>
      <c r="AI482" t="s">
        <v>4252</v>
      </c>
      <c r="AJ482" t="s">
        <v>126</v>
      </c>
      <c r="AK482" t="s">
        <v>127</v>
      </c>
      <c r="AM482" t="s">
        <v>4253</v>
      </c>
      <c r="AN482" t="s">
        <v>4254</v>
      </c>
      <c r="AO482" t="s">
        <v>4255</v>
      </c>
      <c r="AP482" t="s">
        <v>131</v>
      </c>
      <c r="AQ482" t="s">
        <v>132</v>
      </c>
      <c r="AR482" t="s">
        <v>3481</v>
      </c>
      <c r="AS482" t="s">
        <v>4256</v>
      </c>
      <c r="AU482" t="s">
        <v>481</v>
      </c>
      <c r="AV482" t="s">
        <v>1095</v>
      </c>
      <c r="AX482" t="s">
        <v>177</v>
      </c>
      <c r="AY482" t="s">
        <v>364</v>
      </c>
      <c r="AZ482" t="s">
        <v>4257</v>
      </c>
      <c r="BB482" t="s">
        <v>140</v>
      </c>
    </row>
    <row r="483" spans="1:54" x14ac:dyDescent="0.35">
      <c r="A483" t="s">
        <v>4258</v>
      </c>
      <c r="B483" t="s">
        <v>107</v>
      </c>
      <c r="C483" t="s">
        <v>107</v>
      </c>
      <c r="F483" t="s">
        <v>613</v>
      </c>
      <c r="G483" t="s">
        <v>614</v>
      </c>
      <c r="H483" t="s">
        <v>615</v>
      </c>
      <c r="I483" t="s">
        <v>271</v>
      </c>
      <c r="J483" t="s">
        <v>113</v>
      </c>
      <c r="K483" t="s">
        <v>114</v>
      </c>
      <c r="L483" t="s">
        <v>114</v>
      </c>
      <c r="M483" t="s">
        <v>114</v>
      </c>
      <c r="N483" t="s">
        <v>114</v>
      </c>
      <c r="O483" t="s">
        <v>114</v>
      </c>
      <c r="P483" t="s">
        <v>114</v>
      </c>
      <c r="Q483" t="s">
        <v>114</v>
      </c>
      <c r="R483" t="s">
        <v>114</v>
      </c>
      <c r="S483" t="s">
        <v>114</v>
      </c>
      <c r="T483" t="s">
        <v>114</v>
      </c>
      <c r="V483" t="s">
        <v>114</v>
      </c>
      <c r="W483" t="s">
        <v>114</v>
      </c>
      <c r="Y483" t="s">
        <v>4259</v>
      </c>
      <c r="Z483" t="s">
        <v>4259</v>
      </c>
      <c r="AA483" t="s">
        <v>4260</v>
      </c>
      <c r="AB483" t="s">
        <v>4261</v>
      </c>
      <c r="AC483" t="s">
        <v>4262</v>
      </c>
      <c r="AG483" t="s">
        <v>123</v>
      </c>
      <c r="AH483" t="s">
        <v>124</v>
      </c>
      <c r="AI483" t="s">
        <v>4263</v>
      </c>
      <c r="AJ483" t="s">
        <v>126</v>
      </c>
      <c r="AK483" t="s">
        <v>127</v>
      </c>
      <c r="AM483" t="s">
        <v>4264</v>
      </c>
      <c r="AN483" t="s">
        <v>4265</v>
      </c>
      <c r="AO483" t="s">
        <v>4266</v>
      </c>
      <c r="AP483" t="s">
        <v>131</v>
      </c>
      <c r="AQ483" t="s">
        <v>132</v>
      </c>
      <c r="AR483" t="s">
        <v>352</v>
      </c>
      <c r="AS483" t="s">
        <v>667</v>
      </c>
      <c r="AU483" t="s">
        <v>4267</v>
      </c>
      <c r="AX483" t="s">
        <v>177</v>
      </c>
      <c r="AY483" t="s">
        <v>627</v>
      </c>
      <c r="AZ483" t="s">
        <v>4268</v>
      </c>
      <c r="BB483" t="s">
        <v>140</v>
      </c>
    </row>
    <row r="484" spans="1:54" x14ac:dyDescent="0.35">
      <c r="A484" t="s">
        <v>4269</v>
      </c>
      <c r="B484" t="s">
        <v>107</v>
      </c>
      <c r="C484" t="s">
        <v>107</v>
      </c>
      <c r="F484" t="s">
        <v>613</v>
      </c>
      <c r="G484" t="s">
        <v>614</v>
      </c>
      <c r="H484" t="s">
        <v>615</v>
      </c>
      <c r="I484" t="s">
        <v>271</v>
      </c>
      <c r="J484" t="s">
        <v>113</v>
      </c>
      <c r="K484" t="s">
        <v>114</v>
      </c>
      <c r="L484" t="s">
        <v>114</v>
      </c>
      <c r="M484" t="s">
        <v>114</v>
      </c>
      <c r="N484" t="s">
        <v>114</v>
      </c>
      <c r="O484" t="s">
        <v>114</v>
      </c>
      <c r="P484" t="s">
        <v>114</v>
      </c>
      <c r="Q484" t="s">
        <v>114</v>
      </c>
      <c r="R484" t="s">
        <v>114</v>
      </c>
      <c r="S484" t="s">
        <v>114</v>
      </c>
      <c r="T484" t="s">
        <v>114</v>
      </c>
      <c r="V484" t="s">
        <v>114</v>
      </c>
      <c r="W484" t="s">
        <v>114</v>
      </c>
      <c r="Y484" t="s">
        <v>4270</v>
      </c>
      <c r="Z484" t="s">
        <v>4270</v>
      </c>
      <c r="AA484" t="s">
        <v>4271</v>
      </c>
      <c r="AB484" t="s">
        <v>4272</v>
      </c>
      <c r="AC484" t="s">
        <v>4273</v>
      </c>
      <c r="AG484" t="s">
        <v>123</v>
      </c>
      <c r="AH484" t="s">
        <v>124</v>
      </c>
      <c r="AI484" t="s">
        <v>4274</v>
      </c>
      <c r="AJ484" t="s">
        <v>126</v>
      </c>
      <c r="AK484" t="s">
        <v>127</v>
      </c>
      <c r="AM484" t="s">
        <v>4275</v>
      </c>
      <c r="AN484" t="s">
        <v>4276</v>
      </c>
      <c r="AO484" t="s">
        <v>4277</v>
      </c>
      <c r="AP484" t="s">
        <v>131</v>
      </c>
      <c r="AQ484" t="s">
        <v>132</v>
      </c>
      <c r="AR484" t="s">
        <v>387</v>
      </c>
      <c r="AS484" t="s">
        <v>2019</v>
      </c>
      <c r="AU484" t="s">
        <v>3722</v>
      </c>
      <c r="AV484" t="s">
        <v>3722</v>
      </c>
      <c r="AX484" t="s">
        <v>177</v>
      </c>
      <c r="AY484" t="s">
        <v>627</v>
      </c>
      <c r="AZ484" t="s">
        <v>4278</v>
      </c>
      <c r="BB484" t="s">
        <v>140</v>
      </c>
    </row>
    <row r="485" spans="1:54" x14ac:dyDescent="0.35">
      <c r="A485" t="s">
        <v>4279</v>
      </c>
      <c r="B485" t="s">
        <v>107</v>
      </c>
      <c r="C485" t="s">
        <v>107</v>
      </c>
      <c r="F485" t="s">
        <v>358</v>
      </c>
      <c r="G485" t="s">
        <v>359</v>
      </c>
      <c r="H485" t="s">
        <v>360</v>
      </c>
      <c r="I485" t="s">
        <v>341</v>
      </c>
      <c r="J485" t="s">
        <v>113</v>
      </c>
      <c r="K485" t="s">
        <v>114</v>
      </c>
      <c r="L485" t="s">
        <v>114</v>
      </c>
      <c r="M485" t="s">
        <v>114</v>
      </c>
      <c r="N485" t="s">
        <v>114</v>
      </c>
      <c r="O485" t="s">
        <v>114</v>
      </c>
      <c r="P485" t="s">
        <v>114</v>
      </c>
      <c r="Q485" t="s">
        <v>114</v>
      </c>
      <c r="R485" t="s">
        <v>114</v>
      </c>
      <c r="S485" t="s">
        <v>114</v>
      </c>
      <c r="T485" t="s">
        <v>114</v>
      </c>
      <c r="V485" t="s">
        <v>114</v>
      </c>
      <c r="W485" t="s">
        <v>114</v>
      </c>
      <c r="Y485" t="s">
        <v>4280</v>
      </c>
      <c r="Z485" t="s">
        <v>4280</v>
      </c>
      <c r="AA485" t="s">
        <v>4281</v>
      </c>
      <c r="AB485" t="s">
        <v>4282</v>
      </c>
      <c r="AC485" t="s">
        <v>4283</v>
      </c>
      <c r="AG485" t="s">
        <v>123</v>
      </c>
      <c r="AH485" t="s">
        <v>124</v>
      </c>
      <c r="AI485" t="s">
        <v>4284</v>
      </c>
      <c r="AJ485" t="s">
        <v>126</v>
      </c>
      <c r="AK485" t="s">
        <v>127</v>
      </c>
      <c r="AM485" t="s">
        <v>4285</v>
      </c>
      <c r="AN485" t="s">
        <v>4286</v>
      </c>
      <c r="AO485" t="s">
        <v>4287</v>
      </c>
      <c r="AP485" t="s">
        <v>131</v>
      </c>
      <c r="AQ485" t="s">
        <v>132</v>
      </c>
      <c r="AR485" t="s">
        <v>284</v>
      </c>
      <c r="AS485" t="s">
        <v>3592</v>
      </c>
      <c r="AU485" t="s">
        <v>3394</v>
      </c>
      <c r="AX485" t="s">
        <v>177</v>
      </c>
      <c r="AY485" t="s">
        <v>364</v>
      </c>
      <c r="AZ485" t="s">
        <v>4288</v>
      </c>
      <c r="BB485" t="s">
        <v>140</v>
      </c>
    </row>
    <row r="486" spans="1:54" x14ac:dyDescent="0.35">
      <c r="A486" t="s">
        <v>4289</v>
      </c>
      <c r="B486" t="s">
        <v>107</v>
      </c>
      <c r="C486" t="s">
        <v>107</v>
      </c>
      <c r="F486" t="s">
        <v>358</v>
      </c>
      <c r="G486" t="s">
        <v>359</v>
      </c>
      <c r="H486" t="s">
        <v>360</v>
      </c>
      <c r="I486" t="s">
        <v>341</v>
      </c>
      <c r="J486" t="s">
        <v>113</v>
      </c>
      <c r="K486" t="s">
        <v>114</v>
      </c>
      <c r="L486" t="s">
        <v>114</v>
      </c>
      <c r="M486" t="s">
        <v>114</v>
      </c>
      <c r="N486" t="s">
        <v>114</v>
      </c>
      <c r="O486" t="s">
        <v>114</v>
      </c>
      <c r="P486" t="s">
        <v>114</v>
      </c>
      <c r="Q486" t="s">
        <v>114</v>
      </c>
      <c r="R486" t="s">
        <v>114</v>
      </c>
      <c r="S486" t="s">
        <v>114</v>
      </c>
      <c r="T486" t="s">
        <v>114</v>
      </c>
      <c r="V486" t="s">
        <v>114</v>
      </c>
      <c r="W486" t="s">
        <v>114</v>
      </c>
      <c r="Y486" t="s">
        <v>4290</v>
      </c>
      <c r="Z486" t="s">
        <v>4290</v>
      </c>
      <c r="AA486" t="s">
        <v>4291</v>
      </c>
      <c r="AB486" t="s">
        <v>4292</v>
      </c>
      <c r="AC486" t="s">
        <v>4293</v>
      </c>
      <c r="AG486" t="s">
        <v>123</v>
      </c>
      <c r="AH486" t="s">
        <v>124</v>
      </c>
      <c r="AI486" t="s">
        <v>4294</v>
      </c>
      <c r="AJ486" t="s">
        <v>126</v>
      </c>
      <c r="AK486" t="s">
        <v>127</v>
      </c>
      <c r="AM486" t="s">
        <v>4295</v>
      </c>
      <c r="AN486" t="s">
        <v>4296</v>
      </c>
      <c r="AO486" t="s">
        <v>4297</v>
      </c>
      <c r="AP486" t="s">
        <v>131</v>
      </c>
      <c r="AQ486" t="s">
        <v>132</v>
      </c>
      <c r="AR486" t="s">
        <v>720</v>
      </c>
      <c r="AS486" t="s">
        <v>4055</v>
      </c>
      <c r="AU486" t="s">
        <v>1148</v>
      </c>
      <c r="AV486" t="s">
        <v>375</v>
      </c>
      <c r="AX486" t="s">
        <v>177</v>
      </c>
      <c r="AY486" t="s">
        <v>364</v>
      </c>
      <c r="AZ486" t="s">
        <v>4298</v>
      </c>
      <c r="BB486" t="s">
        <v>140</v>
      </c>
    </row>
    <row r="487" spans="1:54" x14ac:dyDescent="0.35">
      <c r="A487" t="s">
        <v>4299</v>
      </c>
      <c r="B487" t="s">
        <v>107</v>
      </c>
      <c r="C487" t="s">
        <v>107</v>
      </c>
      <c r="E487" t="s">
        <v>108</v>
      </c>
      <c r="F487" t="s">
        <v>268</v>
      </c>
      <c r="G487" t="s">
        <v>269</v>
      </c>
      <c r="H487" t="s">
        <v>2268</v>
      </c>
      <c r="I487" t="s">
        <v>271</v>
      </c>
      <c r="J487" t="s">
        <v>113</v>
      </c>
      <c r="K487" t="s">
        <v>114</v>
      </c>
      <c r="L487" t="s">
        <v>114</v>
      </c>
      <c r="M487" t="s">
        <v>114</v>
      </c>
      <c r="N487" t="s">
        <v>114</v>
      </c>
      <c r="O487" t="s">
        <v>114</v>
      </c>
      <c r="P487" t="s">
        <v>114</v>
      </c>
      <c r="Q487" t="s">
        <v>114</v>
      </c>
      <c r="R487" t="s">
        <v>180</v>
      </c>
      <c r="S487" t="s">
        <v>114</v>
      </c>
      <c r="T487" t="s">
        <v>180</v>
      </c>
      <c r="V487" t="s">
        <v>114</v>
      </c>
      <c r="W487" t="s">
        <v>1111</v>
      </c>
      <c r="Y487" t="s">
        <v>4300</v>
      </c>
      <c r="Z487" t="s">
        <v>4301</v>
      </c>
      <c r="AA487" t="s">
        <v>4302</v>
      </c>
      <c r="AB487" t="s">
        <v>4303</v>
      </c>
      <c r="AC487" t="s">
        <v>4304</v>
      </c>
      <c r="AG487" t="s">
        <v>123</v>
      </c>
      <c r="AH487" t="s">
        <v>124</v>
      </c>
      <c r="AI487" t="s">
        <v>4305</v>
      </c>
      <c r="AJ487" t="s">
        <v>126</v>
      </c>
      <c r="AK487" t="s">
        <v>127</v>
      </c>
      <c r="AM487" t="s">
        <v>4306</v>
      </c>
      <c r="AN487" t="s">
        <v>4307</v>
      </c>
      <c r="AO487" t="s">
        <v>3815</v>
      </c>
      <c r="AP487" t="s">
        <v>131</v>
      </c>
      <c r="AQ487" t="s">
        <v>403</v>
      </c>
      <c r="AR487" t="s">
        <v>4308</v>
      </c>
      <c r="AS487" t="s">
        <v>4309</v>
      </c>
      <c r="AU487" t="s">
        <v>219</v>
      </c>
      <c r="AW487" t="s">
        <v>155</v>
      </c>
      <c r="AX487" t="s">
        <v>272</v>
      </c>
      <c r="AY487" t="s">
        <v>273</v>
      </c>
      <c r="AZ487" t="s">
        <v>4310</v>
      </c>
      <c r="BB487" t="s">
        <v>140</v>
      </c>
    </row>
    <row r="488" spans="1:54" x14ac:dyDescent="0.35">
      <c r="A488" t="s">
        <v>4299</v>
      </c>
      <c r="B488" t="s">
        <v>107</v>
      </c>
      <c r="C488" t="s">
        <v>107</v>
      </c>
      <c r="E488" t="s">
        <v>108</v>
      </c>
      <c r="F488" t="s">
        <v>158</v>
      </c>
      <c r="G488" t="s">
        <v>159</v>
      </c>
      <c r="H488" t="s">
        <v>111</v>
      </c>
      <c r="I488" t="s">
        <v>341</v>
      </c>
      <c r="J488" t="s">
        <v>113</v>
      </c>
      <c r="K488" t="s">
        <v>114</v>
      </c>
      <c r="L488" t="s">
        <v>161</v>
      </c>
      <c r="M488" t="s">
        <v>161</v>
      </c>
      <c r="N488" t="s">
        <v>114</v>
      </c>
      <c r="O488" t="s">
        <v>1110</v>
      </c>
      <c r="P488" t="s">
        <v>1111</v>
      </c>
      <c r="Q488" t="s">
        <v>114</v>
      </c>
      <c r="R488" t="s">
        <v>180</v>
      </c>
      <c r="S488" t="s">
        <v>114</v>
      </c>
      <c r="T488" t="s">
        <v>180</v>
      </c>
      <c r="V488" t="s">
        <v>114</v>
      </c>
      <c r="W488" t="s">
        <v>1111</v>
      </c>
      <c r="Y488" t="s">
        <v>4300</v>
      </c>
      <c r="Z488" t="s">
        <v>4301</v>
      </c>
      <c r="AA488" t="s">
        <v>4302</v>
      </c>
      <c r="AB488" t="s">
        <v>4303</v>
      </c>
      <c r="AC488" t="s">
        <v>4304</v>
      </c>
      <c r="AG488" t="s">
        <v>123</v>
      </c>
      <c r="AH488" t="s">
        <v>124</v>
      </c>
      <c r="AI488" t="s">
        <v>4305</v>
      </c>
      <c r="AJ488" t="s">
        <v>126</v>
      </c>
      <c r="AK488" t="s">
        <v>127</v>
      </c>
      <c r="AM488" t="s">
        <v>4306</v>
      </c>
      <c r="AN488" t="s">
        <v>4307</v>
      </c>
      <c r="AO488" t="s">
        <v>3815</v>
      </c>
      <c r="AP488" t="s">
        <v>131</v>
      </c>
      <c r="AQ488" t="s">
        <v>403</v>
      </c>
      <c r="AR488" t="s">
        <v>4308</v>
      </c>
      <c r="AS488" t="s">
        <v>4309</v>
      </c>
      <c r="AU488" t="s">
        <v>219</v>
      </c>
      <c r="AW488" t="s">
        <v>155</v>
      </c>
      <c r="AX488" t="s">
        <v>177</v>
      </c>
      <c r="AY488" t="s">
        <v>138</v>
      </c>
      <c r="AZ488" t="s">
        <v>4310</v>
      </c>
      <c r="BB488" t="s">
        <v>140</v>
      </c>
    </row>
    <row r="489" spans="1:54" x14ac:dyDescent="0.35">
      <c r="A489" t="s">
        <v>4311</v>
      </c>
      <c r="B489" t="s">
        <v>107</v>
      </c>
      <c r="C489" t="s">
        <v>107</v>
      </c>
      <c r="E489" t="s">
        <v>108</v>
      </c>
      <c r="F489" t="s">
        <v>158</v>
      </c>
      <c r="G489" t="s">
        <v>159</v>
      </c>
      <c r="H489" t="s">
        <v>111</v>
      </c>
      <c r="I489" t="s">
        <v>341</v>
      </c>
      <c r="J489" t="s">
        <v>113</v>
      </c>
      <c r="K489" t="s">
        <v>114</v>
      </c>
      <c r="L489" t="s">
        <v>161</v>
      </c>
      <c r="M489" t="s">
        <v>161</v>
      </c>
      <c r="N489" t="s">
        <v>436</v>
      </c>
      <c r="O489" t="s">
        <v>1110</v>
      </c>
      <c r="P489" t="s">
        <v>1876</v>
      </c>
      <c r="Q489" t="s">
        <v>114</v>
      </c>
      <c r="R489" t="s">
        <v>180</v>
      </c>
      <c r="S489" t="s">
        <v>114</v>
      </c>
      <c r="T489" t="s">
        <v>180</v>
      </c>
      <c r="V489" t="s">
        <v>114</v>
      </c>
      <c r="W489" t="s">
        <v>1876</v>
      </c>
      <c r="Y489" t="s">
        <v>4312</v>
      </c>
      <c r="Z489" t="s">
        <v>4313</v>
      </c>
      <c r="AA489" t="s">
        <v>4314</v>
      </c>
      <c r="AB489" t="s">
        <v>4315</v>
      </c>
      <c r="AC489" t="s">
        <v>4316</v>
      </c>
      <c r="AG489" t="s">
        <v>123</v>
      </c>
      <c r="AH489" t="s">
        <v>124</v>
      </c>
      <c r="AI489" t="s">
        <v>4317</v>
      </c>
      <c r="AJ489" t="s">
        <v>126</v>
      </c>
      <c r="AK489" t="s">
        <v>127</v>
      </c>
      <c r="AM489" t="s">
        <v>4318</v>
      </c>
      <c r="AN489" t="s">
        <v>4319</v>
      </c>
      <c r="AO489" t="s">
        <v>4320</v>
      </c>
      <c r="AP489" t="s">
        <v>131</v>
      </c>
      <c r="AQ489" t="s">
        <v>132</v>
      </c>
      <c r="AR489" t="s">
        <v>432</v>
      </c>
      <c r="AS489" t="s">
        <v>2862</v>
      </c>
      <c r="AU489" t="s">
        <v>690</v>
      </c>
      <c r="AW489" t="s">
        <v>155</v>
      </c>
      <c r="AX489" t="s">
        <v>177</v>
      </c>
      <c r="AY489" t="s">
        <v>138</v>
      </c>
      <c r="AZ489" t="s">
        <v>4321</v>
      </c>
      <c r="BB489" t="s">
        <v>140</v>
      </c>
    </row>
    <row r="490" spans="1:54" x14ac:dyDescent="0.35">
      <c r="A490" t="s">
        <v>4311</v>
      </c>
      <c r="B490" t="s">
        <v>107</v>
      </c>
      <c r="C490" t="s">
        <v>107</v>
      </c>
      <c r="E490" t="s">
        <v>108</v>
      </c>
      <c r="F490" t="s">
        <v>268</v>
      </c>
      <c r="G490" t="s">
        <v>269</v>
      </c>
      <c r="H490" t="s">
        <v>2268</v>
      </c>
      <c r="I490" t="s">
        <v>271</v>
      </c>
      <c r="J490" t="s">
        <v>113</v>
      </c>
      <c r="K490" t="s">
        <v>114</v>
      </c>
      <c r="L490" t="s">
        <v>114</v>
      </c>
      <c r="M490" t="s">
        <v>114</v>
      </c>
      <c r="N490" t="s">
        <v>114</v>
      </c>
      <c r="O490" t="s">
        <v>114</v>
      </c>
      <c r="P490" t="s">
        <v>114</v>
      </c>
      <c r="Q490" t="s">
        <v>114</v>
      </c>
      <c r="R490" t="s">
        <v>180</v>
      </c>
      <c r="S490" t="s">
        <v>114</v>
      </c>
      <c r="T490" t="s">
        <v>180</v>
      </c>
      <c r="V490" t="s">
        <v>114</v>
      </c>
      <c r="W490" t="s">
        <v>1876</v>
      </c>
      <c r="Y490" t="s">
        <v>4312</v>
      </c>
      <c r="Z490" t="s">
        <v>4313</v>
      </c>
      <c r="AA490" t="s">
        <v>4314</v>
      </c>
      <c r="AB490" t="s">
        <v>4315</v>
      </c>
      <c r="AC490" t="s">
        <v>4316</v>
      </c>
      <c r="AG490" t="s">
        <v>123</v>
      </c>
      <c r="AH490" t="s">
        <v>124</v>
      </c>
      <c r="AI490" t="s">
        <v>4317</v>
      </c>
      <c r="AJ490" t="s">
        <v>126</v>
      </c>
      <c r="AK490" t="s">
        <v>127</v>
      </c>
      <c r="AM490" t="s">
        <v>4318</v>
      </c>
      <c r="AN490" t="s">
        <v>4319</v>
      </c>
      <c r="AO490" t="s">
        <v>4320</v>
      </c>
      <c r="AP490" t="s">
        <v>131</v>
      </c>
      <c r="AQ490" t="s">
        <v>132</v>
      </c>
      <c r="AR490" t="s">
        <v>432</v>
      </c>
      <c r="AS490" t="s">
        <v>2862</v>
      </c>
      <c r="AU490" t="s">
        <v>690</v>
      </c>
      <c r="AW490" t="s">
        <v>155</v>
      </c>
      <c r="AX490" t="s">
        <v>272</v>
      </c>
      <c r="AY490" t="s">
        <v>273</v>
      </c>
      <c r="AZ490" t="s">
        <v>4321</v>
      </c>
      <c r="BB490" t="s">
        <v>140</v>
      </c>
    </row>
    <row r="491" spans="1:54" x14ac:dyDescent="0.35">
      <c r="A491" t="s">
        <v>4322</v>
      </c>
      <c r="B491" t="s">
        <v>107</v>
      </c>
      <c r="C491" t="s">
        <v>107</v>
      </c>
      <c r="E491" t="s">
        <v>108</v>
      </c>
      <c r="F491" t="s">
        <v>158</v>
      </c>
      <c r="G491" t="s">
        <v>159</v>
      </c>
      <c r="H491" t="s">
        <v>111</v>
      </c>
      <c r="I491" t="s">
        <v>341</v>
      </c>
      <c r="J491" t="s">
        <v>113</v>
      </c>
      <c r="K491" t="s">
        <v>114</v>
      </c>
      <c r="L491" t="s">
        <v>161</v>
      </c>
      <c r="M491" t="s">
        <v>161</v>
      </c>
      <c r="N491" t="s">
        <v>4323</v>
      </c>
      <c r="O491" t="s">
        <v>1110</v>
      </c>
      <c r="P491" t="s">
        <v>4324</v>
      </c>
      <c r="Q491" t="s">
        <v>114</v>
      </c>
      <c r="R491" t="s">
        <v>180</v>
      </c>
      <c r="S491" t="s">
        <v>114</v>
      </c>
      <c r="T491" t="s">
        <v>180</v>
      </c>
      <c r="V491" t="s">
        <v>114</v>
      </c>
      <c r="W491" t="s">
        <v>4324</v>
      </c>
      <c r="Y491" t="s">
        <v>4325</v>
      </c>
      <c r="Z491" t="s">
        <v>4326</v>
      </c>
      <c r="AA491" t="s">
        <v>4271</v>
      </c>
      <c r="AB491" t="s">
        <v>4327</v>
      </c>
      <c r="AC491" t="s">
        <v>4326</v>
      </c>
      <c r="AG491" t="s">
        <v>123</v>
      </c>
      <c r="AH491" t="s">
        <v>124</v>
      </c>
      <c r="AI491" t="s">
        <v>4328</v>
      </c>
      <c r="AJ491" t="s">
        <v>126</v>
      </c>
      <c r="AK491" t="s">
        <v>127</v>
      </c>
      <c r="AM491" t="s">
        <v>4329</v>
      </c>
      <c r="AN491" t="s">
        <v>4330</v>
      </c>
      <c r="AO491" t="s">
        <v>4331</v>
      </c>
      <c r="AP491" t="s">
        <v>131</v>
      </c>
      <c r="AQ491" t="s">
        <v>132</v>
      </c>
      <c r="AR491" t="s">
        <v>352</v>
      </c>
      <c r="AS491" t="s">
        <v>667</v>
      </c>
      <c r="AU491" t="s">
        <v>798</v>
      </c>
      <c r="AV491" t="s">
        <v>669</v>
      </c>
      <c r="AW491" t="s">
        <v>136</v>
      </c>
      <c r="AX491" t="s">
        <v>177</v>
      </c>
      <c r="AY491" t="s">
        <v>138</v>
      </c>
      <c r="AZ491" t="s">
        <v>4332</v>
      </c>
      <c r="BB491" t="s">
        <v>140</v>
      </c>
    </row>
    <row r="492" spans="1:54" x14ac:dyDescent="0.35">
      <c r="A492" t="s">
        <v>4322</v>
      </c>
      <c r="B492" t="s">
        <v>107</v>
      </c>
      <c r="C492" t="s">
        <v>107</v>
      </c>
      <c r="E492" t="s">
        <v>108</v>
      </c>
      <c r="F492" t="s">
        <v>268</v>
      </c>
      <c r="G492" t="s">
        <v>269</v>
      </c>
      <c r="H492" t="s">
        <v>2268</v>
      </c>
      <c r="I492" t="s">
        <v>271</v>
      </c>
      <c r="J492" t="s">
        <v>113</v>
      </c>
      <c r="K492" t="s">
        <v>114</v>
      </c>
      <c r="L492" t="s">
        <v>114</v>
      </c>
      <c r="M492" t="s">
        <v>114</v>
      </c>
      <c r="N492" t="s">
        <v>114</v>
      </c>
      <c r="O492" t="s">
        <v>114</v>
      </c>
      <c r="P492" t="s">
        <v>114</v>
      </c>
      <c r="Q492" t="s">
        <v>114</v>
      </c>
      <c r="R492" t="s">
        <v>180</v>
      </c>
      <c r="S492" t="s">
        <v>114</v>
      </c>
      <c r="T492" t="s">
        <v>180</v>
      </c>
      <c r="V492" t="s">
        <v>114</v>
      </c>
      <c r="W492" t="s">
        <v>4324</v>
      </c>
      <c r="Y492" t="s">
        <v>4325</v>
      </c>
      <c r="Z492" t="s">
        <v>4326</v>
      </c>
      <c r="AA492" t="s">
        <v>4271</v>
      </c>
      <c r="AB492" t="s">
        <v>4327</v>
      </c>
      <c r="AC492" t="s">
        <v>4326</v>
      </c>
      <c r="AG492" t="s">
        <v>123</v>
      </c>
      <c r="AH492" t="s">
        <v>124</v>
      </c>
      <c r="AI492" t="s">
        <v>4328</v>
      </c>
      <c r="AJ492" t="s">
        <v>126</v>
      </c>
      <c r="AK492" t="s">
        <v>127</v>
      </c>
      <c r="AM492" t="s">
        <v>4329</v>
      </c>
      <c r="AN492" t="s">
        <v>4330</v>
      </c>
      <c r="AO492" t="s">
        <v>4331</v>
      </c>
      <c r="AP492" t="s">
        <v>131</v>
      </c>
      <c r="AQ492" t="s">
        <v>132</v>
      </c>
      <c r="AR492" t="s">
        <v>352</v>
      </c>
      <c r="AS492" t="s">
        <v>667</v>
      </c>
      <c r="AU492" t="s">
        <v>798</v>
      </c>
      <c r="AV492" t="s">
        <v>669</v>
      </c>
      <c r="AW492" t="s">
        <v>136</v>
      </c>
      <c r="AX492" t="s">
        <v>272</v>
      </c>
      <c r="AY492" t="s">
        <v>273</v>
      </c>
      <c r="AZ492" t="s">
        <v>4332</v>
      </c>
      <c r="BB492" t="s">
        <v>140</v>
      </c>
    </row>
    <row r="493" spans="1:54" x14ac:dyDescent="0.35">
      <c r="A493" t="s">
        <v>4333</v>
      </c>
      <c r="B493" t="s">
        <v>107</v>
      </c>
      <c r="C493" t="s">
        <v>107</v>
      </c>
      <c r="E493" t="s">
        <v>108</v>
      </c>
      <c r="F493" t="s">
        <v>158</v>
      </c>
      <c r="G493" t="s">
        <v>159</v>
      </c>
      <c r="H493" t="s">
        <v>111</v>
      </c>
      <c r="I493" t="s">
        <v>341</v>
      </c>
      <c r="J493" t="s">
        <v>113</v>
      </c>
      <c r="K493" t="s">
        <v>114</v>
      </c>
      <c r="L493" t="s">
        <v>161</v>
      </c>
      <c r="M493" t="s">
        <v>161</v>
      </c>
      <c r="N493" t="s">
        <v>762</v>
      </c>
      <c r="O493" t="s">
        <v>1110</v>
      </c>
      <c r="P493" t="s">
        <v>1575</v>
      </c>
      <c r="Q493" t="s">
        <v>114</v>
      </c>
      <c r="R493" t="s">
        <v>142</v>
      </c>
      <c r="S493" t="s">
        <v>114</v>
      </c>
      <c r="T493" t="s">
        <v>142</v>
      </c>
      <c r="V493" t="s">
        <v>114</v>
      </c>
      <c r="W493" t="s">
        <v>1575</v>
      </c>
      <c r="Y493" t="s">
        <v>4334</v>
      </c>
      <c r="Z493" t="s">
        <v>4335</v>
      </c>
      <c r="AA493" t="s">
        <v>4336</v>
      </c>
      <c r="AB493" t="s">
        <v>4337</v>
      </c>
      <c r="AC493" t="s">
        <v>4335</v>
      </c>
      <c r="AG493" t="s">
        <v>123</v>
      </c>
      <c r="AH493" t="s">
        <v>124</v>
      </c>
      <c r="AI493" t="s">
        <v>4338</v>
      </c>
      <c r="AJ493" t="s">
        <v>126</v>
      </c>
      <c r="AK493" t="s">
        <v>127</v>
      </c>
      <c r="AM493" t="s">
        <v>4339</v>
      </c>
      <c r="AN493" t="s">
        <v>4340</v>
      </c>
      <c r="AO493" t="s">
        <v>4341</v>
      </c>
      <c r="AP493" t="s">
        <v>131</v>
      </c>
      <c r="AQ493" t="s">
        <v>403</v>
      </c>
      <c r="AR493" t="s">
        <v>1440</v>
      </c>
      <c r="AS493" t="s">
        <v>4342</v>
      </c>
      <c r="AU493" t="s">
        <v>406</v>
      </c>
      <c r="AV493" t="s">
        <v>190</v>
      </c>
      <c r="AW493" t="s">
        <v>136</v>
      </c>
      <c r="AX493" t="s">
        <v>177</v>
      </c>
      <c r="AY493" t="s">
        <v>138</v>
      </c>
      <c r="AZ493" t="s">
        <v>4343</v>
      </c>
      <c r="BB493" t="s">
        <v>140</v>
      </c>
    </row>
    <row r="494" spans="1:54" x14ac:dyDescent="0.35">
      <c r="A494" t="s">
        <v>4333</v>
      </c>
      <c r="B494" t="s">
        <v>107</v>
      </c>
      <c r="C494" t="s">
        <v>107</v>
      </c>
      <c r="E494" t="s">
        <v>108</v>
      </c>
      <c r="F494" t="s">
        <v>268</v>
      </c>
      <c r="G494" t="s">
        <v>269</v>
      </c>
      <c r="H494" t="s">
        <v>2268</v>
      </c>
      <c r="I494" t="s">
        <v>271</v>
      </c>
      <c r="J494" t="s">
        <v>113</v>
      </c>
      <c r="K494" t="s">
        <v>114</v>
      </c>
      <c r="L494" t="s">
        <v>114</v>
      </c>
      <c r="M494" t="s">
        <v>114</v>
      </c>
      <c r="N494" t="s">
        <v>114</v>
      </c>
      <c r="O494" t="s">
        <v>114</v>
      </c>
      <c r="P494" t="s">
        <v>114</v>
      </c>
      <c r="Q494" t="s">
        <v>114</v>
      </c>
      <c r="R494" t="s">
        <v>142</v>
      </c>
      <c r="S494" t="s">
        <v>114</v>
      </c>
      <c r="T494" t="s">
        <v>142</v>
      </c>
      <c r="V494" t="s">
        <v>114</v>
      </c>
      <c r="W494" t="s">
        <v>1575</v>
      </c>
      <c r="Y494" t="s">
        <v>4334</v>
      </c>
      <c r="Z494" t="s">
        <v>4335</v>
      </c>
      <c r="AA494" t="s">
        <v>4336</v>
      </c>
      <c r="AB494" t="s">
        <v>4337</v>
      </c>
      <c r="AC494" t="s">
        <v>4335</v>
      </c>
      <c r="AG494" t="s">
        <v>123</v>
      </c>
      <c r="AH494" t="s">
        <v>124</v>
      </c>
      <c r="AI494" t="s">
        <v>4338</v>
      </c>
      <c r="AJ494" t="s">
        <v>126</v>
      </c>
      <c r="AK494" t="s">
        <v>127</v>
      </c>
      <c r="AM494" t="s">
        <v>4339</v>
      </c>
      <c r="AN494" t="s">
        <v>4340</v>
      </c>
      <c r="AO494" t="s">
        <v>4341</v>
      </c>
      <c r="AP494" t="s">
        <v>131</v>
      </c>
      <c r="AQ494" t="s">
        <v>403</v>
      </c>
      <c r="AR494" t="s">
        <v>1440</v>
      </c>
      <c r="AS494" t="s">
        <v>4342</v>
      </c>
      <c r="AU494" t="s">
        <v>406</v>
      </c>
      <c r="AV494" t="s">
        <v>190</v>
      </c>
      <c r="AW494" t="s">
        <v>136</v>
      </c>
      <c r="AX494" t="s">
        <v>272</v>
      </c>
      <c r="AY494" t="s">
        <v>273</v>
      </c>
      <c r="AZ494" t="s">
        <v>4343</v>
      </c>
      <c r="BB494" t="s">
        <v>140</v>
      </c>
    </row>
    <row r="495" spans="1:54" x14ac:dyDescent="0.35">
      <c r="A495" t="s">
        <v>4344</v>
      </c>
      <c r="B495" t="s">
        <v>107</v>
      </c>
      <c r="C495" t="s">
        <v>107</v>
      </c>
      <c r="E495" t="s">
        <v>108</v>
      </c>
      <c r="F495" t="s">
        <v>158</v>
      </c>
      <c r="G495" t="s">
        <v>159</v>
      </c>
      <c r="H495" t="s">
        <v>111</v>
      </c>
      <c r="I495" t="s">
        <v>341</v>
      </c>
      <c r="J495" t="s">
        <v>113</v>
      </c>
      <c r="K495" t="s">
        <v>114</v>
      </c>
      <c r="L495" t="s">
        <v>161</v>
      </c>
      <c r="M495" t="s">
        <v>161</v>
      </c>
      <c r="N495" t="s">
        <v>436</v>
      </c>
      <c r="O495" t="s">
        <v>1110</v>
      </c>
      <c r="P495" t="s">
        <v>1876</v>
      </c>
      <c r="Q495" t="s">
        <v>114</v>
      </c>
      <c r="R495" t="s">
        <v>180</v>
      </c>
      <c r="S495" t="s">
        <v>114</v>
      </c>
      <c r="T495" t="s">
        <v>180</v>
      </c>
      <c r="V495" t="s">
        <v>114</v>
      </c>
      <c r="W495" t="s">
        <v>1876</v>
      </c>
      <c r="Y495" t="s">
        <v>4345</v>
      </c>
      <c r="Z495" t="s">
        <v>4346</v>
      </c>
      <c r="AA495" t="s">
        <v>4347</v>
      </c>
      <c r="AB495" t="s">
        <v>4348</v>
      </c>
      <c r="AC495" t="s">
        <v>4346</v>
      </c>
      <c r="AG495" t="s">
        <v>123</v>
      </c>
      <c r="AH495" t="s">
        <v>124</v>
      </c>
      <c r="AI495" t="s">
        <v>4349</v>
      </c>
      <c r="AJ495" t="s">
        <v>126</v>
      </c>
      <c r="AK495" t="s">
        <v>127</v>
      </c>
      <c r="AM495" t="s">
        <v>4350</v>
      </c>
      <c r="AN495" t="s">
        <v>4351</v>
      </c>
      <c r="AO495" t="s">
        <v>4352</v>
      </c>
      <c r="AP495" t="s">
        <v>131</v>
      </c>
      <c r="AQ495" t="s">
        <v>132</v>
      </c>
      <c r="AR495" t="s">
        <v>796</v>
      </c>
      <c r="AS495" t="s">
        <v>2224</v>
      </c>
      <c r="AU495" t="s">
        <v>516</v>
      </c>
      <c r="AW495" t="s">
        <v>136</v>
      </c>
      <c r="AX495" t="s">
        <v>177</v>
      </c>
      <c r="AY495" t="s">
        <v>138</v>
      </c>
      <c r="AZ495" t="s">
        <v>4353</v>
      </c>
      <c r="BB495" t="s">
        <v>140</v>
      </c>
    </row>
    <row r="496" spans="1:54" x14ac:dyDescent="0.35">
      <c r="A496" t="s">
        <v>4344</v>
      </c>
      <c r="B496" t="s">
        <v>107</v>
      </c>
      <c r="C496" t="s">
        <v>107</v>
      </c>
      <c r="E496" t="s">
        <v>108</v>
      </c>
      <c r="F496" t="s">
        <v>268</v>
      </c>
      <c r="G496" t="s">
        <v>269</v>
      </c>
      <c r="H496" t="s">
        <v>2268</v>
      </c>
      <c r="I496" t="s">
        <v>271</v>
      </c>
      <c r="J496" t="s">
        <v>113</v>
      </c>
      <c r="K496" t="s">
        <v>114</v>
      </c>
      <c r="L496" t="s">
        <v>114</v>
      </c>
      <c r="M496" t="s">
        <v>114</v>
      </c>
      <c r="N496" t="s">
        <v>114</v>
      </c>
      <c r="O496" t="s">
        <v>114</v>
      </c>
      <c r="P496" t="s">
        <v>114</v>
      </c>
      <c r="Q496" t="s">
        <v>114</v>
      </c>
      <c r="R496" t="s">
        <v>180</v>
      </c>
      <c r="S496" t="s">
        <v>114</v>
      </c>
      <c r="T496" t="s">
        <v>180</v>
      </c>
      <c r="V496" t="s">
        <v>114</v>
      </c>
      <c r="W496" t="s">
        <v>1876</v>
      </c>
      <c r="Y496" t="s">
        <v>4345</v>
      </c>
      <c r="Z496" t="s">
        <v>4346</v>
      </c>
      <c r="AA496" t="s">
        <v>4347</v>
      </c>
      <c r="AB496" t="s">
        <v>4348</v>
      </c>
      <c r="AC496" t="s">
        <v>4346</v>
      </c>
      <c r="AG496" t="s">
        <v>123</v>
      </c>
      <c r="AH496" t="s">
        <v>124</v>
      </c>
      <c r="AI496" t="s">
        <v>4349</v>
      </c>
      <c r="AJ496" t="s">
        <v>126</v>
      </c>
      <c r="AK496" t="s">
        <v>127</v>
      </c>
      <c r="AM496" t="s">
        <v>4350</v>
      </c>
      <c r="AN496" t="s">
        <v>4351</v>
      </c>
      <c r="AO496" t="s">
        <v>4352</v>
      </c>
      <c r="AP496" t="s">
        <v>131</v>
      </c>
      <c r="AQ496" t="s">
        <v>132</v>
      </c>
      <c r="AR496" t="s">
        <v>796</v>
      </c>
      <c r="AS496" t="s">
        <v>2224</v>
      </c>
      <c r="AU496" t="s">
        <v>516</v>
      </c>
      <c r="AW496" t="s">
        <v>136</v>
      </c>
      <c r="AX496" t="s">
        <v>272</v>
      </c>
      <c r="AY496" t="s">
        <v>273</v>
      </c>
      <c r="AZ496" t="s">
        <v>4353</v>
      </c>
      <c r="BB496" t="s">
        <v>140</v>
      </c>
    </row>
    <row r="497" spans="1:54" x14ac:dyDescent="0.35">
      <c r="A497" t="s">
        <v>4354</v>
      </c>
      <c r="B497" t="s">
        <v>107</v>
      </c>
      <c r="C497" t="s">
        <v>107</v>
      </c>
      <c r="E497" t="s">
        <v>108</v>
      </c>
      <c r="F497" t="s">
        <v>158</v>
      </c>
      <c r="G497" t="s">
        <v>159</v>
      </c>
      <c r="H497" t="s">
        <v>111</v>
      </c>
      <c r="I497" t="s">
        <v>341</v>
      </c>
      <c r="J497" t="s">
        <v>113</v>
      </c>
      <c r="K497" t="s">
        <v>114</v>
      </c>
      <c r="L497" t="s">
        <v>161</v>
      </c>
      <c r="M497" t="s">
        <v>161</v>
      </c>
      <c r="N497" t="s">
        <v>672</v>
      </c>
      <c r="O497" t="s">
        <v>1110</v>
      </c>
      <c r="P497" t="s">
        <v>117</v>
      </c>
      <c r="Q497" t="s">
        <v>114</v>
      </c>
      <c r="R497" t="s">
        <v>180</v>
      </c>
      <c r="S497" t="s">
        <v>114</v>
      </c>
      <c r="T497" t="s">
        <v>180</v>
      </c>
      <c r="V497" t="s">
        <v>114</v>
      </c>
      <c r="W497" t="s">
        <v>117</v>
      </c>
      <c r="Y497" t="s">
        <v>4355</v>
      </c>
      <c r="Z497" t="s">
        <v>4356</v>
      </c>
      <c r="AA497" t="s">
        <v>4357</v>
      </c>
      <c r="AB497" t="s">
        <v>4358</v>
      </c>
      <c r="AC497" t="s">
        <v>4356</v>
      </c>
      <c r="AG497" t="s">
        <v>123</v>
      </c>
      <c r="AH497" t="s">
        <v>124</v>
      </c>
      <c r="AI497" t="s">
        <v>4359</v>
      </c>
      <c r="AJ497" t="s">
        <v>126</v>
      </c>
      <c r="AK497" t="s">
        <v>127</v>
      </c>
      <c r="AM497" t="s">
        <v>4360</v>
      </c>
      <c r="AN497" t="s">
        <v>4361</v>
      </c>
      <c r="AO497" t="s">
        <v>4362</v>
      </c>
      <c r="AP497" t="s">
        <v>131</v>
      </c>
      <c r="AQ497" t="s">
        <v>403</v>
      </c>
      <c r="AR497" t="s">
        <v>1335</v>
      </c>
      <c r="AS497" t="s">
        <v>4363</v>
      </c>
      <c r="AU497" t="s">
        <v>375</v>
      </c>
      <c r="AV497" t="s">
        <v>190</v>
      </c>
      <c r="AW497" t="s">
        <v>136</v>
      </c>
      <c r="AX497" t="s">
        <v>177</v>
      </c>
      <c r="AY497" t="s">
        <v>138</v>
      </c>
      <c r="AZ497" t="s">
        <v>4364</v>
      </c>
      <c r="BB497" t="s">
        <v>140</v>
      </c>
    </row>
    <row r="498" spans="1:54" x14ac:dyDescent="0.35">
      <c r="A498" t="s">
        <v>4354</v>
      </c>
      <c r="B498" t="s">
        <v>107</v>
      </c>
      <c r="C498" t="s">
        <v>107</v>
      </c>
      <c r="E498" t="s">
        <v>108</v>
      </c>
      <c r="F498" t="s">
        <v>268</v>
      </c>
      <c r="G498" t="s">
        <v>269</v>
      </c>
      <c r="H498" t="s">
        <v>2268</v>
      </c>
      <c r="I498" t="s">
        <v>271</v>
      </c>
      <c r="J498" t="s">
        <v>113</v>
      </c>
      <c r="K498" t="s">
        <v>114</v>
      </c>
      <c r="L498" t="s">
        <v>114</v>
      </c>
      <c r="M498" t="s">
        <v>114</v>
      </c>
      <c r="N498" t="s">
        <v>114</v>
      </c>
      <c r="O498" t="s">
        <v>114</v>
      </c>
      <c r="P498" t="s">
        <v>114</v>
      </c>
      <c r="Q498" t="s">
        <v>114</v>
      </c>
      <c r="R498" t="s">
        <v>180</v>
      </c>
      <c r="S498" t="s">
        <v>114</v>
      </c>
      <c r="T498" t="s">
        <v>180</v>
      </c>
      <c r="V498" t="s">
        <v>114</v>
      </c>
      <c r="W498" t="s">
        <v>117</v>
      </c>
      <c r="Y498" t="s">
        <v>4355</v>
      </c>
      <c r="Z498" t="s">
        <v>4356</v>
      </c>
      <c r="AA498" t="s">
        <v>4357</v>
      </c>
      <c r="AB498" t="s">
        <v>4358</v>
      </c>
      <c r="AC498" t="s">
        <v>4356</v>
      </c>
      <c r="AG498" t="s">
        <v>123</v>
      </c>
      <c r="AH498" t="s">
        <v>124</v>
      </c>
      <c r="AI498" t="s">
        <v>4359</v>
      </c>
      <c r="AJ498" t="s">
        <v>126</v>
      </c>
      <c r="AK498" t="s">
        <v>127</v>
      </c>
      <c r="AM498" t="s">
        <v>4360</v>
      </c>
      <c r="AN498" t="s">
        <v>4361</v>
      </c>
      <c r="AO498" t="s">
        <v>4362</v>
      </c>
      <c r="AP498" t="s">
        <v>131</v>
      </c>
      <c r="AQ498" t="s">
        <v>403</v>
      </c>
      <c r="AR498" t="s">
        <v>1335</v>
      </c>
      <c r="AS498" t="s">
        <v>4363</v>
      </c>
      <c r="AU498" t="s">
        <v>375</v>
      </c>
      <c r="AV498" t="s">
        <v>190</v>
      </c>
      <c r="AW498" t="s">
        <v>136</v>
      </c>
      <c r="AX498" t="s">
        <v>272</v>
      </c>
      <c r="AY498" t="s">
        <v>273</v>
      </c>
      <c r="AZ498" t="s">
        <v>4364</v>
      </c>
      <c r="BB498" t="s">
        <v>140</v>
      </c>
    </row>
    <row r="499" spans="1:54" x14ac:dyDescent="0.35">
      <c r="A499" t="s">
        <v>4365</v>
      </c>
      <c r="B499" t="s">
        <v>107</v>
      </c>
      <c r="C499" t="s">
        <v>107</v>
      </c>
      <c r="E499" t="s">
        <v>108</v>
      </c>
      <c r="F499" t="s">
        <v>158</v>
      </c>
      <c r="G499" t="s">
        <v>159</v>
      </c>
      <c r="H499" t="s">
        <v>111</v>
      </c>
      <c r="I499" t="s">
        <v>341</v>
      </c>
      <c r="J499" t="s">
        <v>113</v>
      </c>
      <c r="K499" t="s">
        <v>114</v>
      </c>
      <c r="L499" t="s">
        <v>161</v>
      </c>
      <c r="M499" t="s">
        <v>161</v>
      </c>
      <c r="N499" t="s">
        <v>672</v>
      </c>
      <c r="O499" t="s">
        <v>1110</v>
      </c>
      <c r="P499" t="s">
        <v>117</v>
      </c>
      <c r="Q499" t="s">
        <v>114</v>
      </c>
      <c r="R499" t="s">
        <v>142</v>
      </c>
      <c r="S499" t="s">
        <v>114</v>
      </c>
      <c r="T499" t="s">
        <v>142</v>
      </c>
      <c r="V499" t="s">
        <v>114</v>
      </c>
      <c r="W499" t="s">
        <v>117</v>
      </c>
      <c r="Y499" t="s">
        <v>4366</v>
      </c>
      <c r="Z499" t="s">
        <v>4367</v>
      </c>
      <c r="AA499" t="s">
        <v>4249</v>
      </c>
      <c r="AB499" t="s">
        <v>4368</v>
      </c>
      <c r="AC499" t="s">
        <v>4367</v>
      </c>
      <c r="AG499" t="s">
        <v>123</v>
      </c>
      <c r="AH499" t="s">
        <v>124</v>
      </c>
      <c r="AI499" t="s">
        <v>4369</v>
      </c>
      <c r="AJ499" t="s">
        <v>126</v>
      </c>
      <c r="AK499" t="s">
        <v>127</v>
      </c>
      <c r="AM499" t="s">
        <v>4370</v>
      </c>
      <c r="AN499" t="s">
        <v>4371</v>
      </c>
      <c r="AO499" t="s">
        <v>4372</v>
      </c>
      <c r="AP499" t="s">
        <v>131</v>
      </c>
      <c r="AQ499" t="s">
        <v>132</v>
      </c>
      <c r="AR499" t="s">
        <v>720</v>
      </c>
      <c r="AS499" t="s">
        <v>2345</v>
      </c>
      <c r="AU499" t="s">
        <v>4373</v>
      </c>
      <c r="AW499" t="s">
        <v>136</v>
      </c>
      <c r="AX499" t="s">
        <v>177</v>
      </c>
      <c r="AY499" t="s">
        <v>138</v>
      </c>
      <c r="AZ499" t="s">
        <v>4374</v>
      </c>
      <c r="BB499" t="s">
        <v>140</v>
      </c>
    </row>
    <row r="500" spans="1:54" x14ac:dyDescent="0.35">
      <c r="A500" t="s">
        <v>4365</v>
      </c>
      <c r="B500" t="s">
        <v>107</v>
      </c>
      <c r="C500" t="s">
        <v>107</v>
      </c>
      <c r="E500" t="s">
        <v>108</v>
      </c>
      <c r="F500" t="s">
        <v>268</v>
      </c>
      <c r="G500" t="s">
        <v>269</v>
      </c>
      <c r="H500" t="s">
        <v>2268</v>
      </c>
      <c r="I500" t="s">
        <v>271</v>
      </c>
      <c r="J500" t="s">
        <v>113</v>
      </c>
      <c r="K500" t="s">
        <v>114</v>
      </c>
      <c r="L500" t="s">
        <v>114</v>
      </c>
      <c r="M500" t="s">
        <v>114</v>
      </c>
      <c r="N500" t="s">
        <v>114</v>
      </c>
      <c r="O500" t="s">
        <v>114</v>
      </c>
      <c r="P500" t="s">
        <v>114</v>
      </c>
      <c r="Q500" t="s">
        <v>114</v>
      </c>
      <c r="R500" t="s">
        <v>142</v>
      </c>
      <c r="S500" t="s">
        <v>114</v>
      </c>
      <c r="T500" t="s">
        <v>142</v>
      </c>
      <c r="V500" t="s">
        <v>114</v>
      </c>
      <c r="W500" t="s">
        <v>117</v>
      </c>
      <c r="Y500" t="s">
        <v>4366</v>
      </c>
      <c r="Z500" t="s">
        <v>4367</v>
      </c>
      <c r="AA500" t="s">
        <v>4249</v>
      </c>
      <c r="AB500" t="s">
        <v>4368</v>
      </c>
      <c r="AC500" t="s">
        <v>4367</v>
      </c>
      <c r="AG500" t="s">
        <v>123</v>
      </c>
      <c r="AH500" t="s">
        <v>124</v>
      </c>
      <c r="AI500" t="s">
        <v>4369</v>
      </c>
      <c r="AJ500" t="s">
        <v>126</v>
      </c>
      <c r="AK500" t="s">
        <v>127</v>
      </c>
      <c r="AM500" t="s">
        <v>4370</v>
      </c>
      <c r="AN500" t="s">
        <v>4371</v>
      </c>
      <c r="AO500" t="s">
        <v>4372</v>
      </c>
      <c r="AP500" t="s">
        <v>131</v>
      </c>
      <c r="AQ500" t="s">
        <v>132</v>
      </c>
      <c r="AR500" t="s">
        <v>720</v>
      </c>
      <c r="AS500" t="s">
        <v>2345</v>
      </c>
      <c r="AU500" t="s">
        <v>4373</v>
      </c>
      <c r="AW500" t="s">
        <v>136</v>
      </c>
      <c r="AX500" t="s">
        <v>272</v>
      </c>
      <c r="AY500" t="s">
        <v>273</v>
      </c>
      <c r="AZ500" t="s">
        <v>4374</v>
      </c>
      <c r="BB500" t="s">
        <v>140</v>
      </c>
    </row>
    <row r="501" spans="1:54" x14ac:dyDescent="0.35">
      <c r="A501" t="s">
        <v>4375</v>
      </c>
      <c r="B501" t="s">
        <v>107</v>
      </c>
      <c r="C501" t="s">
        <v>107</v>
      </c>
      <c r="F501" t="s">
        <v>358</v>
      </c>
      <c r="G501" t="s">
        <v>359</v>
      </c>
      <c r="H501" t="s">
        <v>360</v>
      </c>
      <c r="I501" t="s">
        <v>341</v>
      </c>
      <c r="J501" t="s">
        <v>113</v>
      </c>
      <c r="K501" t="s">
        <v>114</v>
      </c>
      <c r="L501" t="s">
        <v>114</v>
      </c>
      <c r="M501" t="s">
        <v>114</v>
      </c>
      <c r="N501" t="s">
        <v>114</v>
      </c>
      <c r="O501" t="s">
        <v>114</v>
      </c>
      <c r="P501" t="s">
        <v>114</v>
      </c>
      <c r="Q501" t="s">
        <v>114</v>
      </c>
      <c r="R501" t="s">
        <v>114</v>
      </c>
      <c r="S501" t="s">
        <v>114</v>
      </c>
      <c r="T501" t="s">
        <v>114</v>
      </c>
      <c r="V501" t="s">
        <v>114</v>
      </c>
      <c r="W501" t="s">
        <v>114</v>
      </c>
      <c r="Y501" t="s">
        <v>4376</v>
      </c>
      <c r="Z501" t="s">
        <v>4376</v>
      </c>
      <c r="AA501" t="s">
        <v>4249</v>
      </c>
      <c r="AB501" t="s">
        <v>4377</v>
      </c>
      <c r="AC501" t="s">
        <v>4378</v>
      </c>
      <c r="AG501" t="s">
        <v>123</v>
      </c>
      <c r="AH501" t="s">
        <v>124</v>
      </c>
      <c r="AI501" t="s">
        <v>4379</v>
      </c>
      <c r="AJ501" t="s">
        <v>126</v>
      </c>
      <c r="AK501" t="s">
        <v>127</v>
      </c>
      <c r="AM501" t="s">
        <v>4380</v>
      </c>
      <c r="AN501" t="s">
        <v>4381</v>
      </c>
      <c r="AO501" t="s">
        <v>4382</v>
      </c>
      <c r="AP501" t="s">
        <v>131</v>
      </c>
      <c r="AQ501" t="s">
        <v>132</v>
      </c>
      <c r="AR501" t="s">
        <v>466</v>
      </c>
      <c r="AS501" t="s">
        <v>467</v>
      </c>
      <c r="AU501" t="s">
        <v>355</v>
      </c>
      <c r="AV501" t="s">
        <v>668</v>
      </c>
      <c r="AX501" t="s">
        <v>177</v>
      </c>
      <c r="AY501" t="s">
        <v>364</v>
      </c>
      <c r="AZ501" t="s">
        <v>4383</v>
      </c>
      <c r="BB501" t="s">
        <v>140</v>
      </c>
    </row>
    <row r="502" spans="1:54" x14ac:dyDescent="0.35">
      <c r="A502" t="s">
        <v>4384</v>
      </c>
      <c r="B502" t="s">
        <v>107</v>
      </c>
      <c r="C502" t="s">
        <v>107</v>
      </c>
      <c r="F502" t="s">
        <v>613</v>
      </c>
      <c r="G502" t="s">
        <v>614</v>
      </c>
      <c r="H502" t="s">
        <v>615</v>
      </c>
      <c r="I502" t="s">
        <v>271</v>
      </c>
      <c r="J502" t="s">
        <v>113</v>
      </c>
      <c r="K502" t="s">
        <v>114</v>
      </c>
      <c r="L502" t="s">
        <v>114</v>
      </c>
      <c r="M502" t="s">
        <v>114</v>
      </c>
      <c r="N502" t="s">
        <v>114</v>
      </c>
      <c r="O502" t="s">
        <v>114</v>
      </c>
      <c r="P502" t="s">
        <v>114</v>
      </c>
      <c r="Q502" t="s">
        <v>114</v>
      </c>
      <c r="R502" t="s">
        <v>114</v>
      </c>
      <c r="S502" t="s">
        <v>114</v>
      </c>
      <c r="T502" t="s">
        <v>114</v>
      </c>
      <c r="V502" t="s">
        <v>114</v>
      </c>
      <c r="W502" t="s">
        <v>114</v>
      </c>
      <c r="Y502" t="s">
        <v>4385</v>
      </c>
      <c r="Z502" t="s">
        <v>4385</v>
      </c>
      <c r="AA502" t="s">
        <v>4386</v>
      </c>
      <c r="AB502" t="s">
        <v>4282</v>
      </c>
      <c r="AC502" t="s">
        <v>4387</v>
      </c>
      <c r="AG502" t="s">
        <v>123</v>
      </c>
      <c r="AH502" t="s">
        <v>124</v>
      </c>
      <c r="AI502" t="s">
        <v>4388</v>
      </c>
      <c r="AJ502" t="s">
        <v>126</v>
      </c>
      <c r="AK502" t="s">
        <v>127</v>
      </c>
      <c r="AM502" t="s">
        <v>4389</v>
      </c>
      <c r="AN502" t="s">
        <v>4390</v>
      </c>
      <c r="AO502" t="s">
        <v>4391</v>
      </c>
      <c r="AP502" t="s">
        <v>131</v>
      </c>
      <c r="AQ502" t="s">
        <v>132</v>
      </c>
      <c r="AR502" t="s">
        <v>2312</v>
      </c>
      <c r="AS502" t="s">
        <v>4392</v>
      </c>
      <c r="AU502" t="s">
        <v>1821</v>
      </c>
      <c r="AV502" t="s">
        <v>940</v>
      </c>
      <c r="AX502" t="s">
        <v>177</v>
      </c>
      <c r="AY502" t="s">
        <v>627</v>
      </c>
      <c r="AZ502" t="s">
        <v>4393</v>
      </c>
      <c r="BB502" t="s">
        <v>140</v>
      </c>
    </row>
    <row r="503" spans="1:54" x14ac:dyDescent="0.35">
      <c r="A503" t="s">
        <v>4394</v>
      </c>
      <c r="B503" t="s">
        <v>107</v>
      </c>
      <c r="C503" t="s">
        <v>107</v>
      </c>
      <c r="F503" t="s">
        <v>358</v>
      </c>
      <c r="G503" t="s">
        <v>359</v>
      </c>
      <c r="H503" t="s">
        <v>360</v>
      </c>
      <c r="I503" t="s">
        <v>341</v>
      </c>
      <c r="J503" t="s">
        <v>113</v>
      </c>
      <c r="K503" t="s">
        <v>114</v>
      </c>
      <c r="L503" t="s">
        <v>114</v>
      </c>
      <c r="M503" t="s">
        <v>114</v>
      </c>
      <c r="N503" t="s">
        <v>114</v>
      </c>
      <c r="O503" t="s">
        <v>114</v>
      </c>
      <c r="P503" t="s">
        <v>114</v>
      </c>
      <c r="Q503" t="s">
        <v>114</v>
      </c>
      <c r="R503" t="s">
        <v>114</v>
      </c>
      <c r="S503" t="s">
        <v>114</v>
      </c>
      <c r="T503" t="s">
        <v>114</v>
      </c>
      <c r="V503" t="s">
        <v>114</v>
      </c>
      <c r="W503" t="s">
        <v>114</v>
      </c>
      <c r="Y503" t="s">
        <v>4395</v>
      </c>
      <c r="Z503" t="s">
        <v>4395</v>
      </c>
      <c r="AA503" t="s">
        <v>4336</v>
      </c>
      <c r="AB503" t="s">
        <v>4396</v>
      </c>
      <c r="AC503" t="s">
        <v>4397</v>
      </c>
      <c r="AG503" t="s">
        <v>123</v>
      </c>
      <c r="AH503" t="s">
        <v>124</v>
      </c>
      <c r="AI503" t="s">
        <v>4398</v>
      </c>
      <c r="AJ503" t="s">
        <v>126</v>
      </c>
      <c r="AK503" t="s">
        <v>127</v>
      </c>
      <c r="AM503" t="s">
        <v>4399</v>
      </c>
      <c r="AN503" t="s">
        <v>4400</v>
      </c>
      <c r="AO503" t="s">
        <v>4401</v>
      </c>
      <c r="AP503" t="s">
        <v>131</v>
      </c>
      <c r="AQ503" t="s">
        <v>132</v>
      </c>
      <c r="AR503" t="s">
        <v>249</v>
      </c>
      <c r="AS503" t="s">
        <v>4245</v>
      </c>
      <c r="AU503" t="s">
        <v>219</v>
      </c>
      <c r="AX503" t="s">
        <v>177</v>
      </c>
      <c r="AY503" t="s">
        <v>364</v>
      </c>
      <c r="AZ503" t="s">
        <v>4402</v>
      </c>
      <c r="BB503" t="s">
        <v>140</v>
      </c>
    </row>
    <row r="504" spans="1:54" x14ac:dyDescent="0.35">
      <c r="A504" t="s">
        <v>4403</v>
      </c>
      <c r="B504" t="s">
        <v>107</v>
      </c>
      <c r="C504" t="s">
        <v>107</v>
      </c>
      <c r="F504" t="s">
        <v>613</v>
      </c>
      <c r="G504" t="s">
        <v>614</v>
      </c>
      <c r="H504" t="s">
        <v>615</v>
      </c>
      <c r="I504" t="s">
        <v>271</v>
      </c>
      <c r="J504" t="s">
        <v>113</v>
      </c>
      <c r="K504" t="s">
        <v>114</v>
      </c>
      <c r="L504" t="s">
        <v>114</v>
      </c>
      <c r="M504" t="s">
        <v>114</v>
      </c>
      <c r="N504" t="s">
        <v>114</v>
      </c>
      <c r="O504" t="s">
        <v>114</v>
      </c>
      <c r="P504" t="s">
        <v>114</v>
      </c>
      <c r="Q504" t="s">
        <v>114</v>
      </c>
      <c r="R504" t="s">
        <v>114</v>
      </c>
      <c r="S504" t="s">
        <v>114</v>
      </c>
      <c r="T504" t="s">
        <v>114</v>
      </c>
      <c r="V504" t="s">
        <v>114</v>
      </c>
      <c r="W504" t="s">
        <v>114</v>
      </c>
      <c r="Y504" t="s">
        <v>4404</v>
      </c>
      <c r="Z504" t="s">
        <v>4404</v>
      </c>
      <c r="AA504" t="s">
        <v>4336</v>
      </c>
      <c r="AB504" t="s">
        <v>4405</v>
      </c>
      <c r="AC504" t="s">
        <v>4406</v>
      </c>
      <c r="AG504" t="s">
        <v>123</v>
      </c>
      <c r="AH504" t="s">
        <v>124</v>
      </c>
      <c r="AI504" t="s">
        <v>4407</v>
      </c>
      <c r="AJ504" t="s">
        <v>126</v>
      </c>
      <c r="AK504" t="s">
        <v>127</v>
      </c>
      <c r="AM504" t="s">
        <v>4408</v>
      </c>
      <c r="AN504" t="s">
        <v>4409</v>
      </c>
      <c r="AO504" t="s">
        <v>4410</v>
      </c>
      <c r="AP504" t="s">
        <v>131</v>
      </c>
      <c r="AQ504" t="s">
        <v>132</v>
      </c>
      <c r="AR504" t="s">
        <v>2134</v>
      </c>
      <c r="AS504" t="s">
        <v>4411</v>
      </c>
      <c r="AU504" t="s">
        <v>810</v>
      </c>
      <c r="AX504" t="s">
        <v>177</v>
      </c>
      <c r="AY504" t="s">
        <v>627</v>
      </c>
      <c r="AZ504" t="s">
        <v>4412</v>
      </c>
      <c r="BB504" t="s">
        <v>140</v>
      </c>
    </row>
    <row r="505" spans="1:54" x14ac:dyDescent="0.35">
      <c r="A505" t="s">
        <v>4413</v>
      </c>
      <c r="B505" t="s">
        <v>107</v>
      </c>
      <c r="C505" t="s">
        <v>107</v>
      </c>
      <c r="F505" t="s">
        <v>613</v>
      </c>
      <c r="G505" t="s">
        <v>614</v>
      </c>
      <c r="H505" t="s">
        <v>615</v>
      </c>
      <c r="I505" t="s">
        <v>271</v>
      </c>
      <c r="J505" t="s">
        <v>113</v>
      </c>
      <c r="K505" t="s">
        <v>114</v>
      </c>
      <c r="L505" t="s">
        <v>114</v>
      </c>
      <c r="M505" t="s">
        <v>114</v>
      </c>
      <c r="N505" t="s">
        <v>114</v>
      </c>
      <c r="O505" t="s">
        <v>114</v>
      </c>
      <c r="P505" t="s">
        <v>114</v>
      </c>
      <c r="Q505" t="s">
        <v>114</v>
      </c>
      <c r="R505" t="s">
        <v>114</v>
      </c>
      <c r="S505" t="s">
        <v>114</v>
      </c>
      <c r="T505" t="s">
        <v>114</v>
      </c>
      <c r="V505" t="s">
        <v>114</v>
      </c>
      <c r="W505" t="s">
        <v>114</v>
      </c>
      <c r="Y505" t="s">
        <v>4414</v>
      </c>
      <c r="Z505" t="s">
        <v>4414</v>
      </c>
      <c r="AA505" t="s">
        <v>4347</v>
      </c>
      <c r="AB505" t="s">
        <v>4415</v>
      </c>
      <c r="AC505" t="s">
        <v>4416</v>
      </c>
      <c r="AG505" t="s">
        <v>123</v>
      </c>
      <c r="AH505" t="s">
        <v>124</v>
      </c>
      <c r="AI505" t="s">
        <v>4417</v>
      </c>
      <c r="AJ505" t="s">
        <v>126</v>
      </c>
      <c r="AK505" t="s">
        <v>127</v>
      </c>
      <c r="AM505" t="s">
        <v>4418</v>
      </c>
      <c r="AN505" t="s">
        <v>4419</v>
      </c>
      <c r="AO505" t="s">
        <v>4420</v>
      </c>
      <c r="AP505" t="s">
        <v>131</v>
      </c>
      <c r="AQ505" t="s">
        <v>132</v>
      </c>
      <c r="AR505" t="s">
        <v>1452</v>
      </c>
      <c r="AS505" t="s">
        <v>1453</v>
      </c>
      <c r="AU505" t="s">
        <v>785</v>
      </c>
      <c r="AX505" t="s">
        <v>177</v>
      </c>
      <c r="AY505" t="s">
        <v>627</v>
      </c>
      <c r="AZ505" t="s">
        <v>4421</v>
      </c>
      <c r="BB505" t="s">
        <v>140</v>
      </c>
    </row>
    <row r="506" spans="1:54" x14ac:dyDescent="0.35">
      <c r="A506" t="s">
        <v>4422</v>
      </c>
      <c r="B506" t="s">
        <v>107</v>
      </c>
      <c r="C506" t="s">
        <v>107</v>
      </c>
      <c r="F506" t="s">
        <v>158</v>
      </c>
      <c r="G506" t="s">
        <v>159</v>
      </c>
      <c r="H506" t="s">
        <v>111</v>
      </c>
      <c r="I506" t="s">
        <v>341</v>
      </c>
      <c r="J506" t="s">
        <v>113</v>
      </c>
      <c r="K506" t="s">
        <v>114</v>
      </c>
      <c r="L506" t="s">
        <v>114</v>
      </c>
      <c r="M506" t="s">
        <v>114</v>
      </c>
      <c r="N506" t="s">
        <v>114</v>
      </c>
      <c r="O506" t="s">
        <v>114</v>
      </c>
      <c r="P506" t="s">
        <v>114</v>
      </c>
      <c r="Q506" t="s">
        <v>114</v>
      </c>
      <c r="R506" t="s">
        <v>114</v>
      </c>
      <c r="S506" t="s">
        <v>114</v>
      </c>
      <c r="T506" t="s">
        <v>114</v>
      </c>
      <c r="V506" t="s">
        <v>114</v>
      </c>
      <c r="W506" t="s">
        <v>114</v>
      </c>
      <c r="Y506" t="s">
        <v>4423</v>
      </c>
      <c r="Z506" t="s">
        <v>4424</v>
      </c>
      <c r="AA506" t="s">
        <v>4336</v>
      </c>
      <c r="AB506" t="s">
        <v>4425</v>
      </c>
      <c r="AC506" t="s">
        <v>4426</v>
      </c>
      <c r="AG506" t="s">
        <v>123</v>
      </c>
      <c r="AH506" t="s">
        <v>124</v>
      </c>
      <c r="AI506" t="s">
        <v>4427</v>
      </c>
      <c r="AJ506" t="s">
        <v>126</v>
      </c>
      <c r="AK506" t="s">
        <v>127</v>
      </c>
      <c r="AM506" t="s">
        <v>4428</v>
      </c>
      <c r="AN506" t="s">
        <v>4429</v>
      </c>
      <c r="AO506" t="s">
        <v>4430</v>
      </c>
      <c r="AP506" t="s">
        <v>131</v>
      </c>
      <c r="AQ506" t="s">
        <v>132</v>
      </c>
      <c r="AR506" t="s">
        <v>2380</v>
      </c>
      <c r="AS506" t="s">
        <v>4431</v>
      </c>
      <c r="AU506" t="s">
        <v>759</v>
      </c>
      <c r="AX506" t="s">
        <v>177</v>
      </c>
      <c r="AY506" t="s">
        <v>138</v>
      </c>
      <c r="AZ506" t="s">
        <v>4432</v>
      </c>
      <c r="BB506" t="s">
        <v>140</v>
      </c>
    </row>
    <row r="507" spans="1:54" x14ac:dyDescent="0.35">
      <c r="A507" t="s">
        <v>4433</v>
      </c>
      <c r="B507" t="s">
        <v>107</v>
      </c>
      <c r="C507" t="s">
        <v>107</v>
      </c>
      <c r="F507" t="s">
        <v>613</v>
      </c>
      <c r="G507" t="s">
        <v>614</v>
      </c>
      <c r="H507" t="s">
        <v>615</v>
      </c>
      <c r="I507" t="s">
        <v>271</v>
      </c>
      <c r="J507" t="s">
        <v>113</v>
      </c>
      <c r="K507" t="s">
        <v>114</v>
      </c>
      <c r="L507" t="s">
        <v>114</v>
      </c>
      <c r="M507" t="s">
        <v>114</v>
      </c>
      <c r="N507" t="s">
        <v>114</v>
      </c>
      <c r="O507" t="s">
        <v>114</v>
      </c>
      <c r="P507" t="s">
        <v>114</v>
      </c>
      <c r="Q507" t="s">
        <v>114</v>
      </c>
      <c r="R507" t="s">
        <v>114</v>
      </c>
      <c r="S507" t="s">
        <v>114</v>
      </c>
      <c r="T507" t="s">
        <v>114</v>
      </c>
      <c r="V507" t="s">
        <v>114</v>
      </c>
      <c r="W507" t="s">
        <v>114</v>
      </c>
      <c r="Y507" t="s">
        <v>4434</v>
      </c>
      <c r="Z507" t="s">
        <v>4435</v>
      </c>
      <c r="AA507" t="s">
        <v>4436</v>
      </c>
      <c r="AB507" t="s">
        <v>4272</v>
      </c>
      <c r="AC507" t="s">
        <v>4437</v>
      </c>
      <c r="AG507" t="s">
        <v>123</v>
      </c>
      <c r="AH507" t="s">
        <v>124</v>
      </c>
      <c r="AI507" t="s">
        <v>4438</v>
      </c>
      <c r="AJ507" t="s">
        <v>126</v>
      </c>
      <c r="AK507" t="s">
        <v>127</v>
      </c>
      <c r="AM507" t="s">
        <v>4439</v>
      </c>
      <c r="AN507" t="s">
        <v>4440</v>
      </c>
      <c r="AO507" t="s">
        <v>4441</v>
      </c>
      <c r="AP507" t="s">
        <v>131</v>
      </c>
      <c r="AQ507" t="s">
        <v>132</v>
      </c>
      <c r="AR507" t="s">
        <v>152</v>
      </c>
      <c r="AS507" t="s">
        <v>2278</v>
      </c>
      <c r="AU507" t="s">
        <v>299</v>
      </c>
      <c r="AX507" t="s">
        <v>177</v>
      </c>
      <c r="AY507" t="s">
        <v>627</v>
      </c>
      <c r="AZ507" t="s">
        <v>4442</v>
      </c>
      <c r="BB507" t="s">
        <v>140</v>
      </c>
    </row>
    <row r="508" spans="1:54" x14ac:dyDescent="0.35">
      <c r="A508" t="s">
        <v>4443</v>
      </c>
      <c r="B508" t="s">
        <v>107</v>
      </c>
      <c r="C508" t="s">
        <v>107</v>
      </c>
      <c r="F508" t="s">
        <v>358</v>
      </c>
      <c r="G508" t="s">
        <v>359</v>
      </c>
      <c r="H508" t="s">
        <v>360</v>
      </c>
      <c r="I508" t="s">
        <v>341</v>
      </c>
      <c r="J508" t="s">
        <v>113</v>
      </c>
      <c r="K508" t="s">
        <v>114</v>
      </c>
      <c r="L508" t="s">
        <v>114</v>
      </c>
      <c r="M508" t="s">
        <v>114</v>
      </c>
      <c r="N508" t="s">
        <v>114</v>
      </c>
      <c r="O508" t="s">
        <v>114</v>
      </c>
      <c r="P508" t="s">
        <v>114</v>
      </c>
      <c r="Q508" t="s">
        <v>114</v>
      </c>
      <c r="R508" t="s">
        <v>114</v>
      </c>
      <c r="S508" t="s">
        <v>114</v>
      </c>
      <c r="T508" t="s">
        <v>114</v>
      </c>
      <c r="V508" t="s">
        <v>114</v>
      </c>
      <c r="W508" t="s">
        <v>114</v>
      </c>
      <c r="Y508" t="s">
        <v>4444</v>
      </c>
      <c r="Z508" t="s">
        <v>4444</v>
      </c>
      <c r="AA508" t="s">
        <v>4445</v>
      </c>
      <c r="AB508" t="s">
        <v>4446</v>
      </c>
      <c r="AC508" t="s">
        <v>4447</v>
      </c>
      <c r="AG508" t="s">
        <v>123</v>
      </c>
      <c r="AH508" t="s">
        <v>124</v>
      </c>
      <c r="AI508" t="s">
        <v>4448</v>
      </c>
      <c r="AJ508" t="s">
        <v>126</v>
      </c>
      <c r="AK508" t="s">
        <v>127</v>
      </c>
      <c r="AM508" t="s">
        <v>4449</v>
      </c>
      <c r="AN508" t="s">
        <v>4450</v>
      </c>
      <c r="AO508" t="s">
        <v>4451</v>
      </c>
      <c r="AP508" t="s">
        <v>131</v>
      </c>
      <c r="AQ508" t="s">
        <v>132</v>
      </c>
      <c r="AR508" t="s">
        <v>202</v>
      </c>
      <c r="AS508" t="s">
        <v>1489</v>
      </c>
      <c r="AU508" t="s">
        <v>154</v>
      </c>
      <c r="AV508" t="s">
        <v>496</v>
      </c>
      <c r="AX508" t="s">
        <v>177</v>
      </c>
      <c r="AY508" t="s">
        <v>364</v>
      </c>
      <c r="AZ508" t="s">
        <v>4452</v>
      </c>
      <c r="BB508" t="s">
        <v>140</v>
      </c>
    </row>
    <row r="509" spans="1:54" x14ac:dyDescent="0.35">
      <c r="A509" t="s">
        <v>4453</v>
      </c>
      <c r="B509" t="s">
        <v>107</v>
      </c>
      <c r="C509" t="s">
        <v>107</v>
      </c>
      <c r="E509" t="s">
        <v>108</v>
      </c>
      <c r="F509" t="s">
        <v>158</v>
      </c>
      <c r="G509" t="s">
        <v>159</v>
      </c>
      <c r="H509" t="s">
        <v>111</v>
      </c>
      <c r="I509" t="s">
        <v>341</v>
      </c>
      <c r="J509" t="s">
        <v>113</v>
      </c>
      <c r="K509" t="s">
        <v>114</v>
      </c>
      <c r="L509" t="s">
        <v>161</v>
      </c>
      <c r="M509" t="s">
        <v>161</v>
      </c>
      <c r="N509" t="s">
        <v>672</v>
      </c>
      <c r="O509" t="s">
        <v>1110</v>
      </c>
      <c r="P509" t="s">
        <v>117</v>
      </c>
      <c r="Q509" t="s">
        <v>114</v>
      </c>
      <c r="R509" t="s">
        <v>180</v>
      </c>
      <c r="S509" t="s">
        <v>114</v>
      </c>
      <c r="T509" t="s">
        <v>180</v>
      </c>
      <c r="V509" t="s">
        <v>114</v>
      </c>
      <c r="W509" t="s">
        <v>117</v>
      </c>
      <c r="Y509" t="s">
        <v>4454</v>
      </c>
      <c r="Z509" t="s">
        <v>4455</v>
      </c>
      <c r="AA509" t="s">
        <v>4291</v>
      </c>
      <c r="AB509" t="s">
        <v>4456</v>
      </c>
      <c r="AC509" t="s">
        <v>4455</v>
      </c>
      <c r="AG509" t="s">
        <v>123</v>
      </c>
      <c r="AH509" t="s">
        <v>124</v>
      </c>
      <c r="AI509" t="s">
        <v>4457</v>
      </c>
      <c r="AJ509" t="s">
        <v>126</v>
      </c>
      <c r="AK509" t="s">
        <v>127</v>
      </c>
      <c r="AM509" t="s">
        <v>4458</v>
      </c>
      <c r="AN509" t="s">
        <v>4459</v>
      </c>
      <c r="AO509" t="s">
        <v>4460</v>
      </c>
      <c r="AP509" t="s">
        <v>131</v>
      </c>
      <c r="AQ509" t="s">
        <v>132</v>
      </c>
      <c r="AR509" t="s">
        <v>1380</v>
      </c>
      <c r="AS509" t="s">
        <v>4461</v>
      </c>
      <c r="AU509" t="s">
        <v>219</v>
      </c>
      <c r="AV509" t="s">
        <v>389</v>
      </c>
      <c r="AW509" t="s">
        <v>136</v>
      </c>
      <c r="AX509" t="s">
        <v>177</v>
      </c>
      <c r="AY509" t="s">
        <v>138</v>
      </c>
      <c r="AZ509" t="s">
        <v>4462</v>
      </c>
      <c r="BB509" t="s">
        <v>140</v>
      </c>
    </row>
    <row r="510" spans="1:54" x14ac:dyDescent="0.35">
      <c r="A510" t="s">
        <v>4453</v>
      </c>
      <c r="B510" t="s">
        <v>107</v>
      </c>
      <c r="C510" t="s">
        <v>107</v>
      </c>
      <c r="E510" t="s">
        <v>108</v>
      </c>
      <c r="F510" t="s">
        <v>268</v>
      </c>
      <c r="G510" t="s">
        <v>269</v>
      </c>
      <c r="H510" t="s">
        <v>2268</v>
      </c>
      <c r="I510" t="s">
        <v>271</v>
      </c>
      <c r="J510" t="s">
        <v>113</v>
      </c>
      <c r="K510" t="s">
        <v>114</v>
      </c>
      <c r="L510" t="s">
        <v>114</v>
      </c>
      <c r="M510" t="s">
        <v>114</v>
      </c>
      <c r="N510" t="s">
        <v>114</v>
      </c>
      <c r="O510" t="s">
        <v>114</v>
      </c>
      <c r="P510" t="s">
        <v>114</v>
      </c>
      <c r="Q510" t="s">
        <v>114</v>
      </c>
      <c r="R510" t="s">
        <v>180</v>
      </c>
      <c r="S510" t="s">
        <v>114</v>
      </c>
      <c r="T510" t="s">
        <v>180</v>
      </c>
      <c r="V510" t="s">
        <v>114</v>
      </c>
      <c r="W510" t="s">
        <v>117</v>
      </c>
      <c r="Y510" t="s">
        <v>4454</v>
      </c>
      <c r="Z510" t="s">
        <v>4455</v>
      </c>
      <c r="AA510" t="s">
        <v>4291</v>
      </c>
      <c r="AB510" t="s">
        <v>4456</v>
      </c>
      <c r="AC510" t="s">
        <v>4455</v>
      </c>
      <c r="AG510" t="s">
        <v>123</v>
      </c>
      <c r="AH510" t="s">
        <v>124</v>
      </c>
      <c r="AI510" t="s">
        <v>4457</v>
      </c>
      <c r="AJ510" t="s">
        <v>126</v>
      </c>
      <c r="AK510" t="s">
        <v>127</v>
      </c>
      <c r="AM510" t="s">
        <v>4458</v>
      </c>
      <c r="AN510" t="s">
        <v>4459</v>
      </c>
      <c r="AO510" t="s">
        <v>4460</v>
      </c>
      <c r="AP510" t="s">
        <v>131</v>
      </c>
      <c r="AQ510" t="s">
        <v>132</v>
      </c>
      <c r="AR510" t="s">
        <v>1380</v>
      </c>
      <c r="AS510" t="s">
        <v>4461</v>
      </c>
      <c r="AU510" t="s">
        <v>219</v>
      </c>
      <c r="AV510" t="s">
        <v>389</v>
      </c>
      <c r="AW510" t="s">
        <v>136</v>
      </c>
      <c r="AX510" t="s">
        <v>272</v>
      </c>
      <c r="AY510" t="s">
        <v>273</v>
      </c>
      <c r="AZ510" t="s">
        <v>4462</v>
      </c>
      <c r="BB510" t="s">
        <v>140</v>
      </c>
    </row>
    <row r="511" spans="1:54" x14ac:dyDescent="0.35">
      <c r="A511" t="s">
        <v>4463</v>
      </c>
      <c r="B511" t="s">
        <v>107</v>
      </c>
      <c r="C511" t="s">
        <v>107</v>
      </c>
      <c r="F511" t="s">
        <v>358</v>
      </c>
      <c r="G511" t="s">
        <v>359</v>
      </c>
      <c r="H511" t="s">
        <v>360</v>
      </c>
      <c r="I511" t="s">
        <v>341</v>
      </c>
      <c r="J511" t="s">
        <v>113</v>
      </c>
      <c r="K511" t="s">
        <v>114</v>
      </c>
      <c r="L511" t="s">
        <v>114</v>
      </c>
      <c r="M511" t="s">
        <v>114</v>
      </c>
      <c r="N511" t="s">
        <v>114</v>
      </c>
      <c r="O511" t="s">
        <v>114</v>
      </c>
      <c r="P511" t="s">
        <v>114</v>
      </c>
      <c r="Q511" t="s">
        <v>114</v>
      </c>
      <c r="R511" t="s">
        <v>114</v>
      </c>
      <c r="S511" t="s">
        <v>114</v>
      </c>
      <c r="T511" t="s">
        <v>114</v>
      </c>
      <c r="V511" t="s">
        <v>114</v>
      </c>
      <c r="W511" t="s">
        <v>114</v>
      </c>
      <c r="Y511" t="s">
        <v>4464</v>
      </c>
      <c r="Z511" t="s">
        <v>4464</v>
      </c>
      <c r="AA511" t="s">
        <v>4465</v>
      </c>
      <c r="AB511" t="s">
        <v>4466</v>
      </c>
      <c r="AC511" t="s">
        <v>4467</v>
      </c>
      <c r="AG511" t="s">
        <v>123</v>
      </c>
      <c r="AH511" t="s">
        <v>124</v>
      </c>
      <c r="AI511" t="s">
        <v>4468</v>
      </c>
      <c r="AJ511" t="s">
        <v>126</v>
      </c>
      <c r="AK511" t="s">
        <v>127</v>
      </c>
      <c r="AM511" t="s">
        <v>4469</v>
      </c>
      <c r="AN511" t="s">
        <v>4470</v>
      </c>
      <c r="AO511" t="s">
        <v>4471</v>
      </c>
      <c r="AP511" t="s">
        <v>131</v>
      </c>
      <c r="AQ511" t="s">
        <v>132</v>
      </c>
      <c r="AR511" t="s">
        <v>839</v>
      </c>
      <c r="AS511" t="s">
        <v>840</v>
      </c>
      <c r="AU511" t="s">
        <v>1703</v>
      </c>
      <c r="AX511" t="s">
        <v>177</v>
      </c>
      <c r="AY511" t="s">
        <v>364</v>
      </c>
      <c r="AZ511" t="s">
        <v>4472</v>
      </c>
      <c r="BB511" t="s">
        <v>140</v>
      </c>
    </row>
    <row r="512" spans="1:54" x14ac:dyDescent="0.35">
      <c r="A512" t="s">
        <v>4473</v>
      </c>
      <c r="B512" t="s">
        <v>107</v>
      </c>
      <c r="C512" t="s">
        <v>107</v>
      </c>
      <c r="F512" t="s">
        <v>358</v>
      </c>
      <c r="G512" t="s">
        <v>359</v>
      </c>
      <c r="H512" t="s">
        <v>360</v>
      </c>
      <c r="I512" t="s">
        <v>341</v>
      </c>
      <c r="J512" t="s">
        <v>113</v>
      </c>
      <c r="K512" t="s">
        <v>114</v>
      </c>
      <c r="L512" t="s">
        <v>114</v>
      </c>
      <c r="M512" t="s">
        <v>114</v>
      </c>
      <c r="N512" t="s">
        <v>114</v>
      </c>
      <c r="O512" t="s">
        <v>114</v>
      </c>
      <c r="P512" t="s">
        <v>114</v>
      </c>
      <c r="Q512" t="s">
        <v>114</v>
      </c>
      <c r="R512" t="s">
        <v>114</v>
      </c>
      <c r="S512" t="s">
        <v>114</v>
      </c>
      <c r="T512" t="s">
        <v>114</v>
      </c>
      <c r="V512" t="s">
        <v>114</v>
      </c>
      <c r="W512" t="s">
        <v>114</v>
      </c>
      <c r="Y512" t="s">
        <v>4474</v>
      </c>
      <c r="Z512" t="s">
        <v>4474</v>
      </c>
      <c r="AA512" t="s">
        <v>4475</v>
      </c>
      <c r="AB512" t="s">
        <v>4476</v>
      </c>
      <c r="AC512" t="s">
        <v>4477</v>
      </c>
      <c r="AG512" t="s">
        <v>123</v>
      </c>
      <c r="AH512" t="s">
        <v>124</v>
      </c>
      <c r="AI512" t="s">
        <v>4478</v>
      </c>
      <c r="AJ512" t="s">
        <v>126</v>
      </c>
      <c r="AK512" t="s">
        <v>127</v>
      </c>
      <c r="AM512" t="s">
        <v>4479</v>
      </c>
      <c r="AN512" t="s">
        <v>2017</v>
      </c>
      <c r="AO512" t="s">
        <v>4480</v>
      </c>
      <c r="AP512" t="s">
        <v>131</v>
      </c>
      <c r="AQ512" t="s">
        <v>132</v>
      </c>
      <c r="AR512" t="s">
        <v>3481</v>
      </c>
      <c r="AS512" t="s">
        <v>4481</v>
      </c>
      <c r="AU512" t="s">
        <v>1403</v>
      </c>
      <c r="AV512" t="s">
        <v>1403</v>
      </c>
      <c r="AX512" t="s">
        <v>177</v>
      </c>
      <c r="AY512" t="s">
        <v>364</v>
      </c>
      <c r="AZ512" t="s">
        <v>4482</v>
      </c>
      <c r="BB512" t="s">
        <v>140</v>
      </c>
    </row>
    <row r="513" spans="1:54" x14ac:dyDescent="0.35">
      <c r="A513" t="s">
        <v>4483</v>
      </c>
      <c r="B513" t="s">
        <v>107</v>
      </c>
      <c r="C513" t="s">
        <v>107</v>
      </c>
      <c r="F513" t="s">
        <v>613</v>
      </c>
      <c r="G513" t="s">
        <v>614</v>
      </c>
      <c r="H513" t="s">
        <v>615</v>
      </c>
      <c r="I513" t="s">
        <v>271</v>
      </c>
      <c r="J513" t="s">
        <v>113</v>
      </c>
      <c r="K513" t="s">
        <v>114</v>
      </c>
      <c r="L513" t="s">
        <v>114</v>
      </c>
      <c r="M513" t="s">
        <v>114</v>
      </c>
      <c r="N513" t="s">
        <v>114</v>
      </c>
      <c r="O513" t="s">
        <v>114</v>
      </c>
      <c r="P513" t="s">
        <v>114</v>
      </c>
      <c r="Q513" t="s">
        <v>114</v>
      </c>
      <c r="R513" t="s">
        <v>114</v>
      </c>
      <c r="S513" t="s">
        <v>114</v>
      </c>
      <c r="T513" t="s">
        <v>114</v>
      </c>
      <c r="V513" t="s">
        <v>114</v>
      </c>
      <c r="W513" t="s">
        <v>114</v>
      </c>
      <c r="Y513" t="s">
        <v>4484</v>
      </c>
      <c r="Z513" t="s">
        <v>4484</v>
      </c>
      <c r="AA513" t="s">
        <v>4465</v>
      </c>
      <c r="AB513" t="s">
        <v>4466</v>
      </c>
      <c r="AC513" t="s">
        <v>4485</v>
      </c>
      <c r="AG513" t="s">
        <v>123</v>
      </c>
      <c r="AH513" t="s">
        <v>124</v>
      </c>
      <c r="AI513" t="s">
        <v>4486</v>
      </c>
      <c r="AJ513" t="s">
        <v>126</v>
      </c>
      <c r="AK513" t="s">
        <v>127</v>
      </c>
      <c r="AM513" t="s">
        <v>4487</v>
      </c>
      <c r="AN513" t="s">
        <v>4488</v>
      </c>
      <c r="AO513" t="s">
        <v>4489</v>
      </c>
      <c r="AP513" t="s">
        <v>131</v>
      </c>
      <c r="AQ513" t="s">
        <v>132</v>
      </c>
      <c r="AR513" t="s">
        <v>756</v>
      </c>
      <c r="AS513" t="s">
        <v>1832</v>
      </c>
      <c r="AU513" t="s">
        <v>154</v>
      </c>
      <c r="AV513" t="s">
        <v>892</v>
      </c>
      <c r="AX513" t="s">
        <v>177</v>
      </c>
      <c r="AY513" t="s">
        <v>627</v>
      </c>
      <c r="AZ513" t="s">
        <v>4490</v>
      </c>
      <c r="BB513" t="s">
        <v>140</v>
      </c>
    </row>
    <row r="514" spans="1:54" x14ac:dyDescent="0.35">
      <c r="A514" t="s">
        <v>4491</v>
      </c>
      <c r="B514" t="s">
        <v>107</v>
      </c>
      <c r="C514" t="s">
        <v>107</v>
      </c>
      <c r="F514" t="s">
        <v>613</v>
      </c>
      <c r="G514" t="s">
        <v>614</v>
      </c>
      <c r="H514" t="s">
        <v>615</v>
      </c>
      <c r="I514" t="s">
        <v>271</v>
      </c>
      <c r="J514" t="s">
        <v>113</v>
      </c>
      <c r="K514" t="s">
        <v>114</v>
      </c>
      <c r="L514" t="s">
        <v>114</v>
      </c>
      <c r="M514" t="s">
        <v>114</v>
      </c>
      <c r="N514" t="s">
        <v>114</v>
      </c>
      <c r="O514" t="s">
        <v>114</v>
      </c>
      <c r="P514" t="s">
        <v>114</v>
      </c>
      <c r="Q514" t="s">
        <v>114</v>
      </c>
      <c r="R514" t="s">
        <v>114</v>
      </c>
      <c r="S514" t="s">
        <v>114</v>
      </c>
      <c r="T514" t="s">
        <v>114</v>
      </c>
      <c r="V514" t="s">
        <v>114</v>
      </c>
      <c r="W514" t="s">
        <v>114</v>
      </c>
      <c r="Y514" t="s">
        <v>4492</v>
      </c>
      <c r="Z514" t="s">
        <v>4492</v>
      </c>
      <c r="AA514" t="s">
        <v>4493</v>
      </c>
      <c r="AB514" t="s">
        <v>4494</v>
      </c>
      <c r="AC514" t="s">
        <v>4495</v>
      </c>
      <c r="AG514" t="s">
        <v>123</v>
      </c>
      <c r="AH514" t="s">
        <v>124</v>
      </c>
      <c r="AI514" t="s">
        <v>4496</v>
      </c>
      <c r="AJ514" t="s">
        <v>126</v>
      </c>
      <c r="AK514" t="s">
        <v>127</v>
      </c>
      <c r="AM514" t="s">
        <v>781</v>
      </c>
      <c r="AN514" t="s">
        <v>782</v>
      </c>
      <c r="AO514" t="s">
        <v>783</v>
      </c>
      <c r="AP514" t="s">
        <v>131</v>
      </c>
      <c r="AQ514" t="s">
        <v>233</v>
      </c>
      <c r="AR514" t="s">
        <v>234</v>
      </c>
      <c r="AS514" t="s">
        <v>784</v>
      </c>
      <c r="AU514" t="s">
        <v>785</v>
      </c>
      <c r="AX514" t="s">
        <v>177</v>
      </c>
      <c r="AY514" t="s">
        <v>627</v>
      </c>
      <c r="AZ514" t="s">
        <v>4497</v>
      </c>
      <c r="BB514" t="s">
        <v>140</v>
      </c>
    </row>
    <row r="515" spans="1:54" x14ac:dyDescent="0.35">
      <c r="A515" t="s">
        <v>4498</v>
      </c>
      <c r="B515" t="s">
        <v>107</v>
      </c>
      <c r="C515" t="s">
        <v>107</v>
      </c>
      <c r="F515" t="s">
        <v>358</v>
      </c>
      <c r="G515" t="s">
        <v>359</v>
      </c>
      <c r="H515" t="s">
        <v>360</v>
      </c>
      <c r="I515" t="s">
        <v>341</v>
      </c>
      <c r="J515" t="s">
        <v>113</v>
      </c>
      <c r="K515" t="s">
        <v>114</v>
      </c>
      <c r="L515" t="s">
        <v>114</v>
      </c>
      <c r="M515" t="s">
        <v>114</v>
      </c>
      <c r="N515" t="s">
        <v>114</v>
      </c>
      <c r="O515" t="s">
        <v>114</v>
      </c>
      <c r="P515" t="s">
        <v>114</v>
      </c>
      <c r="Q515" t="s">
        <v>114</v>
      </c>
      <c r="R515" t="s">
        <v>114</v>
      </c>
      <c r="S515" t="s">
        <v>114</v>
      </c>
      <c r="T515" t="s">
        <v>114</v>
      </c>
      <c r="V515" t="s">
        <v>114</v>
      </c>
      <c r="W515" t="s">
        <v>114</v>
      </c>
      <c r="Y515" t="s">
        <v>4492</v>
      </c>
      <c r="Z515" t="s">
        <v>4492</v>
      </c>
      <c r="AA515" t="s">
        <v>4499</v>
      </c>
      <c r="AB515" t="s">
        <v>4500</v>
      </c>
      <c r="AC515" t="s">
        <v>4501</v>
      </c>
      <c r="AG515" t="s">
        <v>123</v>
      </c>
      <c r="AH515" t="s">
        <v>124</v>
      </c>
      <c r="AI515" t="s">
        <v>4502</v>
      </c>
      <c r="AJ515" t="s">
        <v>126</v>
      </c>
      <c r="AK515" t="s">
        <v>127</v>
      </c>
      <c r="AM515" t="s">
        <v>4503</v>
      </c>
      <c r="AN515" t="s">
        <v>4504</v>
      </c>
      <c r="AO515" t="s">
        <v>4505</v>
      </c>
      <c r="AP515" t="s">
        <v>131</v>
      </c>
      <c r="AQ515" t="s">
        <v>132</v>
      </c>
      <c r="AR515" t="s">
        <v>1056</v>
      </c>
      <c r="AS515" t="s">
        <v>3005</v>
      </c>
      <c r="AU515" t="s">
        <v>610</v>
      </c>
      <c r="AX515" t="s">
        <v>177</v>
      </c>
      <c r="AY515" t="s">
        <v>364</v>
      </c>
      <c r="AZ515" t="s">
        <v>4506</v>
      </c>
      <c r="BB515" t="s">
        <v>140</v>
      </c>
    </row>
    <row r="516" spans="1:54" x14ac:dyDescent="0.35">
      <c r="A516" t="s">
        <v>4507</v>
      </c>
      <c r="B516" t="s">
        <v>107</v>
      </c>
      <c r="C516" t="s">
        <v>107</v>
      </c>
      <c r="F516" t="s">
        <v>613</v>
      </c>
      <c r="G516" t="s">
        <v>614</v>
      </c>
      <c r="H516" t="s">
        <v>615</v>
      </c>
      <c r="I516" t="s">
        <v>271</v>
      </c>
      <c r="J516" t="s">
        <v>113</v>
      </c>
      <c r="K516" t="s">
        <v>114</v>
      </c>
      <c r="L516" t="s">
        <v>114</v>
      </c>
      <c r="M516" t="s">
        <v>114</v>
      </c>
      <c r="N516" t="s">
        <v>114</v>
      </c>
      <c r="O516" t="s">
        <v>114</v>
      </c>
      <c r="P516" t="s">
        <v>114</v>
      </c>
      <c r="Q516" t="s">
        <v>114</v>
      </c>
      <c r="R516" t="s">
        <v>114</v>
      </c>
      <c r="S516" t="s">
        <v>114</v>
      </c>
      <c r="T516" t="s">
        <v>114</v>
      </c>
      <c r="V516" t="s">
        <v>114</v>
      </c>
      <c r="W516" t="s">
        <v>114</v>
      </c>
      <c r="Y516" t="s">
        <v>4508</v>
      </c>
      <c r="Z516" t="s">
        <v>4508</v>
      </c>
      <c r="AA516" t="s">
        <v>4509</v>
      </c>
      <c r="AB516" t="s">
        <v>4510</v>
      </c>
      <c r="AC516" t="s">
        <v>4511</v>
      </c>
      <c r="AG516" t="s">
        <v>123</v>
      </c>
      <c r="AH516" t="s">
        <v>124</v>
      </c>
      <c r="AI516" t="s">
        <v>4512</v>
      </c>
      <c r="AJ516" t="s">
        <v>126</v>
      </c>
      <c r="AK516" t="s">
        <v>127</v>
      </c>
      <c r="AM516" t="s">
        <v>4513</v>
      </c>
      <c r="AN516" t="s">
        <v>4514</v>
      </c>
      <c r="AO516" t="s">
        <v>4515</v>
      </c>
      <c r="AP516" t="s">
        <v>131</v>
      </c>
      <c r="AQ516" t="s">
        <v>132</v>
      </c>
      <c r="AR516" t="s">
        <v>466</v>
      </c>
      <c r="AS516" t="s">
        <v>467</v>
      </c>
      <c r="AU516" t="s">
        <v>4516</v>
      </c>
      <c r="AV516" t="s">
        <v>191</v>
      </c>
      <c r="AX516" t="s">
        <v>177</v>
      </c>
      <c r="AY516" t="s">
        <v>627</v>
      </c>
      <c r="AZ516" t="s">
        <v>4517</v>
      </c>
      <c r="BB516" t="s">
        <v>140</v>
      </c>
    </row>
    <row r="517" spans="1:54" x14ac:dyDescent="0.35">
      <c r="A517" t="s">
        <v>4518</v>
      </c>
      <c r="B517" t="s">
        <v>107</v>
      </c>
      <c r="C517" t="s">
        <v>107</v>
      </c>
      <c r="F517" t="s">
        <v>484</v>
      </c>
      <c r="G517" t="s">
        <v>159</v>
      </c>
      <c r="H517" t="s">
        <v>485</v>
      </c>
      <c r="I517" t="s">
        <v>341</v>
      </c>
      <c r="J517" t="s">
        <v>113</v>
      </c>
      <c r="K517" t="s">
        <v>114</v>
      </c>
      <c r="L517" t="s">
        <v>114</v>
      </c>
      <c r="M517" t="s">
        <v>114</v>
      </c>
      <c r="N517" t="s">
        <v>114</v>
      </c>
      <c r="O517" t="s">
        <v>114</v>
      </c>
      <c r="P517" t="s">
        <v>114</v>
      </c>
      <c r="Q517" t="s">
        <v>114</v>
      </c>
      <c r="R517" t="s">
        <v>114</v>
      </c>
      <c r="S517" t="s">
        <v>114</v>
      </c>
      <c r="T517" t="s">
        <v>114</v>
      </c>
      <c r="V517" t="s">
        <v>114</v>
      </c>
      <c r="W517" t="s">
        <v>114</v>
      </c>
      <c r="Y517" t="s">
        <v>4508</v>
      </c>
      <c r="Z517" t="s">
        <v>4508</v>
      </c>
      <c r="AA517" t="s">
        <v>4519</v>
      </c>
      <c r="AB517" t="s">
        <v>4520</v>
      </c>
      <c r="AC517" t="s">
        <v>4521</v>
      </c>
      <c r="AG517" t="s">
        <v>123</v>
      </c>
      <c r="AH517" t="s">
        <v>124</v>
      </c>
      <c r="AI517" t="s">
        <v>4522</v>
      </c>
      <c r="AJ517" t="s">
        <v>126</v>
      </c>
      <c r="AK517" t="s">
        <v>127</v>
      </c>
      <c r="AM517" t="s">
        <v>4523</v>
      </c>
      <c r="AN517" t="s">
        <v>4524</v>
      </c>
      <c r="AO517" t="s">
        <v>4525</v>
      </c>
      <c r="AP517" t="s">
        <v>131</v>
      </c>
      <c r="AQ517" t="s">
        <v>132</v>
      </c>
      <c r="AR517" t="s">
        <v>867</v>
      </c>
      <c r="AS517" t="s">
        <v>868</v>
      </c>
      <c r="AU517" t="s">
        <v>758</v>
      </c>
      <c r="AV517" t="s">
        <v>625</v>
      </c>
      <c r="AX517" t="s">
        <v>177</v>
      </c>
      <c r="AY517" t="s">
        <v>356</v>
      </c>
      <c r="AZ517" t="s">
        <v>4526</v>
      </c>
      <c r="BB517" t="s">
        <v>140</v>
      </c>
    </row>
    <row r="518" spans="1:54" x14ac:dyDescent="0.35">
      <c r="A518" t="s">
        <v>4527</v>
      </c>
      <c r="B518" t="s">
        <v>107</v>
      </c>
      <c r="C518" t="s">
        <v>107</v>
      </c>
      <c r="F518" t="s">
        <v>613</v>
      </c>
      <c r="G518" t="s">
        <v>614</v>
      </c>
      <c r="H518" t="s">
        <v>615</v>
      </c>
      <c r="I518" t="s">
        <v>271</v>
      </c>
      <c r="J518" t="s">
        <v>113</v>
      </c>
      <c r="K518" t="s">
        <v>114</v>
      </c>
      <c r="L518" t="s">
        <v>114</v>
      </c>
      <c r="M518" t="s">
        <v>114</v>
      </c>
      <c r="N518" t="s">
        <v>114</v>
      </c>
      <c r="O518" t="s">
        <v>114</v>
      </c>
      <c r="P518" t="s">
        <v>114</v>
      </c>
      <c r="Q518" t="s">
        <v>114</v>
      </c>
      <c r="R518" t="s">
        <v>114</v>
      </c>
      <c r="S518" t="s">
        <v>114</v>
      </c>
      <c r="T518" t="s">
        <v>114</v>
      </c>
      <c r="V518" t="s">
        <v>114</v>
      </c>
      <c r="W518" t="s">
        <v>114</v>
      </c>
      <c r="Y518" t="s">
        <v>4528</v>
      </c>
      <c r="Z518" t="s">
        <v>4528</v>
      </c>
      <c r="AA518" t="s">
        <v>4465</v>
      </c>
      <c r="AB518" t="s">
        <v>4494</v>
      </c>
      <c r="AC518" t="s">
        <v>4529</v>
      </c>
      <c r="AG518" t="s">
        <v>123</v>
      </c>
      <c r="AH518" t="s">
        <v>124</v>
      </c>
      <c r="AI518" t="s">
        <v>4530</v>
      </c>
      <c r="AJ518" t="s">
        <v>126</v>
      </c>
      <c r="AK518" t="s">
        <v>127</v>
      </c>
      <c r="AM518" t="s">
        <v>4531</v>
      </c>
      <c r="AN518" t="s">
        <v>4532</v>
      </c>
      <c r="AO518" t="s">
        <v>4533</v>
      </c>
      <c r="AP518" t="s">
        <v>131</v>
      </c>
      <c r="AQ518" t="s">
        <v>132</v>
      </c>
      <c r="AR518" t="s">
        <v>1280</v>
      </c>
      <c r="AS518" t="s">
        <v>1281</v>
      </c>
      <c r="AU518" t="s">
        <v>626</v>
      </c>
      <c r="AX518" t="s">
        <v>177</v>
      </c>
      <c r="AY518" t="s">
        <v>627</v>
      </c>
      <c r="AZ518" t="s">
        <v>4534</v>
      </c>
      <c r="BB518" t="s">
        <v>140</v>
      </c>
    </row>
    <row r="519" spans="1:54" x14ac:dyDescent="0.35">
      <c r="A519" t="s">
        <v>4535</v>
      </c>
      <c r="B519" t="s">
        <v>107</v>
      </c>
      <c r="C519" t="s">
        <v>107</v>
      </c>
      <c r="F519" t="s">
        <v>358</v>
      </c>
      <c r="G519" t="s">
        <v>359</v>
      </c>
      <c r="H519" t="s">
        <v>360</v>
      </c>
      <c r="I519" t="s">
        <v>341</v>
      </c>
      <c r="J519" t="s">
        <v>113</v>
      </c>
      <c r="K519" t="s">
        <v>114</v>
      </c>
      <c r="L519" t="s">
        <v>114</v>
      </c>
      <c r="M519" t="s">
        <v>114</v>
      </c>
      <c r="N519" t="s">
        <v>114</v>
      </c>
      <c r="O519" t="s">
        <v>114</v>
      </c>
      <c r="P519" t="s">
        <v>114</v>
      </c>
      <c r="Q519" t="s">
        <v>114</v>
      </c>
      <c r="R519" t="s">
        <v>114</v>
      </c>
      <c r="S519" t="s">
        <v>114</v>
      </c>
      <c r="T519" t="s">
        <v>114</v>
      </c>
      <c r="V519" t="s">
        <v>114</v>
      </c>
      <c r="W519" t="s">
        <v>114</v>
      </c>
      <c r="Y519" t="s">
        <v>4536</v>
      </c>
      <c r="Z519" t="s">
        <v>4536</v>
      </c>
      <c r="AA519" t="s">
        <v>4475</v>
      </c>
      <c r="AB519" t="s">
        <v>4537</v>
      </c>
      <c r="AC519" t="s">
        <v>4538</v>
      </c>
      <c r="AG519" t="s">
        <v>123</v>
      </c>
      <c r="AH519" t="s">
        <v>124</v>
      </c>
      <c r="AI519" t="s">
        <v>4539</v>
      </c>
      <c r="AJ519" t="s">
        <v>126</v>
      </c>
      <c r="AK519" t="s">
        <v>127</v>
      </c>
      <c r="AM519" t="s">
        <v>4540</v>
      </c>
      <c r="AN519" t="s">
        <v>4541</v>
      </c>
      <c r="AO519" t="s">
        <v>4542</v>
      </c>
      <c r="AP519" t="s">
        <v>131</v>
      </c>
      <c r="AQ519" t="s">
        <v>132</v>
      </c>
      <c r="AR519" t="s">
        <v>217</v>
      </c>
      <c r="AS519" t="s">
        <v>4543</v>
      </c>
      <c r="AU519" t="s">
        <v>354</v>
      </c>
      <c r="AX519" t="s">
        <v>177</v>
      </c>
      <c r="AY519" t="s">
        <v>364</v>
      </c>
      <c r="AZ519" t="s">
        <v>4544</v>
      </c>
      <c r="BB519" t="s">
        <v>140</v>
      </c>
    </row>
    <row r="520" spans="1:54" x14ac:dyDescent="0.35">
      <c r="A520" t="s">
        <v>4545</v>
      </c>
      <c r="B520" t="s">
        <v>107</v>
      </c>
      <c r="C520" t="s">
        <v>107</v>
      </c>
      <c r="F520" t="s">
        <v>358</v>
      </c>
      <c r="G520" t="s">
        <v>359</v>
      </c>
      <c r="H520" t="s">
        <v>360</v>
      </c>
      <c r="I520" t="s">
        <v>341</v>
      </c>
      <c r="J520" t="s">
        <v>113</v>
      </c>
      <c r="K520" t="s">
        <v>114</v>
      </c>
      <c r="L520" t="s">
        <v>114</v>
      </c>
      <c r="M520" t="s">
        <v>114</v>
      </c>
      <c r="N520" t="s">
        <v>114</v>
      </c>
      <c r="O520" t="s">
        <v>114</v>
      </c>
      <c r="P520" t="s">
        <v>114</v>
      </c>
      <c r="Q520" t="s">
        <v>114</v>
      </c>
      <c r="R520" t="s">
        <v>114</v>
      </c>
      <c r="S520" t="s">
        <v>114</v>
      </c>
      <c r="T520" t="s">
        <v>114</v>
      </c>
      <c r="V520" t="s">
        <v>114</v>
      </c>
      <c r="W520" t="s">
        <v>114</v>
      </c>
      <c r="Y520" t="s">
        <v>4546</v>
      </c>
      <c r="Z520" t="s">
        <v>4546</v>
      </c>
      <c r="AA520" t="s">
        <v>4519</v>
      </c>
      <c r="AB520" t="s">
        <v>4547</v>
      </c>
      <c r="AC520" t="s">
        <v>4548</v>
      </c>
      <c r="AG520" t="s">
        <v>123</v>
      </c>
      <c r="AH520" t="s">
        <v>124</v>
      </c>
      <c r="AI520" t="s">
        <v>4549</v>
      </c>
      <c r="AJ520" t="s">
        <v>126</v>
      </c>
      <c r="AK520" t="s">
        <v>127</v>
      </c>
      <c r="AM520" t="s">
        <v>4550</v>
      </c>
      <c r="AN520" t="s">
        <v>4551</v>
      </c>
      <c r="AO520" t="s">
        <v>4552</v>
      </c>
      <c r="AP520" t="s">
        <v>131</v>
      </c>
      <c r="AQ520" t="s">
        <v>132</v>
      </c>
      <c r="AR520" t="s">
        <v>387</v>
      </c>
      <c r="AS520" t="s">
        <v>2019</v>
      </c>
      <c r="AU520" t="s">
        <v>3239</v>
      </c>
      <c r="AV520" t="s">
        <v>1766</v>
      </c>
      <c r="AX520" t="s">
        <v>177</v>
      </c>
      <c r="AY520" t="s">
        <v>364</v>
      </c>
      <c r="AZ520" t="s">
        <v>4553</v>
      </c>
      <c r="BB520" t="s">
        <v>140</v>
      </c>
    </row>
    <row r="521" spans="1:54" x14ac:dyDescent="0.35">
      <c r="A521" t="s">
        <v>4554</v>
      </c>
      <c r="B521" t="s">
        <v>107</v>
      </c>
      <c r="C521" t="s">
        <v>107</v>
      </c>
      <c r="F521" t="s">
        <v>613</v>
      </c>
      <c r="G521" t="s">
        <v>614</v>
      </c>
      <c r="H521" t="s">
        <v>615</v>
      </c>
      <c r="I521" t="s">
        <v>271</v>
      </c>
      <c r="J521" t="s">
        <v>113</v>
      </c>
      <c r="K521" t="s">
        <v>114</v>
      </c>
      <c r="L521" t="s">
        <v>114</v>
      </c>
      <c r="M521" t="s">
        <v>114</v>
      </c>
      <c r="N521" t="s">
        <v>114</v>
      </c>
      <c r="O521" t="s">
        <v>114</v>
      </c>
      <c r="P521" t="s">
        <v>114</v>
      </c>
      <c r="Q521" t="s">
        <v>114</v>
      </c>
      <c r="R521" t="s">
        <v>114</v>
      </c>
      <c r="S521" t="s">
        <v>114</v>
      </c>
      <c r="T521" t="s">
        <v>114</v>
      </c>
      <c r="V521" t="s">
        <v>114</v>
      </c>
      <c r="W521" t="s">
        <v>114</v>
      </c>
      <c r="Y521" t="s">
        <v>4555</v>
      </c>
      <c r="Z521" t="s">
        <v>4555</v>
      </c>
      <c r="AA521" t="s">
        <v>4556</v>
      </c>
      <c r="AB521" t="s">
        <v>4557</v>
      </c>
      <c r="AC521" t="s">
        <v>4558</v>
      </c>
      <c r="AG521" t="s">
        <v>123</v>
      </c>
      <c r="AH521" t="s">
        <v>124</v>
      </c>
      <c r="AI521" t="s">
        <v>4559</v>
      </c>
      <c r="AJ521" t="s">
        <v>126</v>
      </c>
      <c r="AK521" t="s">
        <v>127</v>
      </c>
      <c r="AM521" t="s">
        <v>4560</v>
      </c>
      <c r="AN521" t="s">
        <v>4561</v>
      </c>
      <c r="AO521" t="s">
        <v>4562</v>
      </c>
      <c r="AP521" t="s">
        <v>131</v>
      </c>
      <c r="AQ521" t="s">
        <v>233</v>
      </c>
      <c r="AR521" t="s">
        <v>4563</v>
      </c>
      <c r="AS521" t="s">
        <v>4564</v>
      </c>
      <c r="AU521" t="s">
        <v>204</v>
      </c>
      <c r="AX521" t="s">
        <v>177</v>
      </c>
      <c r="AY521" t="s">
        <v>627</v>
      </c>
      <c r="AZ521" t="s">
        <v>4565</v>
      </c>
      <c r="BB521" t="s">
        <v>140</v>
      </c>
    </row>
    <row r="522" spans="1:54" x14ac:dyDescent="0.35">
      <c r="A522" t="s">
        <v>4566</v>
      </c>
      <c r="B522" t="s">
        <v>107</v>
      </c>
      <c r="C522" t="s">
        <v>107</v>
      </c>
      <c r="F522" t="s">
        <v>613</v>
      </c>
      <c r="G522" t="s">
        <v>614</v>
      </c>
      <c r="H522" t="s">
        <v>615</v>
      </c>
      <c r="I522" t="s">
        <v>271</v>
      </c>
      <c r="J522" t="s">
        <v>113</v>
      </c>
      <c r="K522" t="s">
        <v>114</v>
      </c>
      <c r="L522" t="s">
        <v>114</v>
      </c>
      <c r="M522" t="s">
        <v>114</v>
      </c>
      <c r="N522" t="s">
        <v>114</v>
      </c>
      <c r="O522" t="s">
        <v>114</v>
      </c>
      <c r="P522" t="s">
        <v>114</v>
      </c>
      <c r="Q522" t="s">
        <v>114</v>
      </c>
      <c r="R522" t="s">
        <v>114</v>
      </c>
      <c r="S522" t="s">
        <v>114</v>
      </c>
      <c r="T522" t="s">
        <v>114</v>
      </c>
      <c r="V522" t="s">
        <v>114</v>
      </c>
      <c r="W522" t="s">
        <v>114</v>
      </c>
      <c r="Y522" t="s">
        <v>4567</v>
      </c>
      <c r="Z522" t="s">
        <v>4567</v>
      </c>
      <c r="AA522" t="s">
        <v>4465</v>
      </c>
      <c r="AB522" t="s">
        <v>4568</v>
      </c>
      <c r="AC522" t="s">
        <v>4569</v>
      </c>
      <c r="AG522" t="s">
        <v>123</v>
      </c>
      <c r="AH522" t="s">
        <v>124</v>
      </c>
      <c r="AI522" t="s">
        <v>4570</v>
      </c>
      <c r="AJ522" t="s">
        <v>126</v>
      </c>
      <c r="AK522" t="s">
        <v>127</v>
      </c>
      <c r="AM522" t="s">
        <v>4571</v>
      </c>
      <c r="AN522" t="s">
        <v>4572</v>
      </c>
      <c r="AO522" t="s">
        <v>4573</v>
      </c>
      <c r="AP522" t="s">
        <v>131</v>
      </c>
      <c r="AQ522" t="s">
        <v>132</v>
      </c>
      <c r="AR522" t="s">
        <v>152</v>
      </c>
      <c r="AS522" t="s">
        <v>809</v>
      </c>
      <c r="AU522" t="s">
        <v>219</v>
      </c>
      <c r="AX522" t="s">
        <v>177</v>
      </c>
      <c r="AY522" t="s">
        <v>627</v>
      </c>
      <c r="AZ522" t="s">
        <v>4574</v>
      </c>
      <c r="BB522" t="s">
        <v>140</v>
      </c>
    </row>
    <row r="523" spans="1:54" x14ac:dyDescent="0.35">
      <c r="A523" t="s">
        <v>4575</v>
      </c>
      <c r="B523" t="s">
        <v>107</v>
      </c>
      <c r="C523" t="s">
        <v>107</v>
      </c>
      <c r="F523" t="s">
        <v>158</v>
      </c>
      <c r="G523" t="s">
        <v>159</v>
      </c>
      <c r="H523" t="s">
        <v>111</v>
      </c>
      <c r="I523" t="s">
        <v>341</v>
      </c>
      <c r="J523" t="s">
        <v>113</v>
      </c>
      <c r="K523" t="s">
        <v>114</v>
      </c>
      <c r="L523" t="s">
        <v>114</v>
      </c>
      <c r="M523" t="s">
        <v>114</v>
      </c>
      <c r="N523" t="s">
        <v>114</v>
      </c>
      <c r="O523" t="s">
        <v>114</v>
      </c>
      <c r="P523" t="s">
        <v>114</v>
      </c>
      <c r="Q523" t="s">
        <v>114</v>
      </c>
      <c r="R523" t="s">
        <v>114</v>
      </c>
      <c r="S523" t="s">
        <v>114</v>
      </c>
      <c r="T523" t="s">
        <v>114</v>
      </c>
      <c r="V523" t="s">
        <v>114</v>
      </c>
      <c r="W523" t="s">
        <v>114</v>
      </c>
      <c r="Y523" t="s">
        <v>4576</v>
      </c>
      <c r="Z523" t="s">
        <v>4577</v>
      </c>
      <c r="AA523" t="s">
        <v>4578</v>
      </c>
      <c r="AB523" t="s">
        <v>4579</v>
      </c>
      <c r="AC523" t="s">
        <v>4580</v>
      </c>
      <c r="AG523" t="s">
        <v>123</v>
      </c>
      <c r="AH523" t="s">
        <v>124</v>
      </c>
      <c r="AI523" t="s">
        <v>4581</v>
      </c>
      <c r="AJ523" t="s">
        <v>126</v>
      </c>
      <c r="AK523" t="s">
        <v>127</v>
      </c>
      <c r="AM523" t="s">
        <v>4582</v>
      </c>
      <c r="AN523" t="s">
        <v>4583</v>
      </c>
      <c r="AO523" t="s">
        <v>4584</v>
      </c>
      <c r="AP523" t="s">
        <v>131</v>
      </c>
      <c r="AQ523" t="s">
        <v>132</v>
      </c>
      <c r="AR523" t="s">
        <v>4585</v>
      </c>
      <c r="AS523" t="s">
        <v>4586</v>
      </c>
      <c r="AU523" t="s">
        <v>4587</v>
      </c>
      <c r="AX523" t="s">
        <v>177</v>
      </c>
      <c r="AY523" t="s">
        <v>138</v>
      </c>
      <c r="AZ523" t="s">
        <v>4588</v>
      </c>
      <c r="BB523" t="s">
        <v>140</v>
      </c>
    </row>
    <row r="524" spans="1:54" x14ac:dyDescent="0.35">
      <c r="A524" t="s">
        <v>4589</v>
      </c>
      <c r="B524" t="s">
        <v>107</v>
      </c>
      <c r="C524" t="s">
        <v>107</v>
      </c>
      <c r="E524" t="s">
        <v>108</v>
      </c>
      <c r="F524" t="s">
        <v>338</v>
      </c>
      <c r="G524" t="s">
        <v>339</v>
      </c>
      <c r="H524" t="s">
        <v>340</v>
      </c>
      <c r="I524" t="s">
        <v>341</v>
      </c>
      <c r="J524" t="s">
        <v>113</v>
      </c>
      <c r="K524" t="s">
        <v>114</v>
      </c>
      <c r="L524" t="s">
        <v>114</v>
      </c>
      <c r="M524" t="s">
        <v>114</v>
      </c>
      <c r="N524" t="s">
        <v>114</v>
      </c>
      <c r="O524" t="s">
        <v>114</v>
      </c>
      <c r="P524" t="s">
        <v>114</v>
      </c>
      <c r="Q524" t="s">
        <v>114</v>
      </c>
      <c r="R524" t="s">
        <v>180</v>
      </c>
      <c r="S524" t="s">
        <v>114</v>
      </c>
      <c r="T524" t="s">
        <v>180</v>
      </c>
      <c r="V524" t="s">
        <v>114</v>
      </c>
      <c r="W524" t="s">
        <v>4037</v>
      </c>
      <c r="Y524" t="s">
        <v>4590</v>
      </c>
      <c r="Z524" t="s">
        <v>4591</v>
      </c>
      <c r="AA524" t="s">
        <v>4592</v>
      </c>
      <c r="AB524" t="s">
        <v>4593</v>
      </c>
      <c r="AC524" t="s">
        <v>4591</v>
      </c>
      <c r="AG524" t="s">
        <v>123</v>
      </c>
      <c r="AH524" t="s">
        <v>124</v>
      </c>
      <c r="AI524" t="s">
        <v>4594</v>
      </c>
      <c r="AJ524" t="s">
        <v>126</v>
      </c>
      <c r="AK524" t="s">
        <v>127</v>
      </c>
      <c r="AM524" t="s">
        <v>4595</v>
      </c>
      <c r="AN524" t="s">
        <v>4596</v>
      </c>
      <c r="AO524" t="s">
        <v>4597</v>
      </c>
      <c r="AP524" t="s">
        <v>131</v>
      </c>
      <c r="AQ524" t="s">
        <v>132</v>
      </c>
      <c r="AR524" t="s">
        <v>352</v>
      </c>
      <c r="AS524" t="s">
        <v>4598</v>
      </c>
      <c r="AU524" t="s">
        <v>940</v>
      </c>
      <c r="AW524" t="s">
        <v>136</v>
      </c>
      <c r="AX524" t="s">
        <v>177</v>
      </c>
      <c r="AY524" t="s">
        <v>356</v>
      </c>
      <c r="AZ524" t="s">
        <v>4599</v>
      </c>
      <c r="BB524" t="s">
        <v>140</v>
      </c>
    </row>
    <row r="525" spans="1:54" x14ac:dyDescent="0.35">
      <c r="A525" t="s">
        <v>4589</v>
      </c>
      <c r="B525" t="s">
        <v>107</v>
      </c>
      <c r="C525" t="s">
        <v>107</v>
      </c>
      <c r="E525" t="s">
        <v>108</v>
      </c>
      <c r="F525" t="s">
        <v>358</v>
      </c>
      <c r="G525" t="s">
        <v>359</v>
      </c>
      <c r="H525" t="s">
        <v>360</v>
      </c>
      <c r="I525" t="s">
        <v>341</v>
      </c>
      <c r="J525" t="s">
        <v>113</v>
      </c>
      <c r="K525" t="s">
        <v>114</v>
      </c>
      <c r="L525" t="s">
        <v>361</v>
      </c>
      <c r="M525" t="s">
        <v>361</v>
      </c>
      <c r="N525" t="s">
        <v>114</v>
      </c>
      <c r="O525" t="s">
        <v>363</v>
      </c>
      <c r="P525" t="s">
        <v>4037</v>
      </c>
      <c r="Q525" t="s">
        <v>114</v>
      </c>
      <c r="R525" t="s">
        <v>180</v>
      </c>
      <c r="S525" t="s">
        <v>114</v>
      </c>
      <c r="T525" t="s">
        <v>180</v>
      </c>
      <c r="V525" t="s">
        <v>114</v>
      </c>
      <c r="W525" t="s">
        <v>4037</v>
      </c>
      <c r="Y525" t="s">
        <v>4590</v>
      </c>
      <c r="Z525" t="s">
        <v>4591</v>
      </c>
      <c r="AA525" t="s">
        <v>4592</v>
      </c>
      <c r="AB525" t="s">
        <v>4593</v>
      </c>
      <c r="AC525" t="s">
        <v>4591</v>
      </c>
      <c r="AG525" t="s">
        <v>123</v>
      </c>
      <c r="AH525" t="s">
        <v>124</v>
      </c>
      <c r="AI525" t="s">
        <v>4594</v>
      </c>
      <c r="AJ525" t="s">
        <v>126</v>
      </c>
      <c r="AK525" t="s">
        <v>127</v>
      </c>
      <c r="AM525" t="s">
        <v>4595</v>
      </c>
      <c r="AN525" t="s">
        <v>4596</v>
      </c>
      <c r="AO525" t="s">
        <v>4597</v>
      </c>
      <c r="AP525" t="s">
        <v>131</v>
      </c>
      <c r="AQ525" t="s">
        <v>132</v>
      </c>
      <c r="AR525" t="s">
        <v>352</v>
      </c>
      <c r="AS525" t="s">
        <v>4598</v>
      </c>
      <c r="AU525" t="s">
        <v>940</v>
      </c>
      <c r="AW525" t="s">
        <v>136</v>
      </c>
      <c r="AX525" t="s">
        <v>177</v>
      </c>
      <c r="AY525" t="s">
        <v>364</v>
      </c>
      <c r="AZ525" t="s">
        <v>4599</v>
      </c>
      <c r="BB525" t="s">
        <v>140</v>
      </c>
    </row>
    <row r="526" spans="1:54" x14ac:dyDescent="0.35">
      <c r="A526" t="s">
        <v>4600</v>
      </c>
      <c r="B526" t="s">
        <v>107</v>
      </c>
      <c r="C526" t="s">
        <v>107</v>
      </c>
      <c r="E526" t="s">
        <v>108</v>
      </c>
      <c r="F526" t="s">
        <v>268</v>
      </c>
      <c r="G526" t="s">
        <v>269</v>
      </c>
      <c r="H526" t="s">
        <v>2268</v>
      </c>
      <c r="I526" t="s">
        <v>271</v>
      </c>
      <c r="J526" t="s">
        <v>113</v>
      </c>
      <c r="K526" t="s">
        <v>114</v>
      </c>
      <c r="L526" t="s">
        <v>114</v>
      </c>
      <c r="M526" t="s">
        <v>114</v>
      </c>
      <c r="N526" t="s">
        <v>114</v>
      </c>
      <c r="O526" t="s">
        <v>114</v>
      </c>
      <c r="P526" t="s">
        <v>114</v>
      </c>
      <c r="Q526" t="s">
        <v>114</v>
      </c>
      <c r="R526" t="s">
        <v>180</v>
      </c>
      <c r="S526" t="s">
        <v>114</v>
      </c>
      <c r="T526" t="s">
        <v>180</v>
      </c>
      <c r="V526" t="s">
        <v>114</v>
      </c>
      <c r="W526" t="s">
        <v>4601</v>
      </c>
      <c r="Y526" t="s">
        <v>4602</v>
      </c>
      <c r="Z526" t="s">
        <v>4603</v>
      </c>
      <c r="AA526" t="s">
        <v>4509</v>
      </c>
      <c r="AB526" t="s">
        <v>4604</v>
      </c>
      <c r="AC526" t="s">
        <v>4603</v>
      </c>
      <c r="AG526" t="s">
        <v>123</v>
      </c>
      <c r="AH526" t="s">
        <v>124</v>
      </c>
      <c r="AI526" t="s">
        <v>4605</v>
      </c>
      <c r="AJ526" t="s">
        <v>126</v>
      </c>
      <c r="AK526" t="s">
        <v>127</v>
      </c>
      <c r="AM526" t="s">
        <v>4606</v>
      </c>
      <c r="AN526" t="s">
        <v>4607</v>
      </c>
      <c r="AO526" t="s">
        <v>4608</v>
      </c>
      <c r="AP526" t="s">
        <v>131</v>
      </c>
      <c r="AQ526" t="s">
        <v>132</v>
      </c>
      <c r="AR526" t="s">
        <v>1056</v>
      </c>
      <c r="AS526" t="s">
        <v>4609</v>
      </c>
      <c r="AU526" t="s">
        <v>236</v>
      </c>
      <c r="AV526" t="s">
        <v>546</v>
      </c>
      <c r="AW526" t="s">
        <v>136</v>
      </c>
      <c r="AX526" t="s">
        <v>272</v>
      </c>
      <c r="AY526" t="s">
        <v>273</v>
      </c>
      <c r="AZ526" t="s">
        <v>4610</v>
      </c>
      <c r="BB526" t="s">
        <v>140</v>
      </c>
    </row>
    <row r="527" spans="1:54" x14ac:dyDescent="0.35">
      <c r="A527" t="s">
        <v>4600</v>
      </c>
      <c r="B527" t="s">
        <v>107</v>
      </c>
      <c r="C527" t="s">
        <v>107</v>
      </c>
      <c r="E527" t="s">
        <v>108</v>
      </c>
      <c r="F527" t="s">
        <v>158</v>
      </c>
      <c r="G527" t="s">
        <v>159</v>
      </c>
      <c r="H527" t="s">
        <v>111</v>
      </c>
      <c r="I527" t="s">
        <v>341</v>
      </c>
      <c r="J527" t="s">
        <v>113</v>
      </c>
      <c r="K527" t="s">
        <v>114</v>
      </c>
      <c r="L527" t="s">
        <v>161</v>
      </c>
      <c r="M527" t="s">
        <v>161</v>
      </c>
      <c r="N527" t="s">
        <v>4611</v>
      </c>
      <c r="O527" t="s">
        <v>1110</v>
      </c>
      <c r="P527" t="s">
        <v>4601</v>
      </c>
      <c r="Q527" t="s">
        <v>114</v>
      </c>
      <c r="R527" t="s">
        <v>180</v>
      </c>
      <c r="S527" t="s">
        <v>114</v>
      </c>
      <c r="T527" t="s">
        <v>180</v>
      </c>
      <c r="V527" t="s">
        <v>114</v>
      </c>
      <c r="W527" t="s">
        <v>4601</v>
      </c>
      <c r="Y527" t="s">
        <v>4602</v>
      </c>
      <c r="Z527" t="s">
        <v>4603</v>
      </c>
      <c r="AA527" t="s">
        <v>4509</v>
      </c>
      <c r="AB527" t="s">
        <v>4604</v>
      </c>
      <c r="AC527" t="s">
        <v>4603</v>
      </c>
      <c r="AG527" t="s">
        <v>123</v>
      </c>
      <c r="AH527" t="s">
        <v>124</v>
      </c>
      <c r="AI527" t="s">
        <v>4605</v>
      </c>
      <c r="AJ527" t="s">
        <v>126</v>
      </c>
      <c r="AK527" t="s">
        <v>127</v>
      </c>
      <c r="AM527" t="s">
        <v>4606</v>
      </c>
      <c r="AN527" t="s">
        <v>4607</v>
      </c>
      <c r="AO527" t="s">
        <v>4608</v>
      </c>
      <c r="AP527" t="s">
        <v>131</v>
      </c>
      <c r="AQ527" t="s">
        <v>132</v>
      </c>
      <c r="AR527" t="s">
        <v>1056</v>
      </c>
      <c r="AS527" t="s">
        <v>4609</v>
      </c>
      <c r="AU527" t="s">
        <v>236</v>
      </c>
      <c r="AV527" t="s">
        <v>546</v>
      </c>
      <c r="AW527" t="s">
        <v>136</v>
      </c>
      <c r="AX527" t="s">
        <v>177</v>
      </c>
      <c r="AY527" t="s">
        <v>138</v>
      </c>
      <c r="AZ527" t="s">
        <v>4610</v>
      </c>
      <c r="BB527" t="s">
        <v>140</v>
      </c>
    </row>
    <row r="528" spans="1:54" x14ac:dyDescent="0.35">
      <c r="A528" t="s">
        <v>4612</v>
      </c>
      <c r="B528" t="s">
        <v>107</v>
      </c>
      <c r="C528" t="s">
        <v>107</v>
      </c>
      <c r="E528" t="s">
        <v>108</v>
      </c>
      <c r="F528" t="s">
        <v>338</v>
      </c>
      <c r="G528" t="s">
        <v>339</v>
      </c>
      <c r="H528" t="s">
        <v>340</v>
      </c>
      <c r="I528" t="s">
        <v>341</v>
      </c>
      <c r="J528" t="s">
        <v>113</v>
      </c>
      <c r="K528" t="s">
        <v>114</v>
      </c>
      <c r="L528" t="s">
        <v>114</v>
      </c>
      <c r="M528" t="s">
        <v>114</v>
      </c>
      <c r="N528" t="s">
        <v>114</v>
      </c>
      <c r="O528" t="s">
        <v>114</v>
      </c>
      <c r="P528" t="s">
        <v>114</v>
      </c>
      <c r="Q528" t="s">
        <v>114</v>
      </c>
      <c r="R528" t="s">
        <v>180</v>
      </c>
      <c r="S528" t="s">
        <v>114</v>
      </c>
      <c r="T528" t="s">
        <v>180</v>
      </c>
      <c r="V528" t="s">
        <v>114</v>
      </c>
      <c r="W528" t="s">
        <v>4037</v>
      </c>
      <c r="Y528" t="s">
        <v>4613</v>
      </c>
      <c r="Z528" t="s">
        <v>4614</v>
      </c>
      <c r="AA528" t="s">
        <v>4556</v>
      </c>
      <c r="AB528" t="s">
        <v>4615</v>
      </c>
      <c r="AC528" t="s">
        <v>4614</v>
      </c>
      <c r="AG528" t="s">
        <v>123</v>
      </c>
      <c r="AH528" t="s">
        <v>124</v>
      </c>
      <c r="AI528" t="s">
        <v>4616</v>
      </c>
      <c r="AJ528" t="s">
        <v>126</v>
      </c>
      <c r="AK528" t="s">
        <v>127</v>
      </c>
      <c r="AM528" t="s">
        <v>4617</v>
      </c>
      <c r="AN528" t="s">
        <v>4618</v>
      </c>
      <c r="AO528" t="s">
        <v>4619</v>
      </c>
      <c r="AP528" t="s">
        <v>131</v>
      </c>
      <c r="AQ528" t="s">
        <v>132</v>
      </c>
      <c r="AR528" t="s">
        <v>839</v>
      </c>
      <c r="AS528" t="s">
        <v>840</v>
      </c>
      <c r="AU528" t="s">
        <v>965</v>
      </c>
      <c r="AW528" t="s">
        <v>136</v>
      </c>
      <c r="AX528" t="s">
        <v>177</v>
      </c>
      <c r="AY528" t="s">
        <v>356</v>
      </c>
      <c r="AZ528" t="s">
        <v>4620</v>
      </c>
      <c r="BB528" t="s">
        <v>140</v>
      </c>
    </row>
    <row r="529" spans="1:54" x14ac:dyDescent="0.35">
      <c r="A529" t="s">
        <v>4612</v>
      </c>
      <c r="B529" t="s">
        <v>107</v>
      </c>
      <c r="C529" t="s">
        <v>107</v>
      </c>
      <c r="E529" t="s">
        <v>108</v>
      </c>
      <c r="F529" t="s">
        <v>358</v>
      </c>
      <c r="G529" t="s">
        <v>359</v>
      </c>
      <c r="H529" t="s">
        <v>360</v>
      </c>
      <c r="I529" t="s">
        <v>341</v>
      </c>
      <c r="J529" t="s">
        <v>113</v>
      </c>
      <c r="K529" t="s">
        <v>114</v>
      </c>
      <c r="L529" t="s">
        <v>361</v>
      </c>
      <c r="M529" t="s">
        <v>361</v>
      </c>
      <c r="N529" t="s">
        <v>114</v>
      </c>
      <c r="O529" t="s">
        <v>363</v>
      </c>
      <c r="P529" t="s">
        <v>4037</v>
      </c>
      <c r="Q529" t="s">
        <v>114</v>
      </c>
      <c r="R529" t="s">
        <v>180</v>
      </c>
      <c r="S529" t="s">
        <v>114</v>
      </c>
      <c r="T529" t="s">
        <v>180</v>
      </c>
      <c r="V529" t="s">
        <v>114</v>
      </c>
      <c r="W529" t="s">
        <v>4037</v>
      </c>
      <c r="Y529" t="s">
        <v>4613</v>
      </c>
      <c r="Z529" t="s">
        <v>4614</v>
      </c>
      <c r="AA529" t="s">
        <v>4556</v>
      </c>
      <c r="AB529" t="s">
        <v>4615</v>
      </c>
      <c r="AC529" t="s">
        <v>4614</v>
      </c>
      <c r="AG529" t="s">
        <v>123</v>
      </c>
      <c r="AH529" t="s">
        <v>124</v>
      </c>
      <c r="AI529" t="s">
        <v>4616</v>
      </c>
      <c r="AJ529" t="s">
        <v>126</v>
      </c>
      <c r="AK529" t="s">
        <v>127</v>
      </c>
      <c r="AM529" t="s">
        <v>4617</v>
      </c>
      <c r="AN529" t="s">
        <v>4618</v>
      </c>
      <c r="AO529" t="s">
        <v>4619</v>
      </c>
      <c r="AP529" t="s">
        <v>131</v>
      </c>
      <c r="AQ529" t="s">
        <v>132</v>
      </c>
      <c r="AR529" t="s">
        <v>839</v>
      </c>
      <c r="AS529" t="s">
        <v>840</v>
      </c>
      <c r="AU529" t="s">
        <v>965</v>
      </c>
      <c r="AW529" t="s">
        <v>136</v>
      </c>
      <c r="AX529" t="s">
        <v>177</v>
      </c>
      <c r="AY529" t="s">
        <v>364</v>
      </c>
      <c r="AZ529" t="s">
        <v>4620</v>
      </c>
      <c r="BB529" t="s">
        <v>140</v>
      </c>
    </row>
    <row r="530" spans="1:54" x14ac:dyDescent="0.35">
      <c r="A530" t="s">
        <v>4621</v>
      </c>
      <c r="B530" t="s">
        <v>107</v>
      </c>
      <c r="C530" t="s">
        <v>107</v>
      </c>
      <c r="E530" t="s">
        <v>108</v>
      </c>
      <c r="F530" t="s">
        <v>158</v>
      </c>
      <c r="G530" t="s">
        <v>159</v>
      </c>
      <c r="H530" t="s">
        <v>111</v>
      </c>
      <c r="I530" t="s">
        <v>341</v>
      </c>
      <c r="J530" t="s">
        <v>113</v>
      </c>
      <c r="K530" t="s">
        <v>114</v>
      </c>
      <c r="L530" t="s">
        <v>161</v>
      </c>
      <c r="M530" t="s">
        <v>161</v>
      </c>
      <c r="N530" t="s">
        <v>4622</v>
      </c>
      <c r="O530" t="s">
        <v>1110</v>
      </c>
      <c r="P530" t="s">
        <v>4623</v>
      </c>
      <c r="Q530" t="s">
        <v>114</v>
      </c>
      <c r="R530" t="s">
        <v>180</v>
      </c>
      <c r="S530" t="s">
        <v>114</v>
      </c>
      <c r="T530" t="s">
        <v>180</v>
      </c>
      <c r="V530" t="s">
        <v>114</v>
      </c>
      <c r="W530" t="s">
        <v>4623</v>
      </c>
      <c r="Y530" t="s">
        <v>4624</v>
      </c>
      <c r="Z530" t="s">
        <v>4625</v>
      </c>
      <c r="AA530" t="s">
        <v>4465</v>
      </c>
      <c r="AB530" t="s">
        <v>4626</v>
      </c>
      <c r="AC530" t="s">
        <v>4625</v>
      </c>
      <c r="AG530" t="s">
        <v>123</v>
      </c>
      <c r="AH530" t="s">
        <v>124</v>
      </c>
      <c r="AI530" t="s">
        <v>4627</v>
      </c>
      <c r="AJ530" t="s">
        <v>126</v>
      </c>
      <c r="AK530" t="s">
        <v>127</v>
      </c>
      <c r="AM530" t="s">
        <v>4628</v>
      </c>
      <c r="AN530" t="s">
        <v>4629</v>
      </c>
      <c r="AO530" t="s">
        <v>4630</v>
      </c>
      <c r="AP530" t="s">
        <v>131</v>
      </c>
      <c r="AQ530" t="s">
        <v>132</v>
      </c>
      <c r="AR530" t="s">
        <v>1181</v>
      </c>
      <c r="AS530" t="s">
        <v>3206</v>
      </c>
      <c r="AU530" t="s">
        <v>154</v>
      </c>
      <c r="AW530" t="s">
        <v>136</v>
      </c>
      <c r="AX530" t="s">
        <v>177</v>
      </c>
      <c r="AY530" t="s">
        <v>138</v>
      </c>
      <c r="AZ530" t="s">
        <v>4631</v>
      </c>
      <c r="BB530" t="s">
        <v>140</v>
      </c>
    </row>
    <row r="531" spans="1:54" x14ac:dyDescent="0.35">
      <c r="A531" t="s">
        <v>4621</v>
      </c>
      <c r="B531" t="s">
        <v>107</v>
      </c>
      <c r="C531" t="s">
        <v>107</v>
      </c>
      <c r="E531" t="s">
        <v>108</v>
      </c>
      <c r="F531" t="s">
        <v>268</v>
      </c>
      <c r="G531" t="s">
        <v>269</v>
      </c>
      <c r="H531" t="s">
        <v>2268</v>
      </c>
      <c r="I531" t="s">
        <v>271</v>
      </c>
      <c r="J531" t="s">
        <v>113</v>
      </c>
      <c r="K531" t="s">
        <v>114</v>
      </c>
      <c r="L531" t="s">
        <v>114</v>
      </c>
      <c r="M531" t="s">
        <v>114</v>
      </c>
      <c r="N531" t="s">
        <v>114</v>
      </c>
      <c r="O531" t="s">
        <v>114</v>
      </c>
      <c r="P531" t="s">
        <v>114</v>
      </c>
      <c r="Q531" t="s">
        <v>114</v>
      </c>
      <c r="R531" t="s">
        <v>180</v>
      </c>
      <c r="S531" t="s">
        <v>114</v>
      </c>
      <c r="T531" t="s">
        <v>180</v>
      </c>
      <c r="V531" t="s">
        <v>114</v>
      </c>
      <c r="W531" t="s">
        <v>4623</v>
      </c>
      <c r="Y531" t="s">
        <v>4624</v>
      </c>
      <c r="Z531" t="s">
        <v>4625</v>
      </c>
      <c r="AA531" t="s">
        <v>4465</v>
      </c>
      <c r="AB531" t="s">
        <v>4626</v>
      </c>
      <c r="AC531" t="s">
        <v>4625</v>
      </c>
      <c r="AG531" t="s">
        <v>123</v>
      </c>
      <c r="AH531" t="s">
        <v>124</v>
      </c>
      <c r="AI531" t="s">
        <v>4627</v>
      </c>
      <c r="AJ531" t="s">
        <v>126</v>
      </c>
      <c r="AK531" t="s">
        <v>127</v>
      </c>
      <c r="AM531" t="s">
        <v>4628</v>
      </c>
      <c r="AN531" t="s">
        <v>4629</v>
      </c>
      <c r="AO531" t="s">
        <v>4630</v>
      </c>
      <c r="AP531" t="s">
        <v>131</v>
      </c>
      <c r="AQ531" t="s">
        <v>132</v>
      </c>
      <c r="AR531" t="s">
        <v>1181</v>
      </c>
      <c r="AS531" t="s">
        <v>3206</v>
      </c>
      <c r="AU531" t="s">
        <v>154</v>
      </c>
      <c r="AW531" t="s">
        <v>136</v>
      </c>
      <c r="AX531" t="s">
        <v>272</v>
      </c>
      <c r="AY531" t="s">
        <v>273</v>
      </c>
      <c r="AZ531" t="s">
        <v>4631</v>
      </c>
      <c r="BB531" t="s">
        <v>140</v>
      </c>
    </row>
    <row r="532" spans="1:54" x14ac:dyDescent="0.35">
      <c r="A532" t="s">
        <v>4632</v>
      </c>
      <c r="B532" t="s">
        <v>107</v>
      </c>
      <c r="C532" t="s">
        <v>107</v>
      </c>
      <c r="E532" t="s">
        <v>108</v>
      </c>
      <c r="F532" t="s">
        <v>158</v>
      </c>
      <c r="G532" t="s">
        <v>159</v>
      </c>
      <c r="H532" t="s">
        <v>111</v>
      </c>
      <c r="I532" t="s">
        <v>341</v>
      </c>
      <c r="J532" t="s">
        <v>113</v>
      </c>
      <c r="K532" t="s">
        <v>114</v>
      </c>
      <c r="L532" t="s">
        <v>161</v>
      </c>
      <c r="M532" t="s">
        <v>161</v>
      </c>
      <c r="N532" t="s">
        <v>2928</v>
      </c>
      <c r="O532" t="s">
        <v>1110</v>
      </c>
      <c r="P532" t="s">
        <v>895</v>
      </c>
      <c r="Q532" t="s">
        <v>114</v>
      </c>
      <c r="R532" t="s">
        <v>142</v>
      </c>
      <c r="S532" t="s">
        <v>114</v>
      </c>
      <c r="T532" t="s">
        <v>142</v>
      </c>
      <c r="V532" t="s">
        <v>114</v>
      </c>
      <c r="W532" t="s">
        <v>895</v>
      </c>
      <c r="Y532" t="s">
        <v>4633</v>
      </c>
      <c r="Z532" t="s">
        <v>4634</v>
      </c>
      <c r="AA532" t="s">
        <v>4519</v>
      </c>
      <c r="AB532" t="s">
        <v>4635</v>
      </c>
      <c r="AC532" t="s">
        <v>4634</v>
      </c>
      <c r="AG532" t="s">
        <v>123</v>
      </c>
      <c r="AH532" t="s">
        <v>124</v>
      </c>
      <c r="AI532" t="s">
        <v>4636</v>
      </c>
      <c r="AJ532" t="s">
        <v>126</v>
      </c>
      <c r="AK532" t="s">
        <v>127</v>
      </c>
      <c r="AM532" t="s">
        <v>770</v>
      </c>
      <c r="AN532" t="s">
        <v>771</v>
      </c>
      <c r="AO532" t="s">
        <v>772</v>
      </c>
      <c r="AP532" t="s">
        <v>131</v>
      </c>
      <c r="AQ532" t="s">
        <v>132</v>
      </c>
      <c r="AR532" t="s">
        <v>152</v>
      </c>
      <c r="AS532" t="s">
        <v>609</v>
      </c>
      <c r="AU532" t="s">
        <v>355</v>
      </c>
      <c r="AV532" t="s">
        <v>773</v>
      </c>
      <c r="AW532" t="s">
        <v>136</v>
      </c>
      <c r="AX532" t="s">
        <v>177</v>
      </c>
      <c r="AY532" t="s">
        <v>138</v>
      </c>
      <c r="AZ532" t="s">
        <v>4637</v>
      </c>
      <c r="BB532" t="s">
        <v>140</v>
      </c>
    </row>
    <row r="533" spans="1:54" x14ac:dyDescent="0.35">
      <c r="A533" t="s">
        <v>4638</v>
      </c>
      <c r="B533" t="s">
        <v>107</v>
      </c>
      <c r="C533" t="s">
        <v>107</v>
      </c>
      <c r="E533" t="s">
        <v>108</v>
      </c>
      <c r="F533" t="s">
        <v>158</v>
      </c>
      <c r="G533" t="s">
        <v>159</v>
      </c>
      <c r="H533" t="s">
        <v>111</v>
      </c>
      <c r="I533" t="s">
        <v>341</v>
      </c>
      <c r="J533" t="s">
        <v>113</v>
      </c>
      <c r="K533" t="s">
        <v>114</v>
      </c>
      <c r="L533" t="s">
        <v>161</v>
      </c>
      <c r="M533" t="s">
        <v>161</v>
      </c>
      <c r="N533" t="s">
        <v>2928</v>
      </c>
      <c r="O533" t="s">
        <v>1110</v>
      </c>
      <c r="P533" t="s">
        <v>895</v>
      </c>
      <c r="Q533" t="s">
        <v>114</v>
      </c>
      <c r="R533" t="s">
        <v>142</v>
      </c>
      <c r="S533" t="s">
        <v>114</v>
      </c>
      <c r="T533" t="s">
        <v>142</v>
      </c>
      <c r="V533" t="s">
        <v>114</v>
      </c>
      <c r="W533" t="s">
        <v>895</v>
      </c>
      <c r="Y533" t="s">
        <v>4639</v>
      </c>
      <c r="Z533" t="s">
        <v>4640</v>
      </c>
      <c r="AA533" t="s">
        <v>4641</v>
      </c>
      <c r="AB533" t="s">
        <v>4642</v>
      </c>
      <c r="AC533" t="s">
        <v>4640</v>
      </c>
      <c r="AG533" t="s">
        <v>123</v>
      </c>
      <c r="AH533" t="s">
        <v>124</v>
      </c>
      <c r="AI533" t="s">
        <v>4643</v>
      </c>
      <c r="AJ533" t="s">
        <v>126</v>
      </c>
      <c r="AK533" t="s">
        <v>127</v>
      </c>
      <c r="AM533" t="s">
        <v>770</v>
      </c>
      <c r="AN533" t="s">
        <v>771</v>
      </c>
      <c r="AO533" t="s">
        <v>772</v>
      </c>
      <c r="AP533" t="s">
        <v>131</v>
      </c>
      <c r="AQ533" t="s">
        <v>132</v>
      </c>
      <c r="AR533" t="s">
        <v>152</v>
      </c>
      <c r="AS533" t="s">
        <v>609</v>
      </c>
      <c r="AU533" t="s">
        <v>355</v>
      </c>
      <c r="AV533" t="s">
        <v>773</v>
      </c>
      <c r="AW533" t="s">
        <v>136</v>
      </c>
      <c r="AX533" t="s">
        <v>177</v>
      </c>
      <c r="AY533" t="s">
        <v>138</v>
      </c>
      <c r="AZ533" t="s">
        <v>4644</v>
      </c>
      <c r="BB533" t="s">
        <v>140</v>
      </c>
    </row>
    <row r="534" spans="1:54" x14ac:dyDescent="0.35">
      <c r="A534" t="s">
        <v>4638</v>
      </c>
      <c r="B534" t="s">
        <v>107</v>
      </c>
      <c r="C534" t="s">
        <v>107</v>
      </c>
      <c r="E534" t="s">
        <v>108</v>
      </c>
      <c r="F534" t="s">
        <v>268</v>
      </c>
      <c r="G534" t="s">
        <v>269</v>
      </c>
      <c r="H534" t="s">
        <v>2268</v>
      </c>
      <c r="I534" t="s">
        <v>271</v>
      </c>
      <c r="J534" t="s">
        <v>113</v>
      </c>
      <c r="K534" t="s">
        <v>114</v>
      </c>
      <c r="L534" t="s">
        <v>114</v>
      </c>
      <c r="M534" t="s">
        <v>114</v>
      </c>
      <c r="N534" t="s">
        <v>114</v>
      </c>
      <c r="O534" t="s">
        <v>114</v>
      </c>
      <c r="P534" t="s">
        <v>114</v>
      </c>
      <c r="Q534" t="s">
        <v>114</v>
      </c>
      <c r="R534" t="s">
        <v>142</v>
      </c>
      <c r="S534" t="s">
        <v>114</v>
      </c>
      <c r="T534" t="s">
        <v>142</v>
      </c>
      <c r="V534" t="s">
        <v>114</v>
      </c>
      <c r="W534" t="s">
        <v>895</v>
      </c>
      <c r="Y534" t="s">
        <v>4639</v>
      </c>
      <c r="Z534" t="s">
        <v>4640</v>
      </c>
      <c r="AA534" t="s">
        <v>4641</v>
      </c>
      <c r="AB534" t="s">
        <v>4642</v>
      </c>
      <c r="AC534" t="s">
        <v>4640</v>
      </c>
      <c r="AG534" t="s">
        <v>123</v>
      </c>
      <c r="AH534" t="s">
        <v>124</v>
      </c>
      <c r="AI534" t="s">
        <v>4643</v>
      </c>
      <c r="AJ534" t="s">
        <v>126</v>
      </c>
      <c r="AK534" t="s">
        <v>127</v>
      </c>
      <c r="AM534" t="s">
        <v>770</v>
      </c>
      <c r="AN534" t="s">
        <v>771</v>
      </c>
      <c r="AO534" t="s">
        <v>772</v>
      </c>
      <c r="AP534" t="s">
        <v>131</v>
      </c>
      <c r="AQ534" t="s">
        <v>132</v>
      </c>
      <c r="AR534" t="s">
        <v>152</v>
      </c>
      <c r="AS534" t="s">
        <v>609</v>
      </c>
      <c r="AU534" t="s">
        <v>355</v>
      </c>
      <c r="AV534" t="s">
        <v>773</v>
      </c>
      <c r="AW534" t="s">
        <v>136</v>
      </c>
      <c r="AX534" t="s">
        <v>272</v>
      </c>
      <c r="AY534" t="s">
        <v>273</v>
      </c>
      <c r="AZ534" t="s">
        <v>4644</v>
      </c>
      <c r="BB534" t="s">
        <v>140</v>
      </c>
    </row>
    <row r="535" spans="1:54" x14ac:dyDescent="0.35">
      <c r="A535" t="s">
        <v>4645</v>
      </c>
      <c r="B535" t="s">
        <v>107</v>
      </c>
      <c r="C535" t="s">
        <v>107</v>
      </c>
      <c r="E535" t="s">
        <v>108</v>
      </c>
      <c r="F535" t="s">
        <v>158</v>
      </c>
      <c r="G535" t="s">
        <v>159</v>
      </c>
      <c r="H535" t="s">
        <v>111</v>
      </c>
      <c r="I535" t="s">
        <v>341</v>
      </c>
      <c r="J535" t="s">
        <v>113</v>
      </c>
      <c r="K535" t="s">
        <v>114</v>
      </c>
      <c r="L535" t="s">
        <v>161</v>
      </c>
      <c r="M535" t="s">
        <v>161</v>
      </c>
      <c r="N535" t="s">
        <v>994</v>
      </c>
      <c r="O535" t="s">
        <v>1110</v>
      </c>
      <c r="P535" t="s">
        <v>1151</v>
      </c>
      <c r="Q535" t="s">
        <v>114</v>
      </c>
      <c r="R535" t="s">
        <v>180</v>
      </c>
      <c r="S535" t="s">
        <v>114</v>
      </c>
      <c r="T535" t="s">
        <v>180</v>
      </c>
      <c r="V535" t="s">
        <v>114</v>
      </c>
      <c r="W535" t="s">
        <v>1151</v>
      </c>
      <c r="Y535" t="s">
        <v>4646</v>
      </c>
      <c r="Z535" t="s">
        <v>4647</v>
      </c>
      <c r="AA535" t="s">
        <v>4556</v>
      </c>
      <c r="AB535" t="s">
        <v>4648</v>
      </c>
      <c r="AC535" t="s">
        <v>4647</v>
      </c>
      <c r="AG535" t="s">
        <v>123</v>
      </c>
      <c r="AH535" t="s">
        <v>124</v>
      </c>
      <c r="AI535" t="s">
        <v>4649</v>
      </c>
      <c r="AJ535" t="s">
        <v>126</v>
      </c>
      <c r="AK535" t="s">
        <v>127</v>
      </c>
      <c r="AM535" t="s">
        <v>4650</v>
      </c>
      <c r="AN535" t="s">
        <v>4651</v>
      </c>
      <c r="AO535" t="s">
        <v>4652</v>
      </c>
      <c r="AP535" t="s">
        <v>131</v>
      </c>
      <c r="AQ535" t="s">
        <v>132</v>
      </c>
      <c r="AR535" t="s">
        <v>3271</v>
      </c>
      <c r="AS535" t="s">
        <v>3272</v>
      </c>
      <c r="AU535" t="s">
        <v>759</v>
      </c>
      <c r="AW535" t="s">
        <v>136</v>
      </c>
      <c r="AX535" t="s">
        <v>177</v>
      </c>
      <c r="AY535" t="s">
        <v>138</v>
      </c>
      <c r="AZ535" t="s">
        <v>4653</v>
      </c>
      <c r="BB535" t="s">
        <v>140</v>
      </c>
    </row>
    <row r="536" spans="1:54" x14ac:dyDescent="0.35">
      <c r="A536" t="s">
        <v>4645</v>
      </c>
      <c r="B536" t="s">
        <v>107</v>
      </c>
      <c r="C536" t="s">
        <v>107</v>
      </c>
      <c r="E536" t="s">
        <v>108</v>
      </c>
      <c r="F536" t="s">
        <v>268</v>
      </c>
      <c r="G536" t="s">
        <v>269</v>
      </c>
      <c r="H536" t="s">
        <v>2268</v>
      </c>
      <c r="I536" t="s">
        <v>271</v>
      </c>
      <c r="J536" t="s">
        <v>113</v>
      </c>
      <c r="K536" t="s">
        <v>114</v>
      </c>
      <c r="L536" t="s">
        <v>114</v>
      </c>
      <c r="M536" t="s">
        <v>114</v>
      </c>
      <c r="N536" t="s">
        <v>114</v>
      </c>
      <c r="O536" t="s">
        <v>114</v>
      </c>
      <c r="P536" t="s">
        <v>114</v>
      </c>
      <c r="Q536" t="s">
        <v>114</v>
      </c>
      <c r="R536" t="s">
        <v>180</v>
      </c>
      <c r="S536" t="s">
        <v>114</v>
      </c>
      <c r="T536" t="s">
        <v>180</v>
      </c>
      <c r="V536" t="s">
        <v>114</v>
      </c>
      <c r="W536" t="s">
        <v>1151</v>
      </c>
      <c r="Y536" t="s">
        <v>4646</v>
      </c>
      <c r="Z536" t="s">
        <v>4647</v>
      </c>
      <c r="AA536" t="s">
        <v>4556</v>
      </c>
      <c r="AB536" t="s">
        <v>4648</v>
      </c>
      <c r="AC536" t="s">
        <v>4647</v>
      </c>
      <c r="AG536" t="s">
        <v>123</v>
      </c>
      <c r="AH536" t="s">
        <v>124</v>
      </c>
      <c r="AI536" t="s">
        <v>4649</v>
      </c>
      <c r="AJ536" t="s">
        <v>126</v>
      </c>
      <c r="AK536" t="s">
        <v>127</v>
      </c>
      <c r="AM536" t="s">
        <v>4650</v>
      </c>
      <c r="AN536" t="s">
        <v>4651</v>
      </c>
      <c r="AO536" t="s">
        <v>4652</v>
      </c>
      <c r="AP536" t="s">
        <v>131</v>
      </c>
      <c r="AQ536" t="s">
        <v>132</v>
      </c>
      <c r="AR536" t="s">
        <v>3271</v>
      </c>
      <c r="AS536" t="s">
        <v>3272</v>
      </c>
      <c r="AU536" t="s">
        <v>759</v>
      </c>
      <c r="AW536" t="s">
        <v>136</v>
      </c>
      <c r="AX536" t="s">
        <v>272</v>
      </c>
      <c r="AY536" t="s">
        <v>273</v>
      </c>
      <c r="AZ536" t="s">
        <v>4653</v>
      </c>
      <c r="BB536" t="s">
        <v>140</v>
      </c>
    </row>
    <row r="537" spans="1:54" x14ac:dyDescent="0.35">
      <c r="A537" t="s">
        <v>4654</v>
      </c>
      <c r="B537" t="s">
        <v>107</v>
      </c>
      <c r="C537" t="s">
        <v>107</v>
      </c>
      <c r="F537" t="s">
        <v>358</v>
      </c>
      <c r="G537" t="s">
        <v>359</v>
      </c>
      <c r="H537" t="s">
        <v>360</v>
      </c>
      <c r="I537" t="s">
        <v>341</v>
      </c>
      <c r="J537" t="s">
        <v>113</v>
      </c>
      <c r="K537" t="s">
        <v>114</v>
      </c>
      <c r="L537" t="s">
        <v>114</v>
      </c>
      <c r="M537" t="s">
        <v>114</v>
      </c>
      <c r="N537" t="s">
        <v>114</v>
      </c>
      <c r="O537" t="s">
        <v>114</v>
      </c>
      <c r="P537" t="s">
        <v>114</v>
      </c>
      <c r="Q537" t="s">
        <v>114</v>
      </c>
      <c r="R537" t="s">
        <v>114</v>
      </c>
      <c r="S537" t="s">
        <v>114</v>
      </c>
      <c r="T537" t="s">
        <v>114</v>
      </c>
      <c r="V537" t="s">
        <v>114</v>
      </c>
      <c r="W537" t="s">
        <v>114</v>
      </c>
      <c r="Y537" t="s">
        <v>4655</v>
      </c>
      <c r="Z537" t="s">
        <v>4655</v>
      </c>
      <c r="AA537" t="s">
        <v>4556</v>
      </c>
      <c r="AB537" t="s">
        <v>4656</v>
      </c>
      <c r="AC537" t="s">
        <v>4657</v>
      </c>
      <c r="AG537" t="s">
        <v>123</v>
      </c>
      <c r="AH537" t="s">
        <v>124</v>
      </c>
      <c r="AI537" t="s">
        <v>4658</v>
      </c>
      <c r="AJ537" t="s">
        <v>126</v>
      </c>
      <c r="AK537" t="s">
        <v>127</v>
      </c>
      <c r="AM537" t="s">
        <v>4659</v>
      </c>
      <c r="AN537" t="s">
        <v>4660</v>
      </c>
      <c r="AO537" t="s">
        <v>4661</v>
      </c>
      <c r="AP537" t="s">
        <v>131</v>
      </c>
      <c r="AQ537" t="s">
        <v>132</v>
      </c>
      <c r="AR537" t="s">
        <v>4308</v>
      </c>
      <c r="AS537" t="s">
        <v>4309</v>
      </c>
      <c r="AU537" t="s">
        <v>530</v>
      </c>
      <c r="AX537" t="s">
        <v>177</v>
      </c>
      <c r="AY537" t="s">
        <v>364</v>
      </c>
      <c r="AZ537" t="s">
        <v>4662</v>
      </c>
      <c r="BB537" t="s">
        <v>140</v>
      </c>
    </row>
    <row r="538" spans="1:54" x14ac:dyDescent="0.35">
      <c r="A538" t="s">
        <v>4663</v>
      </c>
      <c r="B538" t="s">
        <v>107</v>
      </c>
      <c r="C538" t="s">
        <v>107</v>
      </c>
      <c r="F538" t="s">
        <v>158</v>
      </c>
      <c r="G538" t="s">
        <v>159</v>
      </c>
      <c r="H538" t="s">
        <v>111</v>
      </c>
      <c r="I538" t="s">
        <v>341</v>
      </c>
      <c r="J538" t="s">
        <v>113</v>
      </c>
      <c r="K538" t="s">
        <v>114</v>
      </c>
      <c r="L538" t="s">
        <v>114</v>
      </c>
      <c r="M538" t="s">
        <v>114</v>
      </c>
      <c r="N538" t="s">
        <v>114</v>
      </c>
      <c r="O538" t="s">
        <v>114</v>
      </c>
      <c r="P538" t="s">
        <v>114</v>
      </c>
      <c r="Q538" t="s">
        <v>114</v>
      </c>
      <c r="R538" t="s">
        <v>114</v>
      </c>
      <c r="S538" t="s">
        <v>114</v>
      </c>
      <c r="T538" t="s">
        <v>114</v>
      </c>
      <c r="V538" t="s">
        <v>114</v>
      </c>
      <c r="W538" t="s">
        <v>114</v>
      </c>
      <c r="Y538" t="s">
        <v>4664</v>
      </c>
      <c r="Z538" t="s">
        <v>4665</v>
      </c>
      <c r="AA538" t="s">
        <v>4556</v>
      </c>
      <c r="AB538" t="s">
        <v>4666</v>
      </c>
      <c r="AC538" t="s">
        <v>4667</v>
      </c>
      <c r="AG538" t="s">
        <v>123</v>
      </c>
      <c r="AH538" t="s">
        <v>124</v>
      </c>
      <c r="AI538" t="s">
        <v>4668</v>
      </c>
      <c r="AJ538" t="s">
        <v>126</v>
      </c>
      <c r="AK538" t="s">
        <v>127</v>
      </c>
      <c r="AM538" t="s">
        <v>4669</v>
      </c>
      <c r="AN538" t="s">
        <v>4670</v>
      </c>
      <c r="AO538" t="s">
        <v>4671</v>
      </c>
      <c r="AP538" t="s">
        <v>131</v>
      </c>
      <c r="AQ538" t="s">
        <v>132</v>
      </c>
      <c r="AR538" t="s">
        <v>2076</v>
      </c>
      <c r="AS538" t="s">
        <v>4672</v>
      </c>
      <c r="AU538" t="s">
        <v>516</v>
      </c>
      <c r="AV538" t="s">
        <v>354</v>
      </c>
      <c r="AX538" t="s">
        <v>177</v>
      </c>
      <c r="AY538" t="s">
        <v>138</v>
      </c>
      <c r="AZ538" t="s">
        <v>4673</v>
      </c>
      <c r="BB538" t="s">
        <v>140</v>
      </c>
    </row>
    <row r="539" spans="1:54" x14ac:dyDescent="0.35">
      <c r="A539" t="s">
        <v>4674</v>
      </c>
      <c r="B539" t="s">
        <v>107</v>
      </c>
      <c r="C539" t="s">
        <v>107</v>
      </c>
      <c r="F539" t="s">
        <v>358</v>
      </c>
      <c r="G539" t="s">
        <v>359</v>
      </c>
      <c r="H539" t="s">
        <v>360</v>
      </c>
      <c r="I539" t="s">
        <v>341</v>
      </c>
      <c r="J539" t="s">
        <v>113</v>
      </c>
      <c r="K539" t="s">
        <v>114</v>
      </c>
      <c r="L539" t="s">
        <v>114</v>
      </c>
      <c r="M539" t="s">
        <v>114</v>
      </c>
      <c r="N539" t="s">
        <v>114</v>
      </c>
      <c r="O539" t="s">
        <v>114</v>
      </c>
      <c r="P539" t="s">
        <v>114</v>
      </c>
      <c r="Q539" t="s">
        <v>114</v>
      </c>
      <c r="R539" t="s">
        <v>114</v>
      </c>
      <c r="S539" t="s">
        <v>114</v>
      </c>
      <c r="T539" t="s">
        <v>114</v>
      </c>
      <c r="V539" t="s">
        <v>114</v>
      </c>
      <c r="W539" t="s">
        <v>114</v>
      </c>
      <c r="Y539" t="s">
        <v>4675</v>
      </c>
      <c r="Z539" t="s">
        <v>4675</v>
      </c>
      <c r="AA539" t="s">
        <v>4556</v>
      </c>
      <c r="AB539" t="s">
        <v>4676</v>
      </c>
      <c r="AC539" t="s">
        <v>4677</v>
      </c>
      <c r="AG539" t="s">
        <v>123</v>
      </c>
      <c r="AH539" t="s">
        <v>124</v>
      </c>
      <c r="AI539" t="s">
        <v>4678</v>
      </c>
      <c r="AJ539" t="s">
        <v>126</v>
      </c>
      <c r="AK539" t="s">
        <v>127</v>
      </c>
      <c r="AM539" t="s">
        <v>4679</v>
      </c>
      <c r="AN539" t="s">
        <v>4680</v>
      </c>
      <c r="AO539" t="s">
        <v>988</v>
      </c>
      <c r="AP539" t="s">
        <v>131</v>
      </c>
      <c r="AQ539" t="s">
        <v>132</v>
      </c>
      <c r="AR539" t="s">
        <v>202</v>
      </c>
      <c r="AS539" t="s">
        <v>4681</v>
      </c>
      <c r="AU539" t="s">
        <v>1195</v>
      </c>
      <c r="AX539" t="s">
        <v>177</v>
      </c>
      <c r="AY539" t="s">
        <v>364</v>
      </c>
      <c r="AZ539" t="s">
        <v>4682</v>
      </c>
      <c r="BB539" t="s">
        <v>140</v>
      </c>
    </row>
    <row r="540" spans="1:54" x14ac:dyDescent="0.35">
      <c r="A540" t="s">
        <v>4683</v>
      </c>
      <c r="B540" t="s">
        <v>107</v>
      </c>
      <c r="C540" t="s">
        <v>107</v>
      </c>
      <c r="F540" t="s">
        <v>358</v>
      </c>
      <c r="G540" t="s">
        <v>359</v>
      </c>
      <c r="H540" t="s">
        <v>360</v>
      </c>
      <c r="I540" t="s">
        <v>341</v>
      </c>
      <c r="J540" t="s">
        <v>113</v>
      </c>
      <c r="K540" t="s">
        <v>114</v>
      </c>
      <c r="L540" t="s">
        <v>114</v>
      </c>
      <c r="M540" t="s">
        <v>114</v>
      </c>
      <c r="N540" t="s">
        <v>114</v>
      </c>
      <c r="O540" t="s">
        <v>114</v>
      </c>
      <c r="P540" t="s">
        <v>114</v>
      </c>
      <c r="Q540" t="s">
        <v>114</v>
      </c>
      <c r="R540" t="s">
        <v>114</v>
      </c>
      <c r="S540" t="s">
        <v>114</v>
      </c>
      <c r="T540" t="s">
        <v>114</v>
      </c>
      <c r="V540" t="s">
        <v>114</v>
      </c>
      <c r="W540" t="s">
        <v>114</v>
      </c>
      <c r="Y540" t="s">
        <v>4684</v>
      </c>
      <c r="Z540" t="s">
        <v>4684</v>
      </c>
      <c r="AA540" t="s">
        <v>4685</v>
      </c>
      <c r="AB540" t="s">
        <v>4686</v>
      </c>
      <c r="AC540" t="s">
        <v>4687</v>
      </c>
      <c r="AG540" t="s">
        <v>123</v>
      </c>
      <c r="AH540" t="s">
        <v>124</v>
      </c>
      <c r="AI540" t="s">
        <v>4688</v>
      </c>
      <c r="AJ540" t="s">
        <v>126</v>
      </c>
      <c r="AK540" t="s">
        <v>127</v>
      </c>
      <c r="AM540" t="s">
        <v>4689</v>
      </c>
      <c r="AN540" t="s">
        <v>4690</v>
      </c>
      <c r="AO540" t="s">
        <v>4691</v>
      </c>
      <c r="AP540" t="s">
        <v>131</v>
      </c>
      <c r="AQ540" t="s">
        <v>403</v>
      </c>
      <c r="AR540" t="s">
        <v>743</v>
      </c>
      <c r="AS540" t="s">
        <v>4692</v>
      </c>
      <c r="AU540" t="s">
        <v>219</v>
      </c>
      <c r="AX540" t="s">
        <v>177</v>
      </c>
      <c r="AY540" t="s">
        <v>364</v>
      </c>
      <c r="AZ540" t="s">
        <v>4693</v>
      </c>
      <c r="BB540" t="s">
        <v>140</v>
      </c>
    </row>
    <row r="541" spans="1:54" x14ac:dyDescent="0.35">
      <c r="A541" t="s">
        <v>4694</v>
      </c>
      <c r="B541" t="s">
        <v>107</v>
      </c>
      <c r="C541" t="s">
        <v>107</v>
      </c>
      <c r="E541" t="s">
        <v>108</v>
      </c>
      <c r="F541" t="s">
        <v>338</v>
      </c>
      <c r="G541" t="s">
        <v>339</v>
      </c>
      <c r="H541" t="s">
        <v>340</v>
      </c>
      <c r="I541" t="s">
        <v>341</v>
      </c>
      <c r="J541" t="s">
        <v>113</v>
      </c>
      <c r="K541" t="s">
        <v>114</v>
      </c>
      <c r="L541" t="s">
        <v>114</v>
      </c>
      <c r="M541" t="s">
        <v>114</v>
      </c>
      <c r="N541" t="s">
        <v>114</v>
      </c>
      <c r="O541" t="s">
        <v>114</v>
      </c>
      <c r="P541" t="s">
        <v>114</v>
      </c>
      <c r="Q541" t="s">
        <v>114</v>
      </c>
      <c r="R541" t="s">
        <v>180</v>
      </c>
      <c r="S541" t="s">
        <v>114</v>
      </c>
      <c r="T541" t="s">
        <v>180</v>
      </c>
      <c r="V541" t="s">
        <v>114</v>
      </c>
      <c r="W541" t="s">
        <v>4037</v>
      </c>
      <c r="Y541" t="s">
        <v>4695</v>
      </c>
      <c r="Z541" t="s">
        <v>4696</v>
      </c>
      <c r="AA541" t="s">
        <v>4697</v>
      </c>
      <c r="AB541" t="s">
        <v>4698</v>
      </c>
      <c r="AC541" t="s">
        <v>4696</v>
      </c>
      <c r="AG541" t="s">
        <v>123</v>
      </c>
      <c r="AH541" t="s">
        <v>124</v>
      </c>
      <c r="AI541" t="s">
        <v>4699</v>
      </c>
      <c r="AJ541" t="s">
        <v>126</v>
      </c>
      <c r="AK541" t="s">
        <v>127</v>
      </c>
      <c r="AM541" t="s">
        <v>4700</v>
      </c>
      <c r="AN541" t="s">
        <v>4701</v>
      </c>
      <c r="AO541" t="s">
        <v>4702</v>
      </c>
      <c r="AP541" t="s">
        <v>131</v>
      </c>
      <c r="AQ541" t="s">
        <v>132</v>
      </c>
      <c r="AR541" t="s">
        <v>1120</v>
      </c>
      <c r="AS541" t="s">
        <v>4703</v>
      </c>
      <c r="AU541" t="s">
        <v>991</v>
      </c>
      <c r="AW541" t="s">
        <v>136</v>
      </c>
      <c r="AX541" t="s">
        <v>177</v>
      </c>
      <c r="AY541" t="s">
        <v>356</v>
      </c>
      <c r="AZ541" t="s">
        <v>4704</v>
      </c>
      <c r="BB541" t="s">
        <v>140</v>
      </c>
    </row>
    <row r="542" spans="1:54" x14ac:dyDescent="0.35">
      <c r="A542" t="s">
        <v>4694</v>
      </c>
      <c r="B542" t="s">
        <v>107</v>
      </c>
      <c r="C542" t="s">
        <v>107</v>
      </c>
      <c r="E542" t="s">
        <v>108</v>
      </c>
      <c r="F542" t="s">
        <v>358</v>
      </c>
      <c r="G542" t="s">
        <v>359</v>
      </c>
      <c r="H542" t="s">
        <v>360</v>
      </c>
      <c r="I542" t="s">
        <v>341</v>
      </c>
      <c r="J542" t="s">
        <v>113</v>
      </c>
      <c r="K542" t="s">
        <v>114</v>
      </c>
      <c r="L542" t="s">
        <v>361</v>
      </c>
      <c r="M542" t="s">
        <v>361</v>
      </c>
      <c r="N542" t="s">
        <v>114</v>
      </c>
      <c r="O542" t="s">
        <v>363</v>
      </c>
      <c r="P542" t="s">
        <v>4037</v>
      </c>
      <c r="Q542" t="s">
        <v>114</v>
      </c>
      <c r="R542" t="s">
        <v>180</v>
      </c>
      <c r="S542" t="s">
        <v>114</v>
      </c>
      <c r="T542" t="s">
        <v>180</v>
      </c>
      <c r="V542" t="s">
        <v>114</v>
      </c>
      <c r="W542" t="s">
        <v>4037</v>
      </c>
      <c r="Y542" t="s">
        <v>4695</v>
      </c>
      <c r="Z542" t="s">
        <v>4696</v>
      </c>
      <c r="AA542" t="s">
        <v>4697</v>
      </c>
      <c r="AB542" t="s">
        <v>4698</v>
      </c>
      <c r="AC542" t="s">
        <v>4696</v>
      </c>
      <c r="AG542" t="s">
        <v>123</v>
      </c>
      <c r="AH542" t="s">
        <v>124</v>
      </c>
      <c r="AI542" t="s">
        <v>4699</v>
      </c>
      <c r="AJ542" t="s">
        <v>126</v>
      </c>
      <c r="AK542" t="s">
        <v>127</v>
      </c>
      <c r="AM542" t="s">
        <v>4700</v>
      </c>
      <c r="AN542" t="s">
        <v>4701</v>
      </c>
      <c r="AO542" t="s">
        <v>4702</v>
      </c>
      <c r="AP542" t="s">
        <v>131</v>
      </c>
      <c r="AQ542" t="s">
        <v>132</v>
      </c>
      <c r="AR542" t="s">
        <v>1120</v>
      </c>
      <c r="AS542" t="s">
        <v>4703</v>
      </c>
      <c r="AU542" t="s">
        <v>991</v>
      </c>
      <c r="AW542" t="s">
        <v>136</v>
      </c>
      <c r="AX542" t="s">
        <v>177</v>
      </c>
      <c r="AY542" t="s">
        <v>364</v>
      </c>
      <c r="AZ542" t="s">
        <v>4704</v>
      </c>
      <c r="BB542" t="s">
        <v>140</v>
      </c>
    </row>
    <row r="543" spans="1:54" x14ac:dyDescent="0.35">
      <c r="A543" t="s">
        <v>4705</v>
      </c>
      <c r="B543" t="s">
        <v>107</v>
      </c>
      <c r="C543" t="s">
        <v>107</v>
      </c>
      <c r="F543" t="s">
        <v>358</v>
      </c>
      <c r="G543" t="s">
        <v>359</v>
      </c>
      <c r="H543" t="s">
        <v>360</v>
      </c>
      <c r="I543" t="s">
        <v>341</v>
      </c>
      <c r="J543" t="s">
        <v>113</v>
      </c>
      <c r="K543" t="s">
        <v>114</v>
      </c>
      <c r="L543" t="s">
        <v>114</v>
      </c>
      <c r="M543" t="s">
        <v>114</v>
      </c>
      <c r="N543" t="s">
        <v>114</v>
      </c>
      <c r="O543" t="s">
        <v>114</v>
      </c>
      <c r="P543" t="s">
        <v>114</v>
      </c>
      <c r="Q543" t="s">
        <v>114</v>
      </c>
      <c r="R543" t="s">
        <v>114</v>
      </c>
      <c r="S543" t="s">
        <v>114</v>
      </c>
      <c r="T543" t="s">
        <v>114</v>
      </c>
      <c r="V543" t="s">
        <v>114</v>
      </c>
      <c r="W543" t="s">
        <v>114</v>
      </c>
      <c r="Y543" t="s">
        <v>4706</v>
      </c>
      <c r="Z543" t="s">
        <v>4706</v>
      </c>
      <c r="AA543" t="s">
        <v>4697</v>
      </c>
      <c r="AB543" t="s">
        <v>4707</v>
      </c>
      <c r="AC543" t="s">
        <v>4708</v>
      </c>
      <c r="AG543" t="s">
        <v>123</v>
      </c>
      <c r="AH543" t="s">
        <v>124</v>
      </c>
      <c r="AI543" t="s">
        <v>4709</v>
      </c>
      <c r="AJ543" t="s">
        <v>126</v>
      </c>
      <c r="AK543" t="s">
        <v>127</v>
      </c>
      <c r="AM543" t="s">
        <v>4710</v>
      </c>
      <c r="AN543" t="s">
        <v>4711</v>
      </c>
      <c r="AO543" t="s">
        <v>4712</v>
      </c>
      <c r="AP543" t="s">
        <v>131</v>
      </c>
      <c r="AQ543" t="s">
        <v>132</v>
      </c>
      <c r="AR543" t="s">
        <v>152</v>
      </c>
      <c r="AS543" t="s">
        <v>689</v>
      </c>
      <c r="AU543" t="s">
        <v>434</v>
      </c>
      <c r="AV543" t="s">
        <v>638</v>
      </c>
      <c r="AX543" t="s">
        <v>177</v>
      </c>
      <c r="AY543" t="s">
        <v>364</v>
      </c>
      <c r="AZ543" t="s">
        <v>4713</v>
      </c>
      <c r="BB543" t="s">
        <v>140</v>
      </c>
    </row>
    <row r="544" spans="1:54" x14ac:dyDescent="0.35">
      <c r="A544" t="s">
        <v>4714</v>
      </c>
      <c r="B544" t="s">
        <v>107</v>
      </c>
      <c r="C544" t="s">
        <v>107</v>
      </c>
      <c r="F544" t="s">
        <v>158</v>
      </c>
      <c r="G544" t="s">
        <v>159</v>
      </c>
      <c r="H544" t="s">
        <v>111</v>
      </c>
      <c r="I544" t="s">
        <v>341</v>
      </c>
      <c r="J544" t="s">
        <v>113</v>
      </c>
      <c r="K544" t="s">
        <v>114</v>
      </c>
      <c r="L544" t="s">
        <v>114</v>
      </c>
      <c r="M544" t="s">
        <v>114</v>
      </c>
      <c r="N544" t="s">
        <v>114</v>
      </c>
      <c r="O544" t="s">
        <v>114</v>
      </c>
      <c r="P544" t="s">
        <v>114</v>
      </c>
      <c r="Q544" t="s">
        <v>114</v>
      </c>
      <c r="R544" t="s">
        <v>114</v>
      </c>
      <c r="S544" t="s">
        <v>114</v>
      </c>
      <c r="T544" t="s">
        <v>114</v>
      </c>
      <c r="V544" t="s">
        <v>114</v>
      </c>
      <c r="W544" t="s">
        <v>114</v>
      </c>
      <c r="Y544" t="s">
        <v>4715</v>
      </c>
      <c r="Z544" t="s">
        <v>4715</v>
      </c>
      <c r="AA544" t="s">
        <v>4697</v>
      </c>
      <c r="AB544" t="s">
        <v>4716</v>
      </c>
      <c r="AC544" t="s">
        <v>4717</v>
      </c>
      <c r="AG544" t="s">
        <v>123</v>
      </c>
      <c r="AH544" t="s">
        <v>124</v>
      </c>
      <c r="AI544" t="s">
        <v>4718</v>
      </c>
      <c r="AJ544" t="s">
        <v>126</v>
      </c>
      <c r="AK544" t="s">
        <v>127</v>
      </c>
      <c r="AM544" t="s">
        <v>4719</v>
      </c>
      <c r="AN544" t="s">
        <v>4720</v>
      </c>
      <c r="AO544" t="s">
        <v>4721</v>
      </c>
      <c r="AP544" t="s">
        <v>131</v>
      </c>
      <c r="AQ544" t="s">
        <v>403</v>
      </c>
      <c r="AR544" t="s">
        <v>1789</v>
      </c>
      <c r="AS544" t="s">
        <v>4722</v>
      </c>
      <c r="AU544" t="s">
        <v>264</v>
      </c>
      <c r="AX544" t="s">
        <v>177</v>
      </c>
      <c r="AY544" t="s">
        <v>138</v>
      </c>
      <c r="AZ544" t="s">
        <v>4723</v>
      </c>
      <c r="BB544" t="s">
        <v>140</v>
      </c>
    </row>
    <row r="545" spans="1:54" x14ac:dyDescent="0.35">
      <c r="A545" t="s">
        <v>4724</v>
      </c>
      <c r="B545" t="s">
        <v>107</v>
      </c>
      <c r="C545" t="s">
        <v>107</v>
      </c>
      <c r="F545" t="s">
        <v>358</v>
      </c>
      <c r="G545" t="s">
        <v>359</v>
      </c>
      <c r="H545" t="s">
        <v>360</v>
      </c>
      <c r="I545" t="s">
        <v>341</v>
      </c>
      <c r="J545" t="s">
        <v>113</v>
      </c>
      <c r="K545" t="s">
        <v>114</v>
      </c>
      <c r="L545" t="s">
        <v>114</v>
      </c>
      <c r="M545" t="s">
        <v>114</v>
      </c>
      <c r="N545" t="s">
        <v>114</v>
      </c>
      <c r="O545" t="s">
        <v>114</v>
      </c>
      <c r="P545" t="s">
        <v>114</v>
      </c>
      <c r="Q545" t="s">
        <v>114</v>
      </c>
      <c r="R545" t="s">
        <v>114</v>
      </c>
      <c r="S545" t="s">
        <v>114</v>
      </c>
      <c r="T545" t="s">
        <v>114</v>
      </c>
      <c r="V545" t="s">
        <v>114</v>
      </c>
      <c r="W545" t="s">
        <v>114</v>
      </c>
      <c r="Y545" t="s">
        <v>4725</v>
      </c>
      <c r="Z545" t="s">
        <v>4725</v>
      </c>
      <c r="AA545" t="s">
        <v>4697</v>
      </c>
      <c r="AB545" t="s">
        <v>4726</v>
      </c>
      <c r="AC545" t="s">
        <v>4727</v>
      </c>
      <c r="AG545" t="s">
        <v>123</v>
      </c>
      <c r="AH545" t="s">
        <v>124</v>
      </c>
      <c r="AI545" t="s">
        <v>4728</v>
      </c>
      <c r="AJ545" t="s">
        <v>126</v>
      </c>
      <c r="AK545" t="s">
        <v>127</v>
      </c>
      <c r="AM545" t="s">
        <v>4729</v>
      </c>
      <c r="AN545" t="s">
        <v>4730</v>
      </c>
      <c r="AO545" t="s">
        <v>4731</v>
      </c>
      <c r="AP545" t="s">
        <v>131</v>
      </c>
      <c r="AQ545" t="s">
        <v>132</v>
      </c>
      <c r="AR545" t="s">
        <v>262</v>
      </c>
      <c r="AS545" t="s">
        <v>1007</v>
      </c>
      <c r="AU545" t="s">
        <v>264</v>
      </c>
      <c r="AX545" t="s">
        <v>177</v>
      </c>
      <c r="AY545" t="s">
        <v>364</v>
      </c>
      <c r="AZ545" t="s">
        <v>4732</v>
      </c>
      <c r="BB545" t="s">
        <v>140</v>
      </c>
    </row>
    <row r="546" spans="1:54" x14ac:dyDescent="0.35">
      <c r="A546" t="s">
        <v>4733</v>
      </c>
      <c r="B546" t="s">
        <v>107</v>
      </c>
      <c r="C546" t="s">
        <v>107</v>
      </c>
      <c r="F546" t="s">
        <v>358</v>
      </c>
      <c r="G546" t="s">
        <v>359</v>
      </c>
      <c r="H546" t="s">
        <v>360</v>
      </c>
      <c r="I546" t="s">
        <v>341</v>
      </c>
      <c r="J546" t="s">
        <v>113</v>
      </c>
      <c r="K546" t="s">
        <v>114</v>
      </c>
      <c r="L546" t="s">
        <v>114</v>
      </c>
      <c r="M546" t="s">
        <v>114</v>
      </c>
      <c r="N546" t="s">
        <v>114</v>
      </c>
      <c r="O546" t="s">
        <v>114</v>
      </c>
      <c r="P546" t="s">
        <v>114</v>
      </c>
      <c r="Q546" t="s">
        <v>114</v>
      </c>
      <c r="R546" t="s">
        <v>114</v>
      </c>
      <c r="S546" t="s">
        <v>114</v>
      </c>
      <c r="T546" t="s">
        <v>114</v>
      </c>
      <c r="V546" t="s">
        <v>114</v>
      </c>
      <c r="W546" t="s">
        <v>114</v>
      </c>
      <c r="Y546" t="s">
        <v>4734</v>
      </c>
      <c r="Z546" t="s">
        <v>4734</v>
      </c>
      <c r="AA546" t="s">
        <v>4697</v>
      </c>
      <c r="AB546" t="s">
        <v>4735</v>
      </c>
      <c r="AC546" t="s">
        <v>4736</v>
      </c>
      <c r="AG546" t="s">
        <v>123</v>
      </c>
      <c r="AH546" t="s">
        <v>124</v>
      </c>
      <c r="AI546" t="s">
        <v>4737</v>
      </c>
      <c r="AJ546" t="s">
        <v>126</v>
      </c>
      <c r="AK546" t="s">
        <v>127</v>
      </c>
      <c r="AM546" t="s">
        <v>4738</v>
      </c>
      <c r="AN546" t="s">
        <v>4739</v>
      </c>
      <c r="AO546" t="s">
        <v>4740</v>
      </c>
      <c r="AP546" t="s">
        <v>131</v>
      </c>
      <c r="AQ546" t="s">
        <v>132</v>
      </c>
      <c r="AR546" t="s">
        <v>133</v>
      </c>
      <c r="AS546" t="s">
        <v>4741</v>
      </c>
      <c r="AU546" t="s">
        <v>2195</v>
      </c>
      <c r="AX546" t="s">
        <v>177</v>
      </c>
      <c r="AY546" t="s">
        <v>364</v>
      </c>
      <c r="AZ546" t="s">
        <v>4742</v>
      </c>
      <c r="BB546" t="s">
        <v>140</v>
      </c>
    </row>
    <row r="547" spans="1:54" x14ac:dyDescent="0.35">
      <c r="A547" t="s">
        <v>4743</v>
      </c>
      <c r="B547" t="s">
        <v>107</v>
      </c>
      <c r="C547" t="s">
        <v>107</v>
      </c>
      <c r="E547" t="s">
        <v>108</v>
      </c>
      <c r="F547" t="s">
        <v>338</v>
      </c>
      <c r="G547" t="s">
        <v>339</v>
      </c>
      <c r="H547" t="s">
        <v>340</v>
      </c>
      <c r="I547" t="s">
        <v>341</v>
      </c>
      <c r="J547" t="s">
        <v>113</v>
      </c>
      <c r="K547" t="s">
        <v>114</v>
      </c>
      <c r="L547" t="s">
        <v>114</v>
      </c>
      <c r="M547" t="s">
        <v>114</v>
      </c>
      <c r="N547" t="s">
        <v>114</v>
      </c>
      <c r="O547" t="s">
        <v>114</v>
      </c>
      <c r="P547" t="s">
        <v>114</v>
      </c>
      <c r="Q547" t="s">
        <v>114</v>
      </c>
      <c r="R547" t="s">
        <v>180</v>
      </c>
      <c r="S547" t="s">
        <v>114</v>
      </c>
      <c r="T547" t="s">
        <v>180</v>
      </c>
      <c r="V547" t="s">
        <v>114</v>
      </c>
      <c r="W547" t="s">
        <v>4744</v>
      </c>
      <c r="Y547" t="s">
        <v>4745</v>
      </c>
      <c r="Z547" t="s">
        <v>4746</v>
      </c>
      <c r="AA547" t="s">
        <v>4697</v>
      </c>
      <c r="AB547" t="s">
        <v>4747</v>
      </c>
      <c r="AC547" t="s">
        <v>4748</v>
      </c>
      <c r="AG547" t="s">
        <v>123</v>
      </c>
      <c r="AH547" t="s">
        <v>124</v>
      </c>
      <c r="AI547" t="s">
        <v>4749</v>
      </c>
      <c r="AJ547" t="s">
        <v>126</v>
      </c>
      <c r="AK547" t="s">
        <v>127</v>
      </c>
      <c r="AM547" t="s">
        <v>4750</v>
      </c>
      <c r="AN547" t="s">
        <v>4751</v>
      </c>
      <c r="AO547" t="s">
        <v>4752</v>
      </c>
      <c r="AP547" t="s">
        <v>131</v>
      </c>
      <c r="AQ547" t="s">
        <v>132</v>
      </c>
      <c r="AR547" t="s">
        <v>284</v>
      </c>
      <c r="AS547" t="s">
        <v>3340</v>
      </c>
      <c r="AU547" t="s">
        <v>4753</v>
      </c>
      <c r="AW547" t="s">
        <v>655</v>
      </c>
      <c r="AX547" t="s">
        <v>177</v>
      </c>
      <c r="AY547" t="s">
        <v>356</v>
      </c>
      <c r="AZ547" t="s">
        <v>4754</v>
      </c>
      <c r="BB547" t="s">
        <v>140</v>
      </c>
    </row>
    <row r="548" spans="1:54" x14ac:dyDescent="0.35">
      <c r="A548" t="s">
        <v>4743</v>
      </c>
      <c r="B548" t="s">
        <v>107</v>
      </c>
      <c r="C548" t="s">
        <v>107</v>
      </c>
      <c r="E548" t="s">
        <v>108</v>
      </c>
      <c r="F548" t="s">
        <v>358</v>
      </c>
      <c r="G548" t="s">
        <v>359</v>
      </c>
      <c r="H548" t="s">
        <v>360</v>
      </c>
      <c r="I548" t="s">
        <v>341</v>
      </c>
      <c r="J548" t="s">
        <v>113</v>
      </c>
      <c r="K548" t="s">
        <v>114</v>
      </c>
      <c r="L548" t="s">
        <v>361</v>
      </c>
      <c r="M548" t="s">
        <v>361</v>
      </c>
      <c r="N548" t="s">
        <v>4755</v>
      </c>
      <c r="O548" t="s">
        <v>363</v>
      </c>
      <c r="P548" t="s">
        <v>4744</v>
      </c>
      <c r="Q548" t="s">
        <v>114</v>
      </c>
      <c r="R548" t="s">
        <v>180</v>
      </c>
      <c r="S548" t="s">
        <v>114</v>
      </c>
      <c r="T548" t="s">
        <v>180</v>
      </c>
      <c r="V548" t="s">
        <v>114</v>
      </c>
      <c r="W548" t="s">
        <v>4744</v>
      </c>
      <c r="Y548" t="s">
        <v>4745</v>
      </c>
      <c r="Z548" t="s">
        <v>4746</v>
      </c>
      <c r="AA548" t="s">
        <v>4697</v>
      </c>
      <c r="AB548" t="s">
        <v>4747</v>
      </c>
      <c r="AC548" t="s">
        <v>4748</v>
      </c>
      <c r="AG548" t="s">
        <v>123</v>
      </c>
      <c r="AH548" t="s">
        <v>124</v>
      </c>
      <c r="AI548" t="s">
        <v>4749</v>
      </c>
      <c r="AJ548" t="s">
        <v>126</v>
      </c>
      <c r="AK548" t="s">
        <v>127</v>
      </c>
      <c r="AM548" t="s">
        <v>4750</v>
      </c>
      <c r="AN548" t="s">
        <v>4751</v>
      </c>
      <c r="AO548" t="s">
        <v>4752</v>
      </c>
      <c r="AP548" t="s">
        <v>131</v>
      </c>
      <c r="AQ548" t="s">
        <v>132</v>
      </c>
      <c r="AR548" t="s">
        <v>284</v>
      </c>
      <c r="AS548" t="s">
        <v>3340</v>
      </c>
      <c r="AU548" t="s">
        <v>4753</v>
      </c>
      <c r="AW548" t="s">
        <v>655</v>
      </c>
      <c r="AX548" t="s">
        <v>177</v>
      </c>
      <c r="AY548" t="s">
        <v>364</v>
      </c>
      <c r="AZ548" t="s">
        <v>4754</v>
      </c>
      <c r="BB548" t="s">
        <v>140</v>
      </c>
    </row>
    <row r="549" spans="1:54" x14ac:dyDescent="0.35">
      <c r="A549" t="s">
        <v>4756</v>
      </c>
      <c r="B549" t="s">
        <v>107</v>
      </c>
      <c r="C549" t="s">
        <v>107</v>
      </c>
      <c r="F549" t="s">
        <v>358</v>
      </c>
      <c r="G549" t="s">
        <v>359</v>
      </c>
      <c r="H549" t="s">
        <v>360</v>
      </c>
      <c r="I549" t="s">
        <v>341</v>
      </c>
      <c r="J549" t="s">
        <v>113</v>
      </c>
      <c r="K549" t="s">
        <v>114</v>
      </c>
      <c r="L549" t="s">
        <v>114</v>
      </c>
      <c r="M549" t="s">
        <v>114</v>
      </c>
      <c r="N549" t="s">
        <v>114</v>
      </c>
      <c r="O549" t="s">
        <v>114</v>
      </c>
      <c r="P549" t="s">
        <v>114</v>
      </c>
      <c r="Q549" t="s">
        <v>114</v>
      </c>
      <c r="R549" t="s">
        <v>114</v>
      </c>
      <c r="S549" t="s">
        <v>114</v>
      </c>
      <c r="T549" t="s">
        <v>114</v>
      </c>
      <c r="V549" t="s">
        <v>114</v>
      </c>
      <c r="W549" t="s">
        <v>114</v>
      </c>
      <c r="Y549" t="s">
        <v>4757</v>
      </c>
      <c r="Z549" t="s">
        <v>4758</v>
      </c>
      <c r="AA549" t="s">
        <v>4697</v>
      </c>
      <c r="AB549" t="s">
        <v>4759</v>
      </c>
      <c r="AC549" t="s">
        <v>4760</v>
      </c>
      <c r="AG549" t="s">
        <v>123</v>
      </c>
      <c r="AH549" t="s">
        <v>124</v>
      </c>
      <c r="AI549" t="s">
        <v>4761</v>
      </c>
      <c r="AJ549" t="s">
        <v>126</v>
      </c>
      <c r="AK549" t="s">
        <v>127</v>
      </c>
      <c r="AM549" t="s">
        <v>4762</v>
      </c>
      <c r="AN549" t="s">
        <v>4763</v>
      </c>
      <c r="AO549" t="s">
        <v>4764</v>
      </c>
      <c r="AP549" t="s">
        <v>131</v>
      </c>
      <c r="AQ549" t="s">
        <v>132</v>
      </c>
      <c r="AR549" t="s">
        <v>152</v>
      </c>
      <c r="AS549" t="s">
        <v>4765</v>
      </c>
      <c r="AU549" t="s">
        <v>316</v>
      </c>
      <c r="AV549" t="s">
        <v>965</v>
      </c>
      <c r="AX549" t="s">
        <v>177</v>
      </c>
      <c r="AY549" t="s">
        <v>364</v>
      </c>
      <c r="AZ549" t="s">
        <v>4766</v>
      </c>
      <c r="BB549" t="s">
        <v>140</v>
      </c>
    </row>
    <row r="550" spans="1:54" x14ac:dyDescent="0.35">
      <c r="A550" t="s">
        <v>4767</v>
      </c>
      <c r="B550" t="s">
        <v>107</v>
      </c>
      <c r="C550" t="s">
        <v>107</v>
      </c>
      <c r="F550" t="s">
        <v>613</v>
      </c>
      <c r="G550" t="s">
        <v>614</v>
      </c>
      <c r="H550" t="s">
        <v>615</v>
      </c>
      <c r="I550" t="s">
        <v>271</v>
      </c>
      <c r="J550" t="s">
        <v>113</v>
      </c>
      <c r="K550" t="s">
        <v>114</v>
      </c>
      <c r="L550" t="s">
        <v>114</v>
      </c>
      <c r="M550" t="s">
        <v>114</v>
      </c>
      <c r="N550" t="s">
        <v>114</v>
      </c>
      <c r="O550" t="s">
        <v>114</v>
      </c>
      <c r="P550" t="s">
        <v>114</v>
      </c>
      <c r="Q550" t="s">
        <v>114</v>
      </c>
      <c r="R550" t="s">
        <v>114</v>
      </c>
      <c r="S550" t="s">
        <v>114</v>
      </c>
      <c r="T550" t="s">
        <v>114</v>
      </c>
      <c r="V550" t="s">
        <v>114</v>
      </c>
      <c r="W550" t="s">
        <v>114</v>
      </c>
      <c r="Y550" t="s">
        <v>4768</v>
      </c>
      <c r="Z550" t="s">
        <v>4768</v>
      </c>
      <c r="AA550" t="s">
        <v>4697</v>
      </c>
      <c r="AB550" t="s">
        <v>4769</v>
      </c>
      <c r="AC550" t="s">
        <v>4770</v>
      </c>
      <c r="AG550" t="s">
        <v>123</v>
      </c>
      <c r="AH550" t="s">
        <v>124</v>
      </c>
      <c r="AI550" t="s">
        <v>4771</v>
      </c>
      <c r="AJ550" t="s">
        <v>126</v>
      </c>
      <c r="AK550" t="s">
        <v>127</v>
      </c>
      <c r="AM550" t="s">
        <v>4772</v>
      </c>
      <c r="AN550" t="s">
        <v>4773</v>
      </c>
      <c r="AO550" t="s">
        <v>3103</v>
      </c>
      <c r="AP550" t="s">
        <v>131</v>
      </c>
      <c r="AQ550" t="s">
        <v>132</v>
      </c>
      <c r="AR550" t="s">
        <v>152</v>
      </c>
      <c r="AS550" t="s">
        <v>1702</v>
      </c>
      <c r="AU550" t="s">
        <v>573</v>
      </c>
      <c r="AX550" t="s">
        <v>177</v>
      </c>
      <c r="AY550" t="s">
        <v>627</v>
      </c>
      <c r="AZ550" t="s">
        <v>4774</v>
      </c>
      <c r="BB550" t="s">
        <v>140</v>
      </c>
    </row>
    <row r="551" spans="1:54" x14ac:dyDescent="0.35">
      <c r="A551" t="s">
        <v>4775</v>
      </c>
      <c r="B551" t="s">
        <v>107</v>
      </c>
      <c r="C551" t="s">
        <v>107</v>
      </c>
      <c r="F551" t="s">
        <v>358</v>
      </c>
      <c r="G551" t="s">
        <v>359</v>
      </c>
      <c r="H551" t="s">
        <v>360</v>
      </c>
      <c r="I551" t="s">
        <v>341</v>
      </c>
      <c r="J551" t="s">
        <v>113</v>
      </c>
      <c r="K551" t="s">
        <v>114</v>
      </c>
      <c r="L551" t="s">
        <v>114</v>
      </c>
      <c r="M551" t="s">
        <v>114</v>
      </c>
      <c r="N551" t="s">
        <v>114</v>
      </c>
      <c r="O551" t="s">
        <v>114</v>
      </c>
      <c r="P551" t="s">
        <v>114</v>
      </c>
      <c r="Q551" t="s">
        <v>114</v>
      </c>
      <c r="R551" t="s">
        <v>114</v>
      </c>
      <c r="S551" t="s">
        <v>114</v>
      </c>
      <c r="T551" t="s">
        <v>114</v>
      </c>
      <c r="V551" t="s">
        <v>114</v>
      </c>
      <c r="W551" t="s">
        <v>114</v>
      </c>
      <c r="Y551" t="s">
        <v>4776</v>
      </c>
      <c r="Z551" t="s">
        <v>4776</v>
      </c>
      <c r="AA551" t="s">
        <v>4697</v>
      </c>
      <c r="AB551" t="s">
        <v>4777</v>
      </c>
      <c r="AC551" t="s">
        <v>4778</v>
      </c>
      <c r="AG551" t="s">
        <v>123</v>
      </c>
      <c r="AH551" t="s">
        <v>124</v>
      </c>
      <c r="AI551" t="s">
        <v>4779</v>
      </c>
      <c r="AJ551" t="s">
        <v>126</v>
      </c>
      <c r="AK551" t="s">
        <v>127</v>
      </c>
      <c r="AM551" t="s">
        <v>4780</v>
      </c>
      <c r="AN551" t="s">
        <v>4781</v>
      </c>
      <c r="AO551" t="s">
        <v>2087</v>
      </c>
      <c r="AP551" t="s">
        <v>131</v>
      </c>
      <c r="AQ551" t="s">
        <v>132</v>
      </c>
      <c r="AR551" t="s">
        <v>1380</v>
      </c>
      <c r="AS551" t="s">
        <v>2783</v>
      </c>
      <c r="AU551" t="s">
        <v>299</v>
      </c>
      <c r="AV551" t="s">
        <v>191</v>
      </c>
      <c r="AX551" t="s">
        <v>177</v>
      </c>
      <c r="AY551" t="s">
        <v>364</v>
      </c>
      <c r="AZ551" t="s">
        <v>4782</v>
      </c>
      <c r="BB551" t="s">
        <v>140</v>
      </c>
    </row>
    <row r="552" spans="1:54" x14ac:dyDescent="0.35">
      <c r="A552" t="s">
        <v>4783</v>
      </c>
      <c r="B552" t="s">
        <v>107</v>
      </c>
      <c r="C552" t="s">
        <v>107</v>
      </c>
      <c r="E552" t="s">
        <v>108</v>
      </c>
      <c r="F552" t="s">
        <v>158</v>
      </c>
      <c r="G552" t="s">
        <v>159</v>
      </c>
      <c r="H552" t="s">
        <v>111</v>
      </c>
      <c r="I552" t="s">
        <v>341</v>
      </c>
      <c r="J552" t="s">
        <v>1548</v>
      </c>
      <c r="K552" t="s">
        <v>114</v>
      </c>
      <c r="L552" t="s">
        <v>161</v>
      </c>
      <c r="M552" t="s">
        <v>1549</v>
      </c>
      <c r="N552" t="s">
        <v>2928</v>
      </c>
      <c r="O552" t="s">
        <v>1550</v>
      </c>
      <c r="P552" t="s">
        <v>4784</v>
      </c>
      <c r="Q552" t="s">
        <v>114</v>
      </c>
      <c r="R552" t="s">
        <v>180</v>
      </c>
      <c r="S552" t="s">
        <v>114</v>
      </c>
      <c r="T552" t="s">
        <v>180</v>
      </c>
      <c r="V552" t="s">
        <v>114</v>
      </c>
      <c r="W552" t="s">
        <v>4784</v>
      </c>
      <c r="Y552" t="s">
        <v>4785</v>
      </c>
      <c r="Z552" t="s">
        <v>4786</v>
      </c>
      <c r="AA552" t="s">
        <v>4697</v>
      </c>
      <c r="AB552" t="s">
        <v>4787</v>
      </c>
      <c r="AC552" t="s">
        <v>4788</v>
      </c>
      <c r="AG552" t="s">
        <v>123</v>
      </c>
      <c r="AH552" t="s">
        <v>124</v>
      </c>
      <c r="AI552" t="s">
        <v>4789</v>
      </c>
      <c r="AJ552" t="s">
        <v>126</v>
      </c>
      <c r="AK552" t="s">
        <v>127</v>
      </c>
      <c r="AM552" t="s">
        <v>4790</v>
      </c>
      <c r="AN552" t="s">
        <v>4791</v>
      </c>
      <c r="AO552" t="s">
        <v>4792</v>
      </c>
      <c r="AP552" t="s">
        <v>131</v>
      </c>
      <c r="AQ552" t="s">
        <v>233</v>
      </c>
      <c r="AR552" t="s">
        <v>4563</v>
      </c>
      <c r="AS552" t="s">
        <v>4793</v>
      </c>
      <c r="AU552" t="s">
        <v>495</v>
      </c>
      <c r="AW552" t="s">
        <v>176</v>
      </c>
      <c r="AX552" t="s">
        <v>1562</v>
      </c>
      <c r="AY552" t="s">
        <v>138</v>
      </c>
      <c r="AZ552" t="s">
        <v>4794</v>
      </c>
      <c r="BB552" t="s">
        <v>140</v>
      </c>
    </row>
    <row r="553" spans="1:54" x14ac:dyDescent="0.35">
      <c r="A553" t="s">
        <v>4783</v>
      </c>
      <c r="B553" t="s">
        <v>107</v>
      </c>
      <c r="C553" t="s">
        <v>107</v>
      </c>
      <c r="E553" t="s">
        <v>108</v>
      </c>
      <c r="F553" t="s">
        <v>268</v>
      </c>
      <c r="G553" t="s">
        <v>269</v>
      </c>
      <c r="H553" t="s">
        <v>2268</v>
      </c>
      <c r="I553" t="s">
        <v>271</v>
      </c>
      <c r="J553" t="s">
        <v>113</v>
      </c>
      <c r="K553" t="s">
        <v>114</v>
      </c>
      <c r="L553" t="s">
        <v>114</v>
      </c>
      <c r="M553" t="s">
        <v>114</v>
      </c>
      <c r="N553" t="s">
        <v>114</v>
      </c>
      <c r="O553" t="s">
        <v>114</v>
      </c>
      <c r="P553" t="s">
        <v>114</v>
      </c>
      <c r="Q553" t="s">
        <v>114</v>
      </c>
      <c r="R553" t="s">
        <v>180</v>
      </c>
      <c r="S553" t="s">
        <v>114</v>
      </c>
      <c r="T553" t="s">
        <v>180</v>
      </c>
      <c r="V553" t="s">
        <v>114</v>
      </c>
      <c r="W553" t="s">
        <v>4784</v>
      </c>
      <c r="Y553" t="s">
        <v>4785</v>
      </c>
      <c r="Z553" t="s">
        <v>4786</v>
      </c>
      <c r="AA553" t="s">
        <v>4697</v>
      </c>
      <c r="AB553" t="s">
        <v>4787</v>
      </c>
      <c r="AC553" t="s">
        <v>4788</v>
      </c>
      <c r="AG553" t="s">
        <v>123</v>
      </c>
      <c r="AH553" t="s">
        <v>124</v>
      </c>
      <c r="AI553" t="s">
        <v>4789</v>
      </c>
      <c r="AJ553" t="s">
        <v>126</v>
      </c>
      <c r="AK553" t="s">
        <v>127</v>
      </c>
      <c r="AM553" t="s">
        <v>4790</v>
      </c>
      <c r="AN553" t="s">
        <v>4791</v>
      </c>
      <c r="AO553" t="s">
        <v>4792</v>
      </c>
      <c r="AP553" t="s">
        <v>131</v>
      </c>
      <c r="AQ553" t="s">
        <v>233</v>
      </c>
      <c r="AR553" t="s">
        <v>4563</v>
      </c>
      <c r="AS553" t="s">
        <v>4793</v>
      </c>
      <c r="AU553" t="s">
        <v>495</v>
      </c>
      <c r="AW553" t="s">
        <v>176</v>
      </c>
      <c r="AX553" t="s">
        <v>272</v>
      </c>
      <c r="AY553" t="s">
        <v>273</v>
      </c>
      <c r="AZ553" t="s">
        <v>4794</v>
      </c>
      <c r="BB553" t="s">
        <v>140</v>
      </c>
    </row>
    <row r="554" spans="1:54" x14ac:dyDescent="0.35">
      <c r="A554" t="s">
        <v>4795</v>
      </c>
      <c r="B554" t="s">
        <v>107</v>
      </c>
      <c r="C554" t="s">
        <v>107</v>
      </c>
      <c r="E554" t="s">
        <v>108</v>
      </c>
      <c r="F554" t="s">
        <v>268</v>
      </c>
      <c r="G554" t="s">
        <v>269</v>
      </c>
      <c r="H554" t="s">
        <v>2268</v>
      </c>
      <c r="I554" t="s">
        <v>271</v>
      </c>
      <c r="J554" t="s">
        <v>113</v>
      </c>
      <c r="K554" t="s">
        <v>114</v>
      </c>
      <c r="L554" t="s">
        <v>114</v>
      </c>
      <c r="M554" t="s">
        <v>114</v>
      </c>
      <c r="N554" t="s">
        <v>114</v>
      </c>
      <c r="O554" t="s">
        <v>114</v>
      </c>
      <c r="P554" t="s">
        <v>114</v>
      </c>
      <c r="Q554" t="s">
        <v>114</v>
      </c>
      <c r="R554" t="s">
        <v>142</v>
      </c>
      <c r="S554" t="s">
        <v>114</v>
      </c>
      <c r="T554" t="s">
        <v>142</v>
      </c>
      <c r="V554" t="s">
        <v>114</v>
      </c>
      <c r="W554" t="s">
        <v>1876</v>
      </c>
      <c r="Y554" t="s">
        <v>4796</v>
      </c>
      <c r="Z554" t="s">
        <v>4797</v>
      </c>
      <c r="AA554" t="s">
        <v>4697</v>
      </c>
      <c r="AB554" t="s">
        <v>4798</v>
      </c>
      <c r="AC554" t="s">
        <v>4797</v>
      </c>
      <c r="AG554" t="s">
        <v>123</v>
      </c>
      <c r="AH554" t="s">
        <v>124</v>
      </c>
      <c r="AI554" t="s">
        <v>4799</v>
      </c>
      <c r="AJ554" t="s">
        <v>126</v>
      </c>
      <c r="AK554" t="s">
        <v>127</v>
      </c>
      <c r="AM554" t="s">
        <v>4800</v>
      </c>
      <c r="AN554" t="s">
        <v>4801</v>
      </c>
      <c r="AO554" t="s">
        <v>4802</v>
      </c>
      <c r="AP554" t="s">
        <v>131</v>
      </c>
      <c r="AQ554" t="s">
        <v>132</v>
      </c>
      <c r="AR554" t="s">
        <v>152</v>
      </c>
      <c r="AS554" t="s">
        <v>4145</v>
      </c>
      <c r="AU554" t="s">
        <v>759</v>
      </c>
      <c r="AV554" t="s">
        <v>300</v>
      </c>
      <c r="AW554" t="s">
        <v>136</v>
      </c>
      <c r="AX554" t="s">
        <v>272</v>
      </c>
      <c r="AY554" t="s">
        <v>273</v>
      </c>
      <c r="AZ554" t="s">
        <v>4803</v>
      </c>
      <c r="BB554" t="s">
        <v>140</v>
      </c>
    </row>
    <row r="555" spans="1:54" x14ac:dyDescent="0.35">
      <c r="A555" t="s">
        <v>4795</v>
      </c>
      <c r="B555" t="s">
        <v>107</v>
      </c>
      <c r="C555" t="s">
        <v>107</v>
      </c>
      <c r="E555" t="s">
        <v>108</v>
      </c>
      <c r="F555" t="s">
        <v>158</v>
      </c>
      <c r="G555" t="s">
        <v>159</v>
      </c>
      <c r="H555" t="s">
        <v>111</v>
      </c>
      <c r="I555" t="s">
        <v>341</v>
      </c>
      <c r="J555" t="s">
        <v>113</v>
      </c>
      <c r="K555" t="s">
        <v>114</v>
      </c>
      <c r="L555" t="s">
        <v>161</v>
      </c>
      <c r="M555" t="s">
        <v>161</v>
      </c>
      <c r="N555" t="s">
        <v>436</v>
      </c>
      <c r="O555" t="s">
        <v>1110</v>
      </c>
      <c r="P555" t="s">
        <v>1876</v>
      </c>
      <c r="Q555" t="s">
        <v>114</v>
      </c>
      <c r="R555" t="s">
        <v>142</v>
      </c>
      <c r="S555" t="s">
        <v>114</v>
      </c>
      <c r="T555" t="s">
        <v>142</v>
      </c>
      <c r="V555" t="s">
        <v>114</v>
      </c>
      <c r="W555" t="s">
        <v>1876</v>
      </c>
      <c r="Y555" t="s">
        <v>4796</v>
      </c>
      <c r="Z555" t="s">
        <v>4797</v>
      </c>
      <c r="AA555" t="s">
        <v>4697</v>
      </c>
      <c r="AB555" t="s">
        <v>4798</v>
      </c>
      <c r="AC555" t="s">
        <v>4797</v>
      </c>
      <c r="AG555" t="s">
        <v>123</v>
      </c>
      <c r="AH555" t="s">
        <v>124</v>
      </c>
      <c r="AI555" t="s">
        <v>4799</v>
      </c>
      <c r="AJ555" t="s">
        <v>126</v>
      </c>
      <c r="AK555" t="s">
        <v>127</v>
      </c>
      <c r="AM555" t="s">
        <v>4800</v>
      </c>
      <c r="AN555" t="s">
        <v>4801</v>
      </c>
      <c r="AO555" t="s">
        <v>4802</v>
      </c>
      <c r="AP555" t="s">
        <v>131</v>
      </c>
      <c r="AQ555" t="s">
        <v>132</v>
      </c>
      <c r="AR555" t="s">
        <v>152</v>
      </c>
      <c r="AS555" t="s">
        <v>4145</v>
      </c>
      <c r="AU555" t="s">
        <v>759</v>
      </c>
      <c r="AV555" t="s">
        <v>300</v>
      </c>
      <c r="AW555" t="s">
        <v>136</v>
      </c>
      <c r="AX555" t="s">
        <v>177</v>
      </c>
      <c r="AY555" t="s">
        <v>138</v>
      </c>
      <c r="AZ555" t="s">
        <v>4803</v>
      </c>
      <c r="BB555" t="s">
        <v>140</v>
      </c>
    </row>
    <row r="556" spans="1:54" x14ac:dyDescent="0.35">
      <c r="A556" t="s">
        <v>4804</v>
      </c>
      <c r="B556" t="s">
        <v>107</v>
      </c>
      <c r="C556" t="s">
        <v>107</v>
      </c>
      <c r="E556" t="s">
        <v>108</v>
      </c>
      <c r="F556" t="s">
        <v>158</v>
      </c>
      <c r="G556" t="s">
        <v>159</v>
      </c>
      <c r="H556" t="s">
        <v>111</v>
      </c>
      <c r="I556" t="s">
        <v>341</v>
      </c>
      <c r="J556" t="s">
        <v>113</v>
      </c>
      <c r="K556" t="s">
        <v>114</v>
      </c>
      <c r="L556" t="s">
        <v>161</v>
      </c>
      <c r="M556" t="s">
        <v>161</v>
      </c>
      <c r="N556" t="s">
        <v>1219</v>
      </c>
      <c r="O556" t="s">
        <v>1110</v>
      </c>
      <c r="P556" t="s">
        <v>1220</v>
      </c>
      <c r="Q556" t="s">
        <v>114</v>
      </c>
      <c r="R556" t="s">
        <v>180</v>
      </c>
      <c r="S556" t="s">
        <v>114</v>
      </c>
      <c r="T556" t="s">
        <v>180</v>
      </c>
      <c r="V556" t="s">
        <v>114</v>
      </c>
      <c r="W556" t="s">
        <v>1220</v>
      </c>
      <c r="Y556" t="s">
        <v>4805</v>
      </c>
      <c r="Z556" t="s">
        <v>4806</v>
      </c>
      <c r="AA556" t="s">
        <v>4807</v>
      </c>
      <c r="AB556" t="s">
        <v>4808</v>
      </c>
      <c r="AC556" t="s">
        <v>4809</v>
      </c>
      <c r="AG556" t="s">
        <v>123</v>
      </c>
      <c r="AH556" t="s">
        <v>124</v>
      </c>
      <c r="AI556" t="s">
        <v>4810</v>
      </c>
      <c r="AJ556" t="s">
        <v>126</v>
      </c>
      <c r="AK556" t="s">
        <v>127</v>
      </c>
      <c r="AM556" t="s">
        <v>4811</v>
      </c>
      <c r="AN556" t="s">
        <v>4812</v>
      </c>
      <c r="AO556" t="s">
        <v>2356</v>
      </c>
      <c r="AP556" t="s">
        <v>131</v>
      </c>
      <c r="AQ556" t="s">
        <v>132</v>
      </c>
      <c r="AR556" t="s">
        <v>1369</v>
      </c>
      <c r="AS556" t="s">
        <v>4813</v>
      </c>
      <c r="AU556" t="s">
        <v>175</v>
      </c>
      <c r="AV556" t="s">
        <v>191</v>
      </c>
      <c r="AW556" t="s">
        <v>655</v>
      </c>
      <c r="AX556" t="s">
        <v>177</v>
      </c>
      <c r="AY556" t="s">
        <v>138</v>
      </c>
      <c r="AZ556" t="s">
        <v>4814</v>
      </c>
      <c r="BB556" t="s">
        <v>140</v>
      </c>
    </row>
    <row r="557" spans="1:54" x14ac:dyDescent="0.35">
      <c r="A557" t="s">
        <v>4804</v>
      </c>
      <c r="B557" t="s">
        <v>107</v>
      </c>
      <c r="C557" t="s">
        <v>107</v>
      </c>
      <c r="E557" t="s">
        <v>108</v>
      </c>
      <c r="F557" t="s">
        <v>268</v>
      </c>
      <c r="G557" t="s">
        <v>269</v>
      </c>
      <c r="H557" t="s">
        <v>2268</v>
      </c>
      <c r="I557" t="s">
        <v>271</v>
      </c>
      <c r="J557" t="s">
        <v>113</v>
      </c>
      <c r="K557" t="s">
        <v>114</v>
      </c>
      <c r="L557" t="s">
        <v>114</v>
      </c>
      <c r="M557" t="s">
        <v>114</v>
      </c>
      <c r="N557" t="s">
        <v>114</v>
      </c>
      <c r="O557" t="s">
        <v>114</v>
      </c>
      <c r="P557" t="s">
        <v>114</v>
      </c>
      <c r="Q557" t="s">
        <v>114</v>
      </c>
      <c r="R557" t="s">
        <v>180</v>
      </c>
      <c r="S557" t="s">
        <v>114</v>
      </c>
      <c r="T557" t="s">
        <v>180</v>
      </c>
      <c r="V557" t="s">
        <v>114</v>
      </c>
      <c r="W557" t="s">
        <v>1220</v>
      </c>
      <c r="Y557" t="s">
        <v>4805</v>
      </c>
      <c r="Z557" t="s">
        <v>4806</v>
      </c>
      <c r="AA557" t="s">
        <v>4807</v>
      </c>
      <c r="AB557" t="s">
        <v>4808</v>
      </c>
      <c r="AC557" t="s">
        <v>4809</v>
      </c>
      <c r="AG557" t="s">
        <v>123</v>
      </c>
      <c r="AH557" t="s">
        <v>124</v>
      </c>
      <c r="AI557" t="s">
        <v>4810</v>
      </c>
      <c r="AJ557" t="s">
        <v>126</v>
      </c>
      <c r="AK557" t="s">
        <v>127</v>
      </c>
      <c r="AM557" t="s">
        <v>4811</v>
      </c>
      <c r="AN557" t="s">
        <v>4812</v>
      </c>
      <c r="AO557" t="s">
        <v>2356</v>
      </c>
      <c r="AP557" t="s">
        <v>131</v>
      </c>
      <c r="AQ557" t="s">
        <v>132</v>
      </c>
      <c r="AR557" t="s">
        <v>1369</v>
      </c>
      <c r="AS557" t="s">
        <v>4813</v>
      </c>
      <c r="AU557" t="s">
        <v>175</v>
      </c>
      <c r="AV557" t="s">
        <v>191</v>
      </c>
      <c r="AW557" t="s">
        <v>655</v>
      </c>
      <c r="AX557" t="s">
        <v>272</v>
      </c>
      <c r="AY557" t="s">
        <v>273</v>
      </c>
      <c r="AZ557" t="s">
        <v>4814</v>
      </c>
      <c r="BB557" t="s">
        <v>140</v>
      </c>
    </row>
    <row r="558" spans="1:54" x14ac:dyDescent="0.35">
      <c r="A558" t="s">
        <v>4815</v>
      </c>
      <c r="B558" t="s">
        <v>107</v>
      </c>
      <c r="C558" t="s">
        <v>107</v>
      </c>
      <c r="E558" t="s">
        <v>108</v>
      </c>
      <c r="F558" t="s">
        <v>158</v>
      </c>
      <c r="G558" t="s">
        <v>159</v>
      </c>
      <c r="H558" t="s">
        <v>111</v>
      </c>
      <c r="I558" t="s">
        <v>341</v>
      </c>
      <c r="J558" t="s">
        <v>113</v>
      </c>
      <c r="K558" t="s">
        <v>114</v>
      </c>
      <c r="L558" t="s">
        <v>161</v>
      </c>
      <c r="M558" t="s">
        <v>161</v>
      </c>
      <c r="N558" t="s">
        <v>4816</v>
      </c>
      <c r="O558" t="s">
        <v>1110</v>
      </c>
      <c r="P558" t="s">
        <v>4817</v>
      </c>
      <c r="Q558" t="s">
        <v>114</v>
      </c>
      <c r="R558" t="s">
        <v>142</v>
      </c>
      <c r="S558" t="s">
        <v>114</v>
      </c>
      <c r="T558" t="s">
        <v>142</v>
      </c>
      <c r="V558" t="s">
        <v>114</v>
      </c>
      <c r="W558" t="s">
        <v>4817</v>
      </c>
      <c r="Y558" t="s">
        <v>4818</v>
      </c>
      <c r="Z558" t="s">
        <v>4819</v>
      </c>
      <c r="AA558" t="s">
        <v>4697</v>
      </c>
      <c r="AB558" t="s">
        <v>4820</v>
      </c>
      <c r="AC558" t="s">
        <v>4821</v>
      </c>
      <c r="AG558" t="s">
        <v>123</v>
      </c>
      <c r="AH558" t="s">
        <v>124</v>
      </c>
      <c r="AI558" t="s">
        <v>4822</v>
      </c>
      <c r="AJ558" t="s">
        <v>126</v>
      </c>
      <c r="AK558" t="s">
        <v>127</v>
      </c>
      <c r="AM558" t="s">
        <v>4823</v>
      </c>
      <c r="AN558" t="s">
        <v>4824</v>
      </c>
      <c r="AO558" t="s">
        <v>4825</v>
      </c>
      <c r="AP558" t="s">
        <v>131</v>
      </c>
      <c r="AQ558" t="s">
        <v>132</v>
      </c>
      <c r="AR558" t="s">
        <v>152</v>
      </c>
      <c r="AS558" t="s">
        <v>1971</v>
      </c>
      <c r="AU558" t="s">
        <v>639</v>
      </c>
      <c r="AW558" t="s">
        <v>317</v>
      </c>
      <c r="AX558" t="s">
        <v>177</v>
      </c>
      <c r="AY558" t="s">
        <v>138</v>
      </c>
      <c r="AZ558" t="s">
        <v>4826</v>
      </c>
      <c r="BB558" t="s">
        <v>140</v>
      </c>
    </row>
    <row r="559" spans="1:54" x14ac:dyDescent="0.35">
      <c r="A559" t="s">
        <v>4815</v>
      </c>
      <c r="B559" t="s">
        <v>107</v>
      </c>
      <c r="C559" t="s">
        <v>107</v>
      </c>
      <c r="E559" t="s">
        <v>108</v>
      </c>
      <c r="F559" t="s">
        <v>268</v>
      </c>
      <c r="G559" t="s">
        <v>269</v>
      </c>
      <c r="H559" t="s">
        <v>2268</v>
      </c>
      <c r="I559" t="s">
        <v>271</v>
      </c>
      <c r="J559" t="s">
        <v>113</v>
      </c>
      <c r="K559" t="s">
        <v>114</v>
      </c>
      <c r="L559" t="s">
        <v>114</v>
      </c>
      <c r="M559" t="s">
        <v>114</v>
      </c>
      <c r="N559" t="s">
        <v>114</v>
      </c>
      <c r="O559" t="s">
        <v>114</v>
      </c>
      <c r="P559" t="s">
        <v>114</v>
      </c>
      <c r="Q559" t="s">
        <v>114</v>
      </c>
      <c r="R559" t="s">
        <v>142</v>
      </c>
      <c r="S559" t="s">
        <v>114</v>
      </c>
      <c r="T559" t="s">
        <v>142</v>
      </c>
      <c r="V559" t="s">
        <v>114</v>
      </c>
      <c r="W559" t="s">
        <v>4817</v>
      </c>
      <c r="Y559" t="s">
        <v>4818</v>
      </c>
      <c r="Z559" t="s">
        <v>4819</v>
      </c>
      <c r="AA559" t="s">
        <v>4697</v>
      </c>
      <c r="AB559" t="s">
        <v>4820</v>
      </c>
      <c r="AC559" t="s">
        <v>4821</v>
      </c>
      <c r="AG559" t="s">
        <v>123</v>
      </c>
      <c r="AH559" t="s">
        <v>124</v>
      </c>
      <c r="AI559" t="s">
        <v>4822</v>
      </c>
      <c r="AJ559" t="s">
        <v>126</v>
      </c>
      <c r="AK559" t="s">
        <v>127</v>
      </c>
      <c r="AM559" t="s">
        <v>4823</v>
      </c>
      <c r="AN559" t="s">
        <v>4824</v>
      </c>
      <c r="AO559" t="s">
        <v>4825</v>
      </c>
      <c r="AP559" t="s">
        <v>131</v>
      </c>
      <c r="AQ559" t="s">
        <v>132</v>
      </c>
      <c r="AR559" t="s">
        <v>152</v>
      </c>
      <c r="AS559" t="s">
        <v>1971</v>
      </c>
      <c r="AU559" t="s">
        <v>639</v>
      </c>
      <c r="AW559" t="s">
        <v>317</v>
      </c>
      <c r="AX559" t="s">
        <v>272</v>
      </c>
      <c r="AY559" t="s">
        <v>273</v>
      </c>
      <c r="AZ559" t="s">
        <v>4826</v>
      </c>
      <c r="BB559" t="s">
        <v>140</v>
      </c>
    </row>
    <row r="560" spans="1:54" x14ac:dyDescent="0.35">
      <c r="A560" t="s">
        <v>4827</v>
      </c>
      <c r="B560" t="s">
        <v>336</v>
      </c>
      <c r="C560" t="s">
        <v>336</v>
      </c>
      <c r="D560" t="s">
        <v>337</v>
      </c>
      <c r="E560" t="s">
        <v>108</v>
      </c>
      <c r="F560" t="s">
        <v>613</v>
      </c>
      <c r="G560" t="s">
        <v>614</v>
      </c>
      <c r="H560" t="s">
        <v>615</v>
      </c>
      <c r="I560" t="s">
        <v>271</v>
      </c>
      <c r="J560" t="s">
        <v>113</v>
      </c>
      <c r="K560" t="s">
        <v>113</v>
      </c>
      <c r="L560" t="s">
        <v>2550</v>
      </c>
      <c r="M560" t="s">
        <v>2550</v>
      </c>
      <c r="N560" t="s">
        <v>114</v>
      </c>
      <c r="O560" t="s">
        <v>2551</v>
      </c>
      <c r="P560" t="s">
        <v>2552</v>
      </c>
      <c r="Q560" t="s">
        <v>114</v>
      </c>
      <c r="R560" t="s">
        <v>180</v>
      </c>
      <c r="S560" t="s">
        <v>114</v>
      </c>
      <c r="T560" t="s">
        <v>180</v>
      </c>
      <c r="V560" t="s">
        <v>114</v>
      </c>
      <c r="W560" t="s">
        <v>2552</v>
      </c>
      <c r="X560" t="s">
        <v>2552</v>
      </c>
      <c r="Y560" t="s">
        <v>4828</v>
      </c>
      <c r="AD560" t="s">
        <v>4829</v>
      </c>
      <c r="AE560" t="s">
        <v>346</v>
      </c>
      <c r="AF560" t="s">
        <v>1325</v>
      </c>
      <c r="AG560" t="s">
        <v>123</v>
      </c>
      <c r="AH560" t="s">
        <v>124</v>
      </c>
      <c r="AJ560" t="s">
        <v>126</v>
      </c>
      <c r="AM560" t="s">
        <v>4830</v>
      </c>
      <c r="AN560" t="s">
        <v>4831</v>
      </c>
      <c r="AO560" t="s">
        <v>4832</v>
      </c>
      <c r="AP560" t="s">
        <v>131</v>
      </c>
      <c r="AQ560" t="s">
        <v>132</v>
      </c>
      <c r="AR560" t="s">
        <v>2076</v>
      </c>
      <c r="AS560" t="s">
        <v>4833</v>
      </c>
      <c r="AU560" t="s">
        <v>219</v>
      </c>
      <c r="AW560" t="s">
        <v>155</v>
      </c>
      <c r="AX560" t="s">
        <v>177</v>
      </c>
      <c r="AY560" t="s">
        <v>627</v>
      </c>
    </row>
    <row r="561" spans="1:54" x14ac:dyDescent="0.35">
      <c r="A561" t="s">
        <v>4834</v>
      </c>
      <c r="B561" t="s">
        <v>107</v>
      </c>
      <c r="C561" t="s">
        <v>107</v>
      </c>
      <c r="F561" t="s">
        <v>613</v>
      </c>
      <c r="G561" t="s">
        <v>614</v>
      </c>
      <c r="H561" t="s">
        <v>615</v>
      </c>
      <c r="I561" t="s">
        <v>271</v>
      </c>
      <c r="J561" t="s">
        <v>113</v>
      </c>
      <c r="K561" t="s">
        <v>114</v>
      </c>
      <c r="L561" t="s">
        <v>114</v>
      </c>
      <c r="M561" t="s">
        <v>114</v>
      </c>
      <c r="N561" t="s">
        <v>114</v>
      </c>
      <c r="O561" t="s">
        <v>114</v>
      </c>
      <c r="P561" t="s">
        <v>114</v>
      </c>
      <c r="Q561" t="s">
        <v>114</v>
      </c>
      <c r="R561" t="s">
        <v>114</v>
      </c>
      <c r="S561" t="s">
        <v>114</v>
      </c>
      <c r="T561" t="s">
        <v>114</v>
      </c>
      <c r="V561" t="s">
        <v>114</v>
      </c>
      <c r="W561" t="s">
        <v>114</v>
      </c>
      <c r="Y561" t="s">
        <v>4835</v>
      </c>
      <c r="Z561" t="s">
        <v>4836</v>
      </c>
      <c r="AA561" t="s">
        <v>4697</v>
      </c>
      <c r="AB561" t="s">
        <v>4837</v>
      </c>
      <c r="AC561" t="s">
        <v>4838</v>
      </c>
      <c r="AG561" t="s">
        <v>123</v>
      </c>
      <c r="AH561" t="s">
        <v>124</v>
      </c>
      <c r="AI561" t="s">
        <v>4839</v>
      </c>
      <c r="AJ561" t="s">
        <v>126</v>
      </c>
      <c r="AK561" t="s">
        <v>127</v>
      </c>
      <c r="AM561" t="s">
        <v>4840</v>
      </c>
      <c r="AN561" t="s">
        <v>4841</v>
      </c>
      <c r="AO561" t="s">
        <v>4842</v>
      </c>
      <c r="AP561" t="s">
        <v>131</v>
      </c>
      <c r="AQ561" t="s">
        <v>132</v>
      </c>
      <c r="AR561" t="s">
        <v>152</v>
      </c>
      <c r="AS561" t="s">
        <v>3516</v>
      </c>
      <c r="AU561" t="s">
        <v>3361</v>
      </c>
      <c r="AV561" t="s">
        <v>237</v>
      </c>
      <c r="AX561" t="s">
        <v>177</v>
      </c>
      <c r="AY561" t="s">
        <v>627</v>
      </c>
      <c r="AZ561" t="s">
        <v>4843</v>
      </c>
      <c r="BB561" t="s">
        <v>140</v>
      </c>
    </row>
    <row r="562" spans="1:54" x14ac:dyDescent="0.35">
      <c r="A562" t="s">
        <v>4844</v>
      </c>
      <c r="B562" t="s">
        <v>107</v>
      </c>
      <c r="C562" t="s">
        <v>107</v>
      </c>
      <c r="F562" t="s">
        <v>358</v>
      </c>
      <c r="G562" t="s">
        <v>359</v>
      </c>
      <c r="H562" t="s">
        <v>360</v>
      </c>
      <c r="I562" t="s">
        <v>341</v>
      </c>
      <c r="J562" t="s">
        <v>113</v>
      </c>
      <c r="K562" t="s">
        <v>114</v>
      </c>
      <c r="L562" t="s">
        <v>114</v>
      </c>
      <c r="M562" t="s">
        <v>114</v>
      </c>
      <c r="N562" t="s">
        <v>114</v>
      </c>
      <c r="O562" t="s">
        <v>114</v>
      </c>
      <c r="P562" t="s">
        <v>114</v>
      </c>
      <c r="Q562" t="s">
        <v>114</v>
      </c>
      <c r="R562" t="s">
        <v>114</v>
      </c>
      <c r="S562" t="s">
        <v>114</v>
      </c>
      <c r="T562" t="s">
        <v>114</v>
      </c>
      <c r="V562" t="s">
        <v>114</v>
      </c>
      <c r="W562" t="s">
        <v>114</v>
      </c>
      <c r="Y562" t="s">
        <v>4845</v>
      </c>
      <c r="Z562" t="s">
        <v>4845</v>
      </c>
      <c r="AA562" t="s">
        <v>4697</v>
      </c>
      <c r="AB562" t="s">
        <v>4846</v>
      </c>
      <c r="AC562" t="s">
        <v>4847</v>
      </c>
      <c r="AG562" t="s">
        <v>123</v>
      </c>
      <c r="AH562" t="s">
        <v>124</v>
      </c>
      <c r="AI562" t="s">
        <v>4848</v>
      </c>
      <c r="AJ562" t="s">
        <v>126</v>
      </c>
      <c r="AK562" t="s">
        <v>127</v>
      </c>
      <c r="AM562" t="s">
        <v>2534</v>
      </c>
      <c r="AN562" t="s">
        <v>2535</v>
      </c>
      <c r="AO562" t="s">
        <v>2536</v>
      </c>
      <c r="AP562" t="s">
        <v>131</v>
      </c>
      <c r="AQ562" t="s">
        <v>132</v>
      </c>
      <c r="AR562" t="s">
        <v>2312</v>
      </c>
      <c r="AS562" t="s">
        <v>2537</v>
      </c>
      <c r="AU562" t="s">
        <v>1665</v>
      </c>
      <c r="AV562" t="s">
        <v>237</v>
      </c>
      <c r="AX562" t="s">
        <v>177</v>
      </c>
      <c r="AY562" t="s">
        <v>364</v>
      </c>
      <c r="AZ562" t="s">
        <v>4849</v>
      </c>
      <c r="BB562" t="s">
        <v>140</v>
      </c>
    </row>
    <row r="563" spans="1:54" x14ac:dyDescent="0.35">
      <c r="A563" t="s">
        <v>4850</v>
      </c>
      <c r="B563" t="s">
        <v>107</v>
      </c>
      <c r="C563" t="s">
        <v>107</v>
      </c>
      <c r="F563" t="s">
        <v>358</v>
      </c>
      <c r="G563" t="s">
        <v>359</v>
      </c>
      <c r="H563" t="s">
        <v>360</v>
      </c>
      <c r="I563" t="s">
        <v>341</v>
      </c>
      <c r="J563" t="s">
        <v>113</v>
      </c>
      <c r="K563" t="s">
        <v>114</v>
      </c>
      <c r="L563" t="s">
        <v>114</v>
      </c>
      <c r="M563" t="s">
        <v>114</v>
      </c>
      <c r="N563" t="s">
        <v>114</v>
      </c>
      <c r="O563" t="s">
        <v>114</v>
      </c>
      <c r="P563" t="s">
        <v>114</v>
      </c>
      <c r="Q563" t="s">
        <v>114</v>
      </c>
      <c r="R563" t="s">
        <v>114</v>
      </c>
      <c r="S563" t="s">
        <v>114</v>
      </c>
      <c r="T563" t="s">
        <v>114</v>
      </c>
      <c r="V563" t="s">
        <v>114</v>
      </c>
      <c r="W563" t="s">
        <v>114</v>
      </c>
      <c r="Y563" t="s">
        <v>4851</v>
      </c>
      <c r="Z563" t="s">
        <v>4851</v>
      </c>
      <c r="AA563" t="s">
        <v>4697</v>
      </c>
      <c r="AB563" t="s">
        <v>4852</v>
      </c>
      <c r="AC563" t="s">
        <v>4853</v>
      </c>
      <c r="AG563" t="s">
        <v>123</v>
      </c>
      <c r="AH563" t="s">
        <v>124</v>
      </c>
      <c r="AI563" t="s">
        <v>4854</v>
      </c>
      <c r="AJ563" t="s">
        <v>126</v>
      </c>
      <c r="AK563" t="s">
        <v>127</v>
      </c>
      <c r="AM563" t="s">
        <v>4855</v>
      </c>
      <c r="AN563" t="s">
        <v>4856</v>
      </c>
      <c r="AO563" t="s">
        <v>4857</v>
      </c>
      <c r="AP563" t="s">
        <v>131</v>
      </c>
      <c r="AQ563" t="s">
        <v>132</v>
      </c>
      <c r="AR563" t="s">
        <v>1440</v>
      </c>
      <c r="AS563" t="s">
        <v>4858</v>
      </c>
      <c r="AU563" t="s">
        <v>1766</v>
      </c>
      <c r="AX563" t="s">
        <v>177</v>
      </c>
      <c r="AY563" t="s">
        <v>364</v>
      </c>
      <c r="AZ563" t="s">
        <v>4859</v>
      </c>
      <c r="BB563" t="s">
        <v>140</v>
      </c>
    </row>
    <row r="564" spans="1:54" x14ac:dyDescent="0.35">
      <c r="A564" t="s">
        <v>4860</v>
      </c>
      <c r="B564" t="s">
        <v>107</v>
      </c>
      <c r="C564" t="s">
        <v>107</v>
      </c>
      <c r="F564" t="s">
        <v>158</v>
      </c>
      <c r="G564" t="s">
        <v>159</v>
      </c>
      <c r="H564" t="s">
        <v>111</v>
      </c>
      <c r="I564" t="s">
        <v>341</v>
      </c>
      <c r="J564" t="s">
        <v>113</v>
      </c>
      <c r="K564" t="s">
        <v>114</v>
      </c>
      <c r="L564" t="s">
        <v>114</v>
      </c>
      <c r="M564" t="s">
        <v>114</v>
      </c>
      <c r="N564" t="s">
        <v>114</v>
      </c>
      <c r="O564" t="s">
        <v>114</v>
      </c>
      <c r="P564" t="s">
        <v>114</v>
      </c>
      <c r="Q564" t="s">
        <v>114</v>
      </c>
      <c r="R564" t="s">
        <v>114</v>
      </c>
      <c r="S564" t="s">
        <v>114</v>
      </c>
      <c r="T564" t="s">
        <v>114</v>
      </c>
      <c r="V564" t="s">
        <v>114</v>
      </c>
      <c r="W564" t="s">
        <v>114</v>
      </c>
      <c r="Y564" t="s">
        <v>4861</v>
      </c>
      <c r="Z564" t="s">
        <v>4861</v>
      </c>
      <c r="AA564" t="s">
        <v>4697</v>
      </c>
      <c r="AB564" t="s">
        <v>4862</v>
      </c>
      <c r="AC564" t="s">
        <v>4863</v>
      </c>
      <c r="AG564" t="s">
        <v>123</v>
      </c>
      <c r="AH564" t="s">
        <v>124</v>
      </c>
      <c r="AI564" t="s">
        <v>4864</v>
      </c>
      <c r="AJ564" t="s">
        <v>126</v>
      </c>
      <c r="AK564" t="s">
        <v>127</v>
      </c>
      <c r="AM564" t="s">
        <v>4865</v>
      </c>
      <c r="AN564" t="s">
        <v>4866</v>
      </c>
      <c r="AO564" t="s">
        <v>2617</v>
      </c>
      <c r="AP564" t="s">
        <v>131</v>
      </c>
      <c r="AQ564" t="s">
        <v>132</v>
      </c>
      <c r="AR564" t="s">
        <v>202</v>
      </c>
      <c r="AS564" t="s">
        <v>1489</v>
      </c>
      <c r="AU564" t="s">
        <v>481</v>
      </c>
      <c r="AX564" t="s">
        <v>177</v>
      </c>
      <c r="AY564" t="s">
        <v>138</v>
      </c>
      <c r="AZ564" t="s">
        <v>4867</v>
      </c>
      <c r="BB564" t="s">
        <v>140</v>
      </c>
    </row>
    <row r="565" spans="1:54" x14ac:dyDescent="0.35">
      <c r="A565" t="s">
        <v>4868</v>
      </c>
      <c r="B565" t="s">
        <v>107</v>
      </c>
      <c r="C565" t="s">
        <v>107</v>
      </c>
      <c r="F565" t="s">
        <v>613</v>
      </c>
      <c r="G565" t="s">
        <v>614</v>
      </c>
      <c r="H565" t="s">
        <v>615</v>
      </c>
      <c r="I565" t="s">
        <v>271</v>
      </c>
      <c r="J565" t="s">
        <v>113</v>
      </c>
      <c r="K565" t="s">
        <v>114</v>
      </c>
      <c r="L565" t="s">
        <v>114</v>
      </c>
      <c r="M565" t="s">
        <v>114</v>
      </c>
      <c r="N565" t="s">
        <v>114</v>
      </c>
      <c r="O565" t="s">
        <v>114</v>
      </c>
      <c r="P565" t="s">
        <v>114</v>
      </c>
      <c r="Q565" t="s">
        <v>114</v>
      </c>
      <c r="R565" t="s">
        <v>114</v>
      </c>
      <c r="S565" t="s">
        <v>114</v>
      </c>
      <c r="T565" t="s">
        <v>114</v>
      </c>
      <c r="V565" t="s">
        <v>114</v>
      </c>
      <c r="W565" t="s">
        <v>114</v>
      </c>
      <c r="Y565" t="s">
        <v>4869</v>
      </c>
      <c r="Z565" t="s">
        <v>4869</v>
      </c>
      <c r="AA565" t="s">
        <v>4697</v>
      </c>
      <c r="AB565" t="s">
        <v>4870</v>
      </c>
      <c r="AC565" t="s">
        <v>4871</v>
      </c>
      <c r="AG565" t="s">
        <v>123</v>
      </c>
      <c r="AH565" t="s">
        <v>124</v>
      </c>
      <c r="AI565" t="s">
        <v>4872</v>
      </c>
      <c r="AJ565" t="s">
        <v>126</v>
      </c>
      <c r="AK565" t="s">
        <v>127</v>
      </c>
      <c r="AM565" t="s">
        <v>4873</v>
      </c>
      <c r="AN565" t="s">
        <v>4874</v>
      </c>
      <c r="AO565" t="s">
        <v>4875</v>
      </c>
      <c r="AP565" t="s">
        <v>131</v>
      </c>
      <c r="AQ565" t="s">
        <v>132</v>
      </c>
      <c r="AR565" t="s">
        <v>466</v>
      </c>
      <c r="AS565" t="s">
        <v>4876</v>
      </c>
      <c r="AU565" t="s">
        <v>1135</v>
      </c>
      <c r="AV565" t="s">
        <v>355</v>
      </c>
      <c r="AX565" t="s">
        <v>177</v>
      </c>
      <c r="AY565" t="s">
        <v>627</v>
      </c>
      <c r="AZ565" t="s">
        <v>4877</v>
      </c>
      <c r="BB565" t="s">
        <v>140</v>
      </c>
    </row>
    <row r="566" spans="1:54" x14ac:dyDescent="0.35">
      <c r="A566" t="s">
        <v>4878</v>
      </c>
      <c r="B566" t="s">
        <v>107</v>
      </c>
      <c r="C566" t="s">
        <v>107</v>
      </c>
      <c r="F566" t="s">
        <v>613</v>
      </c>
      <c r="G566" t="s">
        <v>614</v>
      </c>
      <c r="H566" t="s">
        <v>615</v>
      </c>
      <c r="I566" t="s">
        <v>271</v>
      </c>
      <c r="J566" t="s">
        <v>113</v>
      </c>
      <c r="K566" t="s">
        <v>114</v>
      </c>
      <c r="L566" t="s">
        <v>114</v>
      </c>
      <c r="M566" t="s">
        <v>114</v>
      </c>
      <c r="N566" t="s">
        <v>114</v>
      </c>
      <c r="O566" t="s">
        <v>114</v>
      </c>
      <c r="P566" t="s">
        <v>114</v>
      </c>
      <c r="Q566" t="s">
        <v>114</v>
      </c>
      <c r="R566" t="s">
        <v>114</v>
      </c>
      <c r="S566" t="s">
        <v>114</v>
      </c>
      <c r="T566" t="s">
        <v>114</v>
      </c>
      <c r="V566" t="s">
        <v>114</v>
      </c>
      <c r="W566" t="s">
        <v>114</v>
      </c>
      <c r="Y566" t="s">
        <v>4879</v>
      </c>
      <c r="Z566" t="s">
        <v>4879</v>
      </c>
      <c r="AA566" t="s">
        <v>4697</v>
      </c>
      <c r="AB566" t="s">
        <v>4880</v>
      </c>
      <c r="AC566" t="s">
        <v>4881</v>
      </c>
      <c r="AG566" t="s">
        <v>123</v>
      </c>
      <c r="AH566" t="s">
        <v>124</v>
      </c>
      <c r="AI566" t="s">
        <v>4882</v>
      </c>
      <c r="AJ566" t="s">
        <v>126</v>
      </c>
      <c r="AK566" t="s">
        <v>127</v>
      </c>
      <c r="AM566" t="s">
        <v>4883</v>
      </c>
      <c r="AN566" t="s">
        <v>4884</v>
      </c>
      <c r="AO566" t="s">
        <v>4885</v>
      </c>
      <c r="AP566" t="s">
        <v>131</v>
      </c>
      <c r="AQ566" t="s">
        <v>403</v>
      </c>
      <c r="AR566" t="s">
        <v>1440</v>
      </c>
      <c r="AS566" t="s">
        <v>4886</v>
      </c>
      <c r="AU566" t="s">
        <v>450</v>
      </c>
      <c r="AX566" t="s">
        <v>177</v>
      </c>
      <c r="AY566" t="s">
        <v>627</v>
      </c>
      <c r="AZ566" t="s">
        <v>4887</v>
      </c>
      <c r="BB566" t="s">
        <v>140</v>
      </c>
    </row>
    <row r="567" spans="1:54" x14ac:dyDescent="0.35">
      <c r="A567" t="s">
        <v>4888</v>
      </c>
      <c r="B567" t="s">
        <v>107</v>
      </c>
      <c r="C567" t="s">
        <v>107</v>
      </c>
      <c r="F567" t="s">
        <v>613</v>
      </c>
      <c r="G567" t="s">
        <v>614</v>
      </c>
      <c r="H567" t="s">
        <v>615</v>
      </c>
      <c r="I567" t="s">
        <v>271</v>
      </c>
      <c r="J567" t="s">
        <v>113</v>
      </c>
      <c r="K567" t="s">
        <v>114</v>
      </c>
      <c r="L567" t="s">
        <v>114</v>
      </c>
      <c r="M567" t="s">
        <v>114</v>
      </c>
      <c r="N567" t="s">
        <v>114</v>
      </c>
      <c r="O567" t="s">
        <v>114</v>
      </c>
      <c r="P567" t="s">
        <v>114</v>
      </c>
      <c r="Q567" t="s">
        <v>114</v>
      </c>
      <c r="R567" t="s">
        <v>114</v>
      </c>
      <c r="S567" t="s">
        <v>114</v>
      </c>
      <c r="T567" t="s">
        <v>114</v>
      </c>
      <c r="V567" t="s">
        <v>114</v>
      </c>
      <c r="W567" t="s">
        <v>114</v>
      </c>
      <c r="Y567" t="s">
        <v>4889</v>
      </c>
      <c r="Z567" t="s">
        <v>4889</v>
      </c>
      <c r="AA567" t="s">
        <v>4697</v>
      </c>
      <c r="AB567" t="s">
        <v>4890</v>
      </c>
      <c r="AC567" t="s">
        <v>4891</v>
      </c>
      <c r="AG567" t="s">
        <v>123</v>
      </c>
      <c r="AH567" t="s">
        <v>124</v>
      </c>
      <c r="AI567" t="s">
        <v>4892</v>
      </c>
      <c r="AJ567" t="s">
        <v>126</v>
      </c>
      <c r="AK567" t="s">
        <v>127</v>
      </c>
      <c r="AM567" t="s">
        <v>4893</v>
      </c>
      <c r="AN567" t="s">
        <v>4894</v>
      </c>
      <c r="AO567" t="s">
        <v>4895</v>
      </c>
      <c r="AP567" t="s">
        <v>131</v>
      </c>
      <c r="AQ567" t="s">
        <v>132</v>
      </c>
      <c r="AR567" t="s">
        <v>152</v>
      </c>
      <c r="AS567" t="s">
        <v>809</v>
      </c>
      <c r="AU567" t="s">
        <v>265</v>
      </c>
      <c r="AV567" t="s">
        <v>654</v>
      </c>
      <c r="AX567" t="s">
        <v>177</v>
      </c>
      <c r="AY567" t="s">
        <v>627</v>
      </c>
      <c r="AZ567" t="s">
        <v>4896</v>
      </c>
      <c r="BB567" t="s">
        <v>140</v>
      </c>
    </row>
    <row r="568" spans="1:54" x14ac:dyDescent="0.35">
      <c r="A568" t="s">
        <v>4897</v>
      </c>
      <c r="B568" t="s">
        <v>107</v>
      </c>
      <c r="C568" t="s">
        <v>107</v>
      </c>
      <c r="F568" t="s">
        <v>613</v>
      </c>
      <c r="G568" t="s">
        <v>614</v>
      </c>
      <c r="H568" t="s">
        <v>615</v>
      </c>
      <c r="I568" t="s">
        <v>271</v>
      </c>
      <c r="J568" t="s">
        <v>113</v>
      </c>
      <c r="K568" t="s">
        <v>114</v>
      </c>
      <c r="L568" t="s">
        <v>114</v>
      </c>
      <c r="M568" t="s">
        <v>114</v>
      </c>
      <c r="N568" t="s">
        <v>114</v>
      </c>
      <c r="O568" t="s">
        <v>114</v>
      </c>
      <c r="P568" t="s">
        <v>114</v>
      </c>
      <c r="Q568" t="s">
        <v>114</v>
      </c>
      <c r="R568" t="s">
        <v>114</v>
      </c>
      <c r="S568" t="s">
        <v>114</v>
      </c>
      <c r="T568" t="s">
        <v>114</v>
      </c>
      <c r="V568" t="s">
        <v>114</v>
      </c>
      <c r="W568" t="s">
        <v>114</v>
      </c>
      <c r="Y568" t="s">
        <v>4889</v>
      </c>
      <c r="Z568" t="s">
        <v>4889</v>
      </c>
      <c r="AA568" t="s">
        <v>4697</v>
      </c>
      <c r="AB568" t="s">
        <v>4898</v>
      </c>
      <c r="AC568" t="s">
        <v>4899</v>
      </c>
      <c r="AG568" t="s">
        <v>123</v>
      </c>
      <c r="AH568" t="s">
        <v>124</v>
      </c>
      <c r="AI568" t="s">
        <v>4900</v>
      </c>
      <c r="AJ568" t="s">
        <v>126</v>
      </c>
      <c r="AK568" t="s">
        <v>127</v>
      </c>
      <c r="AM568" t="s">
        <v>4901</v>
      </c>
      <c r="AN568" t="s">
        <v>4902</v>
      </c>
      <c r="AO568" t="s">
        <v>4903</v>
      </c>
      <c r="AP568" t="s">
        <v>131</v>
      </c>
      <c r="AQ568" t="s">
        <v>132</v>
      </c>
      <c r="AR568" t="s">
        <v>4904</v>
      </c>
      <c r="AS568" t="s">
        <v>4905</v>
      </c>
      <c r="AU568" t="s">
        <v>1183</v>
      </c>
      <c r="AV568" t="s">
        <v>1534</v>
      </c>
      <c r="AX568" t="s">
        <v>177</v>
      </c>
      <c r="AY568" t="s">
        <v>627</v>
      </c>
      <c r="AZ568" t="s">
        <v>4906</v>
      </c>
      <c r="BB568" t="s">
        <v>140</v>
      </c>
    </row>
    <row r="569" spans="1:54" x14ac:dyDescent="0.35">
      <c r="A569" t="s">
        <v>4907</v>
      </c>
      <c r="B569" t="s">
        <v>107</v>
      </c>
      <c r="C569" t="s">
        <v>107</v>
      </c>
      <c r="F569" t="s">
        <v>358</v>
      </c>
      <c r="G569" t="s">
        <v>359</v>
      </c>
      <c r="H569" t="s">
        <v>360</v>
      </c>
      <c r="I569" t="s">
        <v>341</v>
      </c>
      <c r="J569" t="s">
        <v>113</v>
      </c>
      <c r="K569" t="s">
        <v>114</v>
      </c>
      <c r="L569" t="s">
        <v>114</v>
      </c>
      <c r="M569" t="s">
        <v>114</v>
      </c>
      <c r="N569" t="s">
        <v>114</v>
      </c>
      <c r="O569" t="s">
        <v>114</v>
      </c>
      <c r="P569" t="s">
        <v>114</v>
      </c>
      <c r="Q569" t="s">
        <v>114</v>
      </c>
      <c r="R569" t="s">
        <v>114</v>
      </c>
      <c r="S569" t="s">
        <v>114</v>
      </c>
      <c r="T569" t="s">
        <v>114</v>
      </c>
      <c r="V569" t="s">
        <v>114</v>
      </c>
      <c r="W569" t="s">
        <v>114</v>
      </c>
      <c r="Y569" t="s">
        <v>4908</v>
      </c>
      <c r="Z569" t="s">
        <v>4908</v>
      </c>
      <c r="AA569" t="s">
        <v>4697</v>
      </c>
      <c r="AB569" t="s">
        <v>4909</v>
      </c>
      <c r="AC569" t="s">
        <v>4910</v>
      </c>
      <c r="AG569" t="s">
        <v>123</v>
      </c>
      <c r="AH569" t="s">
        <v>124</v>
      </c>
      <c r="AI569" t="s">
        <v>4911</v>
      </c>
      <c r="AJ569" t="s">
        <v>126</v>
      </c>
      <c r="AK569" t="s">
        <v>127</v>
      </c>
      <c r="AM569" t="s">
        <v>4912</v>
      </c>
      <c r="AN569" t="s">
        <v>4913</v>
      </c>
      <c r="AO569" t="s">
        <v>4914</v>
      </c>
      <c r="AP569" t="s">
        <v>131</v>
      </c>
      <c r="AQ569" t="s">
        <v>132</v>
      </c>
      <c r="AR569" t="s">
        <v>152</v>
      </c>
      <c r="AS569" t="s">
        <v>1730</v>
      </c>
      <c r="AU569" t="s">
        <v>236</v>
      </c>
      <c r="AX569" t="s">
        <v>177</v>
      </c>
      <c r="AY569" t="s">
        <v>364</v>
      </c>
      <c r="AZ569" t="s">
        <v>4915</v>
      </c>
      <c r="BB569" t="s">
        <v>140</v>
      </c>
    </row>
    <row r="570" spans="1:54" x14ac:dyDescent="0.35">
      <c r="A570" t="s">
        <v>4916</v>
      </c>
      <c r="B570" t="s">
        <v>107</v>
      </c>
      <c r="C570" t="s">
        <v>107</v>
      </c>
      <c r="F570" t="s">
        <v>358</v>
      </c>
      <c r="G570" t="s">
        <v>359</v>
      </c>
      <c r="H570" t="s">
        <v>360</v>
      </c>
      <c r="I570" t="s">
        <v>341</v>
      </c>
      <c r="J570" t="s">
        <v>113</v>
      </c>
      <c r="K570" t="s">
        <v>114</v>
      </c>
      <c r="L570" t="s">
        <v>114</v>
      </c>
      <c r="M570" t="s">
        <v>114</v>
      </c>
      <c r="N570" t="s">
        <v>114</v>
      </c>
      <c r="O570" t="s">
        <v>114</v>
      </c>
      <c r="P570" t="s">
        <v>114</v>
      </c>
      <c r="Q570" t="s">
        <v>114</v>
      </c>
      <c r="R570" t="s">
        <v>114</v>
      </c>
      <c r="S570" t="s">
        <v>114</v>
      </c>
      <c r="T570" t="s">
        <v>114</v>
      </c>
      <c r="V570" t="s">
        <v>114</v>
      </c>
      <c r="W570" t="s">
        <v>114</v>
      </c>
      <c r="Y570" t="s">
        <v>4917</v>
      </c>
      <c r="Z570" t="s">
        <v>4917</v>
      </c>
      <c r="AA570" t="s">
        <v>4697</v>
      </c>
      <c r="AB570" t="s">
        <v>4918</v>
      </c>
      <c r="AC570" t="s">
        <v>4919</v>
      </c>
      <c r="AG570" t="s">
        <v>123</v>
      </c>
      <c r="AH570" t="s">
        <v>124</v>
      </c>
      <c r="AI570" t="s">
        <v>4920</v>
      </c>
      <c r="AJ570" t="s">
        <v>126</v>
      </c>
      <c r="AK570" t="s">
        <v>127</v>
      </c>
      <c r="AM570" t="s">
        <v>4921</v>
      </c>
      <c r="AN570" t="s">
        <v>4922</v>
      </c>
      <c r="AO570" t="s">
        <v>4923</v>
      </c>
      <c r="AP570" t="s">
        <v>131</v>
      </c>
      <c r="AQ570" t="s">
        <v>132</v>
      </c>
      <c r="AR570" t="s">
        <v>217</v>
      </c>
      <c r="AS570" t="s">
        <v>1083</v>
      </c>
      <c r="AU570" t="s">
        <v>798</v>
      </c>
      <c r="AV570" t="s">
        <v>375</v>
      </c>
      <c r="AX570" t="s">
        <v>177</v>
      </c>
      <c r="AY570" t="s">
        <v>364</v>
      </c>
      <c r="AZ570" t="s">
        <v>4924</v>
      </c>
      <c r="BB570" t="s">
        <v>140</v>
      </c>
    </row>
    <row r="571" spans="1:54" x14ac:dyDescent="0.35">
      <c r="A571" t="s">
        <v>4925</v>
      </c>
      <c r="B571" t="s">
        <v>107</v>
      </c>
      <c r="C571" t="s">
        <v>107</v>
      </c>
      <c r="F571" t="s">
        <v>358</v>
      </c>
      <c r="G571" t="s">
        <v>359</v>
      </c>
      <c r="H571" t="s">
        <v>360</v>
      </c>
      <c r="I571" t="s">
        <v>341</v>
      </c>
      <c r="J571" t="s">
        <v>113</v>
      </c>
      <c r="K571" t="s">
        <v>114</v>
      </c>
      <c r="L571" t="s">
        <v>114</v>
      </c>
      <c r="M571" t="s">
        <v>114</v>
      </c>
      <c r="N571" t="s">
        <v>114</v>
      </c>
      <c r="O571" t="s">
        <v>114</v>
      </c>
      <c r="P571" t="s">
        <v>114</v>
      </c>
      <c r="Q571" t="s">
        <v>114</v>
      </c>
      <c r="R571" t="s">
        <v>114</v>
      </c>
      <c r="S571" t="s">
        <v>114</v>
      </c>
      <c r="T571" t="s">
        <v>114</v>
      </c>
      <c r="V571" t="s">
        <v>114</v>
      </c>
      <c r="W571" t="s">
        <v>114</v>
      </c>
      <c r="Y571" t="s">
        <v>4926</v>
      </c>
      <c r="Z571" t="s">
        <v>4926</v>
      </c>
      <c r="AA571" t="s">
        <v>4697</v>
      </c>
      <c r="AB571" t="s">
        <v>4927</v>
      </c>
      <c r="AC571" t="s">
        <v>4928</v>
      </c>
      <c r="AG571" t="s">
        <v>123</v>
      </c>
      <c r="AH571" t="s">
        <v>124</v>
      </c>
      <c r="AI571" t="s">
        <v>4929</v>
      </c>
      <c r="AJ571" t="s">
        <v>126</v>
      </c>
      <c r="AK571" t="s">
        <v>127</v>
      </c>
      <c r="AM571" t="s">
        <v>4930</v>
      </c>
      <c r="AN571" t="s">
        <v>2947</v>
      </c>
      <c r="AO571" t="s">
        <v>4931</v>
      </c>
      <c r="AP571" t="s">
        <v>131</v>
      </c>
      <c r="AQ571" t="s">
        <v>132</v>
      </c>
      <c r="AR571" t="s">
        <v>3784</v>
      </c>
      <c r="AS571" t="s">
        <v>3785</v>
      </c>
      <c r="AU571" t="s">
        <v>219</v>
      </c>
      <c r="AV571" t="s">
        <v>810</v>
      </c>
      <c r="AX571" t="s">
        <v>177</v>
      </c>
      <c r="AY571" t="s">
        <v>364</v>
      </c>
      <c r="AZ571" t="s">
        <v>4932</v>
      </c>
      <c r="BB571" t="s">
        <v>140</v>
      </c>
    </row>
    <row r="572" spans="1:54" x14ac:dyDescent="0.35">
      <c r="A572" t="s">
        <v>4933</v>
      </c>
      <c r="B572" t="s">
        <v>107</v>
      </c>
      <c r="C572" t="s">
        <v>107</v>
      </c>
      <c r="F572" t="s">
        <v>158</v>
      </c>
      <c r="G572" t="s">
        <v>159</v>
      </c>
      <c r="H572" t="s">
        <v>111</v>
      </c>
      <c r="I572" t="s">
        <v>341</v>
      </c>
      <c r="J572" t="s">
        <v>113</v>
      </c>
      <c r="K572" t="s">
        <v>114</v>
      </c>
      <c r="L572" t="s">
        <v>114</v>
      </c>
      <c r="M572" t="s">
        <v>114</v>
      </c>
      <c r="N572" t="s">
        <v>114</v>
      </c>
      <c r="O572" t="s">
        <v>114</v>
      </c>
      <c r="P572" t="s">
        <v>114</v>
      </c>
      <c r="Q572" t="s">
        <v>114</v>
      </c>
      <c r="R572" t="s">
        <v>114</v>
      </c>
      <c r="S572" t="s">
        <v>114</v>
      </c>
      <c r="T572" t="s">
        <v>114</v>
      </c>
      <c r="V572" t="s">
        <v>114</v>
      </c>
      <c r="W572" t="s">
        <v>114</v>
      </c>
      <c r="Y572" t="s">
        <v>4934</v>
      </c>
      <c r="Z572" t="s">
        <v>4934</v>
      </c>
      <c r="AA572" t="s">
        <v>4697</v>
      </c>
      <c r="AB572" t="s">
        <v>4935</v>
      </c>
      <c r="AC572" t="s">
        <v>4936</v>
      </c>
      <c r="AG572" t="s">
        <v>123</v>
      </c>
      <c r="AH572" t="s">
        <v>124</v>
      </c>
      <c r="AI572" t="s">
        <v>4937</v>
      </c>
      <c r="AJ572" t="s">
        <v>126</v>
      </c>
      <c r="AK572" t="s">
        <v>127</v>
      </c>
      <c r="AM572" t="s">
        <v>4938</v>
      </c>
      <c r="AN572" t="s">
        <v>4939</v>
      </c>
      <c r="AO572" t="s">
        <v>4940</v>
      </c>
      <c r="AP572" t="s">
        <v>131</v>
      </c>
      <c r="AQ572" t="s">
        <v>132</v>
      </c>
      <c r="AR572" t="s">
        <v>3784</v>
      </c>
      <c r="AS572" t="s">
        <v>4941</v>
      </c>
      <c r="AU572" t="s">
        <v>300</v>
      </c>
      <c r="AX572" t="s">
        <v>177</v>
      </c>
      <c r="AY572" t="s">
        <v>138</v>
      </c>
      <c r="AZ572" t="s">
        <v>4942</v>
      </c>
      <c r="BB572" t="s">
        <v>140</v>
      </c>
    </row>
    <row r="573" spans="1:54" x14ac:dyDescent="0.35">
      <c r="A573" t="s">
        <v>4943</v>
      </c>
      <c r="B573" t="s">
        <v>107</v>
      </c>
      <c r="C573" t="s">
        <v>107</v>
      </c>
      <c r="F573" t="s">
        <v>358</v>
      </c>
      <c r="G573" t="s">
        <v>359</v>
      </c>
      <c r="H573" t="s">
        <v>360</v>
      </c>
      <c r="I573" t="s">
        <v>341</v>
      </c>
      <c r="J573" t="s">
        <v>113</v>
      </c>
      <c r="K573" t="s">
        <v>114</v>
      </c>
      <c r="L573" t="s">
        <v>114</v>
      </c>
      <c r="M573" t="s">
        <v>114</v>
      </c>
      <c r="N573" t="s">
        <v>114</v>
      </c>
      <c r="O573" t="s">
        <v>114</v>
      </c>
      <c r="P573" t="s">
        <v>114</v>
      </c>
      <c r="Q573" t="s">
        <v>114</v>
      </c>
      <c r="R573" t="s">
        <v>114</v>
      </c>
      <c r="S573" t="s">
        <v>114</v>
      </c>
      <c r="T573" t="s">
        <v>114</v>
      </c>
      <c r="V573" t="s">
        <v>114</v>
      </c>
      <c r="W573" t="s">
        <v>114</v>
      </c>
      <c r="Y573" t="s">
        <v>4934</v>
      </c>
      <c r="Z573" t="s">
        <v>4944</v>
      </c>
      <c r="AA573" t="s">
        <v>4697</v>
      </c>
      <c r="AB573" t="s">
        <v>4945</v>
      </c>
      <c r="AC573" t="s">
        <v>4946</v>
      </c>
      <c r="AG573" t="s">
        <v>123</v>
      </c>
      <c r="AH573" t="s">
        <v>124</v>
      </c>
      <c r="AI573" t="s">
        <v>4947</v>
      </c>
      <c r="AJ573" t="s">
        <v>126</v>
      </c>
      <c r="AK573" t="s">
        <v>127</v>
      </c>
      <c r="AM573" t="s">
        <v>4948</v>
      </c>
      <c r="AN573" t="s">
        <v>4949</v>
      </c>
      <c r="AO573" t="s">
        <v>4950</v>
      </c>
      <c r="AP573" t="s">
        <v>131</v>
      </c>
      <c r="AQ573" t="s">
        <v>132</v>
      </c>
      <c r="AR573" t="s">
        <v>3481</v>
      </c>
      <c r="AS573" t="s">
        <v>4951</v>
      </c>
      <c r="AU573" t="s">
        <v>758</v>
      </c>
      <c r="AV573" t="s">
        <v>237</v>
      </c>
      <c r="AX573" t="s">
        <v>177</v>
      </c>
      <c r="AY573" t="s">
        <v>364</v>
      </c>
      <c r="AZ573" t="s">
        <v>4952</v>
      </c>
      <c r="BB573" t="s">
        <v>140</v>
      </c>
    </row>
    <row r="574" spans="1:54" x14ac:dyDescent="0.35">
      <c r="A574" t="s">
        <v>4953</v>
      </c>
      <c r="B574" t="s">
        <v>107</v>
      </c>
      <c r="C574" t="s">
        <v>107</v>
      </c>
      <c r="F574" t="s">
        <v>3828</v>
      </c>
      <c r="G574" t="s">
        <v>359</v>
      </c>
      <c r="H574" t="s">
        <v>3829</v>
      </c>
      <c r="I574" t="s">
        <v>341</v>
      </c>
      <c r="J574" t="s">
        <v>113</v>
      </c>
      <c r="K574" t="s">
        <v>114</v>
      </c>
      <c r="L574" t="s">
        <v>114</v>
      </c>
      <c r="M574" t="s">
        <v>114</v>
      </c>
      <c r="N574" t="s">
        <v>114</v>
      </c>
      <c r="O574" t="s">
        <v>114</v>
      </c>
      <c r="P574" t="s">
        <v>114</v>
      </c>
      <c r="Q574" t="s">
        <v>114</v>
      </c>
      <c r="R574" t="s">
        <v>114</v>
      </c>
      <c r="S574" t="s">
        <v>114</v>
      </c>
      <c r="T574" t="s">
        <v>114</v>
      </c>
      <c r="V574" t="s">
        <v>114</v>
      </c>
      <c r="W574" t="s">
        <v>114</v>
      </c>
      <c r="Y574" t="s">
        <v>4944</v>
      </c>
      <c r="Z574" t="s">
        <v>4944</v>
      </c>
      <c r="AA574" t="s">
        <v>4697</v>
      </c>
      <c r="AB574" t="s">
        <v>4954</v>
      </c>
      <c r="AC574" t="s">
        <v>4955</v>
      </c>
      <c r="AG574" t="s">
        <v>123</v>
      </c>
      <c r="AH574" t="s">
        <v>124</v>
      </c>
      <c r="AI574" t="s">
        <v>4956</v>
      </c>
      <c r="AJ574" t="s">
        <v>126</v>
      </c>
      <c r="AK574" t="s">
        <v>127</v>
      </c>
      <c r="AM574" t="s">
        <v>4957</v>
      </c>
      <c r="AN574" t="s">
        <v>4958</v>
      </c>
      <c r="AO574" t="s">
        <v>4959</v>
      </c>
      <c r="AP574" t="s">
        <v>131</v>
      </c>
      <c r="AQ574" t="s">
        <v>132</v>
      </c>
      <c r="AR574" t="s">
        <v>152</v>
      </c>
      <c r="AS574" t="s">
        <v>315</v>
      </c>
      <c r="AU574" t="s">
        <v>810</v>
      </c>
      <c r="AV574" t="s">
        <v>4960</v>
      </c>
      <c r="AX574" t="s">
        <v>177</v>
      </c>
      <c r="AY574" t="s">
        <v>364</v>
      </c>
      <c r="AZ574" t="s">
        <v>4961</v>
      </c>
      <c r="BB574" t="s">
        <v>140</v>
      </c>
    </row>
    <row r="575" spans="1:54" x14ac:dyDescent="0.35">
      <c r="A575" t="s">
        <v>4962</v>
      </c>
      <c r="B575" t="s">
        <v>107</v>
      </c>
      <c r="C575" t="s">
        <v>107</v>
      </c>
      <c r="F575" t="s">
        <v>358</v>
      </c>
      <c r="G575" t="s">
        <v>359</v>
      </c>
      <c r="H575" t="s">
        <v>360</v>
      </c>
      <c r="I575" t="s">
        <v>341</v>
      </c>
      <c r="J575" t="s">
        <v>113</v>
      </c>
      <c r="K575" t="s">
        <v>114</v>
      </c>
      <c r="L575" t="s">
        <v>114</v>
      </c>
      <c r="M575" t="s">
        <v>114</v>
      </c>
      <c r="N575" t="s">
        <v>114</v>
      </c>
      <c r="O575" t="s">
        <v>114</v>
      </c>
      <c r="P575" t="s">
        <v>114</v>
      </c>
      <c r="Q575" t="s">
        <v>114</v>
      </c>
      <c r="R575" t="s">
        <v>114</v>
      </c>
      <c r="S575" t="s">
        <v>114</v>
      </c>
      <c r="T575" t="s">
        <v>114</v>
      </c>
      <c r="V575" t="s">
        <v>114</v>
      </c>
      <c r="W575" t="s">
        <v>114</v>
      </c>
      <c r="Y575" t="s">
        <v>4963</v>
      </c>
      <c r="Z575" t="s">
        <v>4964</v>
      </c>
      <c r="AA575" t="s">
        <v>4697</v>
      </c>
      <c r="AB575" t="s">
        <v>4965</v>
      </c>
      <c r="AC575" t="s">
        <v>4966</v>
      </c>
      <c r="AG575" t="s">
        <v>123</v>
      </c>
      <c r="AH575" t="s">
        <v>124</v>
      </c>
      <c r="AI575" t="s">
        <v>4967</v>
      </c>
      <c r="AJ575" t="s">
        <v>126</v>
      </c>
      <c r="AK575" t="s">
        <v>127</v>
      </c>
      <c r="AM575" t="s">
        <v>4968</v>
      </c>
      <c r="AN575" t="s">
        <v>3570</v>
      </c>
      <c r="AO575" t="s">
        <v>4969</v>
      </c>
      <c r="AP575" t="s">
        <v>131</v>
      </c>
      <c r="AQ575" t="s">
        <v>132</v>
      </c>
      <c r="AR575" t="s">
        <v>202</v>
      </c>
      <c r="AS575" t="s">
        <v>4970</v>
      </c>
      <c r="AU575" t="s">
        <v>810</v>
      </c>
      <c r="AX575" t="s">
        <v>177</v>
      </c>
      <c r="AY575" t="s">
        <v>364</v>
      </c>
      <c r="AZ575" t="s">
        <v>4971</v>
      </c>
      <c r="BB575" t="s">
        <v>140</v>
      </c>
    </row>
    <row r="576" spans="1:54" x14ac:dyDescent="0.35">
      <c r="A576" t="s">
        <v>4972</v>
      </c>
      <c r="B576" t="s">
        <v>107</v>
      </c>
      <c r="C576" t="s">
        <v>107</v>
      </c>
      <c r="E576" t="s">
        <v>108</v>
      </c>
      <c r="F576" t="s">
        <v>4973</v>
      </c>
      <c r="G576" t="s">
        <v>4974</v>
      </c>
      <c r="H576" t="s">
        <v>4975</v>
      </c>
      <c r="I576" t="s">
        <v>4976</v>
      </c>
      <c r="J576" t="s">
        <v>113</v>
      </c>
      <c r="K576" t="s">
        <v>114</v>
      </c>
      <c r="L576" t="s">
        <v>4977</v>
      </c>
      <c r="M576" t="s">
        <v>4977</v>
      </c>
      <c r="N576" t="s">
        <v>114</v>
      </c>
      <c r="O576" t="s">
        <v>117</v>
      </c>
      <c r="P576" t="s">
        <v>858</v>
      </c>
      <c r="Q576" t="s">
        <v>114</v>
      </c>
      <c r="R576" t="s">
        <v>180</v>
      </c>
      <c r="S576" t="s">
        <v>114</v>
      </c>
      <c r="T576" t="s">
        <v>180</v>
      </c>
      <c r="V576" t="s">
        <v>114</v>
      </c>
      <c r="W576" t="s">
        <v>858</v>
      </c>
      <c r="Y576" t="s">
        <v>4978</v>
      </c>
      <c r="Z576" t="s">
        <v>4979</v>
      </c>
      <c r="AA576" t="s">
        <v>4697</v>
      </c>
      <c r="AB576" t="s">
        <v>4980</v>
      </c>
      <c r="AC576" t="s">
        <v>4981</v>
      </c>
      <c r="AG576" t="s">
        <v>123</v>
      </c>
      <c r="AH576" t="s">
        <v>124</v>
      </c>
      <c r="AI576" t="s">
        <v>4982</v>
      </c>
      <c r="AJ576" t="s">
        <v>126</v>
      </c>
      <c r="AK576" t="s">
        <v>127</v>
      </c>
      <c r="AM576" t="s">
        <v>4983</v>
      </c>
      <c r="AN576" t="s">
        <v>4984</v>
      </c>
      <c r="AO576" t="s">
        <v>4985</v>
      </c>
      <c r="AP576" t="s">
        <v>131</v>
      </c>
      <c r="AQ576" t="s">
        <v>403</v>
      </c>
      <c r="AR576" t="s">
        <v>2402</v>
      </c>
      <c r="AS576" t="s">
        <v>4986</v>
      </c>
      <c r="AU576" t="s">
        <v>434</v>
      </c>
      <c r="AW576" t="s">
        <v>655</v>
      </c>
      <c r="AX576" t="s">
        <v>547</v>
      </c>
      <c r="AY576" t="s">
        <v>4987</v>
      </c>
      <c r="AZ576" t="s">
        <v>4988</v>
      </c>
      <c r="BB576" t="s">
        <v>140</v>
      </c>
    </row>
    <row r="577" spans="1:54" x14ac:dyDescent="0.35">
      <c r="A577" t="s">
        <v>4989</v>
      </c>
      <c r="B577" t="s">
        <v>107</v>
      </c>
      <c r="C577" t="s">
        <v>107</v>
      </c>
      <c r="E577" t="s">
        <v>108</v>
      </c>
      <c r="F577" t="s">
        <v>613</v>
      </c>
      <c r="G577" t="s">
        <v>614</v>
      </c>
      <c r="H577" t="s">
        <v>615</v>
      </c>
      <c r="I577" t="s">
        <v>271</v>
      </c>
      <c r="J577" t="s">
        <v>113</v>
      </c>
      <c r="K577" t="s">
        <v>114</v>
      </c>
      <c r="L577" t="s">
        <v>2550</v>
      </c>
      <c r="M577" t="s">
        <v>2550</v>
      </c>
      <c r="N577" t="s">
        <v>114</v>
      </c>
      <c r="O577" t="s">
        <v>2551</v>
      </c>
      <c r="P577" t="s">
        <v>2552</v>
      </c>
      <c r="Q577" t="s">
        <v>114</v>
      </c>
      <c r="R577" t="s">
        <v>180</v>
      </c>
      <c r="S577" t="s">
        <v>114</v>
      </c>
      <c r="T577" t="s">
        <v>180</v>
      </c>
      <c r="V577" t="s">
        <v>114</v>
      </c>
      <c r="W577" t="s">
        <v>2552</v>
      </c>
      <c r="Y577" t="s">
        <v>4990</v>
      </c>
      <c r="Z577" t="s">
        <v>4991</v>
      </c>
      <c r="AA577" t="s">
        <v>4697</v>
      </c>
      <c r="AB577" t="s">
        <v>4992</v>
      </c>
      <c r="AC577" t="s">
        <v>4991</v>
      </c>
      <c r="AG577" t="s">
        <v>123</v>
      </c>
      <c r="AH577" t="s">
        <v>124</v>
      </c>
      <c r="AI577" t="s">
        <v>4993</v>
      </c>
      <c r="AJ577" t="s">
        <v>126</v>
      </c>
      <c r="AK577" t="s">
        <v>127</v>
      </c>
      <c r="AM577" t="s">
        <v>4994</v>
      </c>
      <c r="AN577" t="s">
        <v>4995</v>
      </c>
      <c r="AO577" t="s">
        <v>4996</v>
      </c>
      <c r="AP577" t="s">
        <v>131</v>
      </c>
      <c r="AQ577" t="s">
        <v>132</v>
      </c>
      <c r="AR577" t="s">
        <v>331</v>
      </c>
      <c r="AS577" t="s">
        <v>4997</v>
      </c>
      <c r="AU577" t="s">
        <v>1478</v>
      </c>
      <c r="AW577" t="s">
        <v>136</v>
      </c>
      <c r="AX577" t="s">
        <v>177</v>
      </c>
      <c r="AY577" t="s">
        <v>627</v>
      </c>
      <c r="AZ577" t="s">
        <v>4998</v>
      </c>
      <c r="BB577" t="s">
        <v>140</v>
      </c>
    </row>
    <row r="578" spans="1:54" x14ac:dyDescent="0.35">
      <c r="A578" t="s">
        <v>4999</v>
      </c>
      <c r="B578" t="s">
        <v>107</v>
      </c>
      <c r="C578" t="s">
        <v>107</v>
      </c>
      <c r="E578" t="s">
        <v>108</v>
      </c>
      <c r="F578" t="s">
        <v>158</v>
      </c>
      <c r="G578" t="s">
        <v>159</v>
      </c>
      <c r="H578" t="s">
        <v>111</v>
      </c>
      <c r="I578" t="s">
        <v>341</v>
      </c>
      <c r="J578" t="s">
        <v>113</v>
      </c>
      <c r="K578" t="s">
        <v>114</v>
      </c>
      <c r="L578" t="s">
        <v>161</v>
      </c>
      <c r="M578" t="s">
        <v>161</v>
      </c>
      <c r="N578" t="s">
        <v>672</v>
      </c>
      <c r="O578" t="s">
        <v>1110</v>
      </c>
      <c r="P578" t="s">
        <v>117</v>
      </c>
      <c r="Q578" t="s">
        <v>114</v>
      </c>
      <c r="R578" t="s">
        <v>180</v>
      </c>
      <c r="S578" t="s">
        <v>114</v>
      </c>
      <c r="T578" t="s">
        <v>180</v>
      </c>
      <c r="V578" t="s">
        <v>114</v>
      </c>
      <c r="W578" t="s">
        <v>117</v>
      </c>
      <c r="Y578" t="s">
        <v>5000</v>
      </c>
      <c r="Z578" t="s">
        <v>5001</v>
      </c>
      <c r="AA578" t="s">
        <v>4697</v>
      </c>
      <c r="AB578" t="s">
        <v>5002</v>
      </c>
      <c r="AC578" t="s">
        <v>5001</v>
      </c>
      <c r="AG578" t="s">
        <v>123</v>
      </c>
      <c r="AH578" t="s">
        <v>124</v>
      </c>
      <c r="AI578" t="s">
        <v>5003</v>
      </c>
      <c r="AJ578" t="s">
        <v>126</v>
      </c>
      <c r="AK578" t="s">
        <v>127</v>
      </c>
      <c r="AM578" t="s">
        <v>5004</v>
      </c>
      <c r="AN578" t="s">
        <v>5005</v>
      </c>
      <c r="AO578" t="s">
        <v>5006</v>
      </c>
      <c r="AP578" t="s">
        <v>131</v>
      </c>
      <c r="AQ578" t="s">
        <v>132</v>
      </c>
      <c r="AR578" t="s">
        <v>756</v>
      </c>
      <c r="AS578" t="s">
        <v>3504</v>
      </c>
      <c r="AU578" t="s">
        <v>434</v>
      </c>
      <c r="AW578" t="s">
        <v>136</v>
      </c>
      <c r="AX578" t="s">
        <v>177</v>
      </c>
      <c r="AY578" t="s">
        <v>138</v>
      </c>
      <c r="AZ578" t="s">
        <v>5007</v>
      </c>
      <c r="BB578" t="s">
        <v>140</v>
      </c>
    </row>
    <row r="579" spans="1:54" x14ac:dyDescent="0.35">
      <c r="A579" t="s">
        <v>5008</v>
      </c>
      <c r="B579" t="s">
        <v>336</v>
      </c>
      <c r="C579" t="s">
        <v>336</v>
      </c>
      <c r="D579" t="s">
        <v>337</v>
      </c>
      <c r="E579" t="s">
        <v>108</v>
      </c>
      <c r="F579" t="s">
        <v>268</v>
      </c>
      <c r="G579" t="s">
        <v>269</v>
      </c>
      <c r="H579" t="s">
        <v>2268</v>
      </c>
      <c r="I579" t="s">
        <v>271</v>
      </c>
      <c r="J579" t="s">
        <v>113</v>
      </c>
      <c r="K579" t="s">
        <v>113</v>
      </c>
      <c r="L579" t="s">
        <v>114</v>
      </c>
      <c r="M579" t="s">
        <v>114</v>
      </c>
      <c r="N579" t="s">
        <v>114</v>
      </c>
      <c r="O579" t="s">
        <v>114</v>
      </c>
      <c r="P579" t="s">
        <v>114</v>
      </c>
      <c r="Q579" t="s">
        <v>114</v>
      </c>
      <c r="R579" t="s">
        <v>180</v>
      </c>
      <c r="S579" t="s">
        <v>114</v>
      </c>
      <c r="T579" t="s">
        <v>180</v>
      </c>
      <c r="V579" t="s">
        <v>114</v>
      </c>
      <c r="W579" t="s">
        <v>5009</v>
      </c>
      <c r="X579" t="s">
        <v>114</v>
      </c>
      <c r="Y579" t="s">
        <v>5010</v>
      </c>
      <c r="AD579" t="s">
        <v>5011</v>
      </c>
      <c r="AE579" t="s">
        <v>346</v>
      </c>
      <c r="AF579" t="s">
        <v>347</v>
      </c>
      <c r="AG579" t="s">
        <v>123</v>
      </c>
      <c r="AH579" t="s">
        <v>124</v>
      </c>
      <c r="AJ579" t="s">
        <v>126</v>
      </c>
      <c r="AM579" t="s">
        <v>5004</v>
      </c>
      <c r="AN579" t="s">
        <v>5005</v>
      </c>
      <c r="AO579" t="s">
        <v>5006</v>
      </c>
      <c r="AP579" t="s">
        <v>131</v>
      </c>
      <c r="AQ579" t="s">
        <v>132</v>
      </c>
      <c r="AR579" t="s">
        <v>756</v>
      </c>
      <c r="AS579" t="s">
        <v>3504</v>
      </c>
      <c r="AU579" t="s">
        <v>434</v>
      </c>
      <c r="AW579" t="s">
        <v>136</v>
      </c>
      <c r="AX579" t="s">
        <v>272</v>
      </c>
      <c r="AY579" t="s">
        <v>273</v>
      </c>
      <c r="AZ579" t="s">
        <v>5012</v>
      </c>
      <c r="BB579" t="s">
        <v>140</v>
      </c>
    </row>
    <row r="580" spans="1:54" x14ac:dyDescent="0.35">
      <c r="A580" t="s">
        <v>5008</v>
      </c>
      <c r="B580" t="s">
        <v>336</v>
      </c>
      <c r="C580" t="s">
        <v>336</v>
      </c>
      <c r="D580" t="s">
        <v>337</v>
      </c>
      <c r="E580" t="s">
        <v>108</v>
      </c>
      <c r="F580" t="s">
        <v>484</v>
      </c>
      <c r="G580" t="s">
        <v>159</v>
      </c>
      <c r="H580" t="s">
        <v>5013</v>
      </c>
      <c r="I580" t="s">
        <v>341</v>
      </c>
      <c r="J580" t="s">
        <v>113</v>
      </c>
      <c r="K580" t="s">
        <v>113</v>
      </c>
      <c r="L580" t="s">
        <v>1985</v>
      </c>
      <c r="M580" t="s">
        <v>1985</v>
      </c>
      <c r="N580" t="s">
        <v>5014</v>
      </c>
      <c r="O580" t="s">
        <v>5015</v>
      </c>
      <c r="P580" t="s">
        <v>5009</v>
      </c>
      <c r="Q580" t="s">
        <v>114</v>
      </c>
      <c r="R580" t="s">
        <v>180</v>
      </c>
      <c r="S580" t="s">
        <v>114</v>
      </c>
      <c r="T580" t="s">
        <v>180</v>
      </c>
      <c r="V580" t="s">
        <v>114</v>
      </c>
      <c r="W580" t="s">
        <v>5009</v>
      </c>
      <c r="X580" t="s">
        <v>5009</v>
      </c>
      <c r="Y580" t="s">
        <v>5010</v>
      </c>
      <c r="AD580" t="s">
        <v>5011</v>
      </c>
      <c r="AE580" t="s">
        <v>346</v>
      </c>
      <c r="AF580" t="s">
        <v>347</v>
      </c>
      <c r="AG580" t="s">
        <v>123</v>
      </c>
      <c r="AH580" t="s">
        <v>124</v>
      </c>
      <c r="AJ580" t="s">
        <v>126</v>
      </c>
      <c r="AM580" t="s">
        <v>5004</v>
      </c>
      <c r="AN580" t="s">
        <v>5005</v>
      </c>
      <c r="AO580" t="s">
        <v>5006</v>
      </c>
      <c r="AP580" t="s">
        <v>131</v>
      </c>
      <c r="AQ580" t="s">
        <v>132</v>
      </c>
      <c r="AR580" t="s">
        <v>756</v>
      </c>
      <c r="AS580" t="s">
        <v>3504</v>
      </c>
      <c r="AU580" t="s">
        <v>434</v>
      </c>
      <c r="AW580" t="s">
        <v>136</v>
      </c>
      <c r="AX580" t="s">
        <v>177</v>
      </c>
      <c r="AY580" t="s">
        <v>356</v>
      </c>
      <c r="AZ580" t="s">
        <v>5012</v>
      </c>
      <c r="BB580" t="s">
        <v>140</v>
      </c>
    </row>
    <row r="581" spans="1:54" x14ac:dyDescent="0.35">
      <c r="A581" t="s">
        <v>5016</v>
      </c>
      <c r="B581" t="s">
        <v>107</v>
      </c>
      <c r="C581" t="s">
        <v>107</v>
      </c>
      <c r="E581" t="s">
        <v>108</v>
      </c>
      <c r="F581" t="s">
        <v>158</v>
      </c>
      <c r="G581" t="s">
        <v>159</v>
      </c>
      <c r="H581" t="s">
        <v>111</v>
      </c>
      <c r="I581" t="s">
        <v>341</v>
      </c>
      <c r="J581" t="s">
        <v>113</v>
      </c>
      <c r="K581" t="s">
        <v>114</v>
      </c>
      <c r="L581" t="s">
        <v>161</v>
      </c>
      <c r="M581" t="s">
        <v>161</v>
      </c>
      <c r="N581" t="s">
        <v>672</v>
      </c>
      <c r="O581" t="s">
        <v>1110</v>
      </c>
      <c r="P581" t="s">
        <v>117</v>
      </c>
      <c r="Q581" t="s">
        <v>114</v>
      </c>
      <c r="R581" t="s">
        <v>142</v>
      </c>
      <c r="S581" t="s">
        <v>114</v>
      </c>
      <c r="T581" t="s">
        <v>142</v>
      </c>
      <c r="V581" t="s">
        <v>114</v>
      </c>
      <c r="W581" t="s">
        <v>117</v>
      </c>
      <c r="Y581" t="s">
        <v>5017</v>
      </c>
      <c r="Z581" t="s">
        <v>5018</v>
      </c>
      <c r="AA581" t="s">
        <v>4697</v>
      </c>
      <c r="AB581" t="s">
        <v>5019</v>
      </c>
      <c r="AC581" t="s">
        <v>5020</v>
      </c>
      <c r="AG581" t="s">
        <v>123</v>
      </c>
      <c r="AH581" t="s">
        <v>124</v>
      </c>
      <c r="AI581" t="s">
        <v>5021</v>
      </c>
      <c r="AJ581" t="s">
        <v>126</v>
      </c>
      <c r="AK581" t="s">
        <v>127</v>
      </c>
      <c r="AM581" t="s">
        <v>5022</v>
      </c>
      <c r="AN581" t="s">
        <v>5023</v>
      </c>
      <c r="AO581" t="s">
        <v>5024</v>
      </c>
      <c r="AP581" t="s">
        <v>131</v>
      </c>
      <c r="AQ581" t="s">
        <v>132</v>
      </c>
      <c r="AR581" t="s">
        <v>152</v>
      </c>
      <c r="AS581" t="s">
        <v>3137</v>
      </c>
      <c r="AU581" t="s">
        <v>654</v>
      </c>
      <c r="AW581" t="s">
        <v>176</v>
      </c>
      <c r="AX581" t="s">
        <v>177</v>
      </c>
      <c r="AY581" t="s">
        <v>138</v>
      </c>
      <c r="AZ581" t="s">
        <v>5025</v>
      </c>
      <c r="BB581" t="s">
        <v>140</v>
      </c>
    </row>
    <row r="582" spans="1:54" x14ac:dyDescent="0.35">
      <c r="A582" t="s">
        <v>5016</v>
      </c>
      <c r="B582" t="s">
        <v>107</v>
      </c>
      <c r="C582" t="s">
        <v>107</v>
      </c>
      <c r="E582" t="s">
        <v>108</v>
      </c>
      <c r="F582" t="s">
        <v>268</v>
      </c>
      <c r="G582" t="s">
        <v>269</v>
      </c>
      <c r="H582" t="s">
        <v>2268</v>
      </c>
      <c r="I582" t="s">
        <v>271</v>
      </c>
      <c r="J582" t="s">
        <v>113</v>
      </c>
      <c r="K582" t="s">
        <v>114</v>
      </c>
      <c r="L582" t="s">
        <v>114</v>
      </c>
      <c r="M582" t="s">
        <v>114</v>
      </c>
      <c r="N582" t="s">
        <v>114</v>
      </c>
      <c r="O582" t="s">
        <v>114</v>
      </c>
      <c r="P582" t="s">
        <v>114</v>
      </c>
      <c r="Q582" t="s">
        <v>114</v>
      </c>
      <c r="R582" t="s">
        <v>142</v>
      </c>
      <c r="S582" t="s">
        <v>114</v>
      </c>
      <c r="T582" t="s">
        <v>142</v>
      </c>
      <c r="V582" t="s">
        <v>114</v>
      </c>
      <c r="W582" t="s">
        <v>117</v>
      </c>
      <c r="Y582" t="s">
        <v>5017</v>
      </c>
      <c r="Z582" t="s">
        <v>5018</v>
      </c>
      <c r="AA582" t="s">
        <v>4697</v>
      </c>
      <c r="AB582" t="s">
        <v>5019</v>
      </c>
      <c r="AC582" t="s">
        <v>5020</v>
      </c>
      <c r="AG582" t="s">
        <v>123</v>
      </c>
      <c r="AH582" t="s">
        <v>124</v>
      </c>
      <c r="AI582" t="s">
        <v>5021</v>
      </c>
      <c r="AJ582" t="s">
        <v>126</v>
      </c>
      <c r="AK582" t="s">
        <v>127</v>
      </c>
      <c r="AM582" t="s">
        <v>5022</v>
      </c>
      <c r="AN582" t="s">
        <v>5023</v>
      </c>
      <c r="AO582" t="s">
        <v>5024</v>
      </c>
      <c r="AP582" t="s">
        <v>131</v>
      </c>
      <c r="AQ582" t="s">
        <v>132</v>
      </c>
      <c r="AR582" t="s">
        <v>152</v>
      </c>
      <c r="AS582" t="s">
        <v>3137</v>
      </c>
      <c r="AU582" t="s">
        <v>654</v>
      </c>
      <c r="AW582" t="s">
        <v>176</v>
      </c>
      <c r="AX582" t="s">
        <v>272</v>
      </c>
      <c r="AY582" t="s">
        <v>273</v>
      </c>
      <c r="AZ582" t="s">
        <v>5025</v>
      </c>
      <c r="BB582" t="s">
        <v>140</v>
      </c>
    </row>
    <row r="583" spans="1:54" x14ac:dyDescent="0.35">
      <c r="A583" t="s">
        <v>5026</v>
      </c>
      <c r="B583" t="s">
        <v>107</v>
      </c>
      <c r="C583" t="s">
        <v>107</v>
      </c>
      <c r="E583" t="s">
        <v>108</v>
      </c>
      <c r="F583" t="s">
        <v>158</v>
      </c>
      <c r="G583" t="s">
        <v>159</v>
      </c>
      <c r="H583" t="s">
        <v>111</v>
      </c>
      <c r="I583" t="s">
        <v>341</v>
      </c>
      <c r="J583" t="s">
        <v>113</v>
      </c>
      <c r="K583" t="s">
        <v>114</v>
      </c>
      <c r="L583" t="s">
        <v>161</v>
      </c>
      <c r="M583" t="s">
        <v>161</v>
      </c>
      <c r="N583" t="s">
        <v>5027</v>
      </c>
      <c r="O583" t="s">
        <v>1110</v>
      </c>
      <c r="P583" t="s">
        <v>5028</v>
      </c>
      <c r="Q583" t="s">
        <v>114</v>
      </c>
      <c r="R583" t="s">
        <v>142</v>
      </c>
      <c r="S583" t="s">
        <v>114</v>
      </c>
      <c r="T583" t="s">
        <v>142</v>
      </c>
      <c r="V583" t="s">
        <v>114</v>
      </c>
      <c r="W583" t="s">
        <v>5028</v>
      </c>
      <c r="Y583" t="s">
        <v>5029</v>
      </c>
      <c r="Z583" t="s">
        <v>5030</v>
      </c>
      <c r="AA583" t="s">
        <v>5031</v>
      </c>
      <c r="AB583" t="s">
        <v>5032</v>
      </c>
      <c r="AC583" t="s">
        <v>5033</v>
      </c>
      <c r="AG583" t="s">
        <v>123</v>
      </c>
      <c r="AH583" t="s">
        <v>124</v>
      </c>
      <c r="AI583" t="s">
        <v>5034</v>
      </c>
      <c r="AJ583" t="s">
        <v>126</v>
      </c>
      <c r="AK583" t="s">
        <v>127</v>
      </c>
      <c r="AM583" t="s">
        <v>5035</v>
      </c>
      <c r="AN583" t="s">
        <v>5036</v>
      </c>
      <c r="AO583" t="s">
        <v>5037</v>
      </c>
      <c r="AP583" t="s">
        <v>131</v>
      </c>
      <c r="AQ583" t="s">
        <v>132</v>
      </c>
      <c r="AR583" t="s">
        <v>1440</v>
      </c>
      <c r="AS583" t="s">
        <v>5038</v>
      </c>
      <c r="AU583" t="s">
        <v>175</v>
      </c>
      <c r="AW583" t="s">
        <v>655</v>
      </c>
      <c r="AX583" t="s">
        <v>177</v>
      </c>
      <c r="AY583" t="s">
        <v>138</v>
      </c>
      <c r="AZ583" t="s">
        <v>5039</v>
      </c>
      <c r="BB583" t="s">
        <v>140</v>
      </c>
    </row>
    <row r="584" spans="1:54" x14ac:dyDescent="0.35">
      <c r="A584" t="s">
        <v>5026</v>
      </c>
      <c r="B584" t="s">
        <v>107</v>
      </c>
      <c r="C584" t="s">
        <v>107</v>
      </c>
      <c r="E584" t="s">
        <v>108</v>
      </c>
      <c r="F584" t="s">
        <v>268</v>
      </c>
      <c r="G584" t="s">
        <v>269</v>
      </c>
      <c r="H584" t="s">
        <v>2268</v>
      </c>
      <c r="I584" t="s">
        <v>271</v>
      </c>
      <c r="J584" t="s">
        <v>113</v>
      </c>
      <c r="K584" t="s">
        <v>114</v>
      </c>
      <c r="L584" t="s">
        <v>114</v>
      </c>
      <c r="M584" t="s">
        <v>114</v>
      </c>
      <c r="N584" t="s">
        <v>114</v>
      </c>
      <c r="O584" t="s">
        <v>114</v>
      </c>
      <c r="P584" t="s">
        <v>114</v>
      </c>
      <c r="Q584" t="s">
        <v>114</v>
      </c>
      <c r="R584" t="s">
        <v>142</v>
      </c>
      <c r="S584" t="s">
        <v>114</v>
      </c>
      <c r="T584" t="s">
        <v>142</v>
      </c>
      <c r="V584" t="s">
        <v>114</v>
      </c>
      <c r="W584" t="s">
        <v>5028</v>
      </c>
      <c r="Y584" t="s">
        <v>5029</v>
      </c>
      <c r="Z584" t="s">
        <v>5030</v>
      </c>
      <c r="AA584" t="s">
        <v>5031</v>
      </c>
      <c r="AB584" t="s">
        <v>5032</v>
      </c>
      <c r="AC584" t="s">
        <v>5033</v>
      </c>
      <c r="AG584" t="s">
        <v>123</v>
      </c>
      <c r="AH584" t="s">
        <v>124</v>
      </c>
      <c r="AI584" t="s">
        <v>5034</v>
      </c>
      <c r="AJ584" t="s">
        <v>126</v>
      </c>
      <c r="AK584" t="s">
        <v>127</v>
      </c>
      <c r="AM584" t="s">
        <v>5035</v>
      </c>
      <c r="AN584" t="s">
        <v>5036</v>
      </c>
      <c r="AO584" t="s">
        <v>5037</v>
      </c>
      <c r="AP584" t="s">
        <v>131</v>
      </c>
      <c r="AQ584" t="s">
        <v>132</v>
      </c>
      <c r="AR584" t="s">
        <v>1440</v>
      </c>
      <c r="AS584" t="s">
        <v>5038</v>
      </c>
      <c r="AU584" t="s">
        <v>175</v>
      </c>
      <c r="AW584" t="s">
        <v>655</v>
      </c>
      <c r="AX584" t="s">
        <v>272</v>
      </c>
      <c r="AY584" t="s">
        <v>273</v>
      </c>
      <c r="AZ584" t="s">
        <v>5039</v>
      </c>
      <c r="BB584" t="s">
        <v>140</v>
      </c>
    </row>
    <row r="585" spans="1:54" x14ac:dyDescent="0.35">
      <c r="A585" t="s">
        <v>5040</v>
      </c>
      <c r="B585" t="s">
        <v>107</v>
      </c>
      <c r="C585" t="s">
        <v>107</v>
      </c>
      <c r="E585" t="s">
        <v>108</v>
      </c>
      <c r="F585" t="s">
        <v>158</v>
      </c>
      <c r="G585" t="s">
        <v>159</v>
      </c>
      <c r="H585" t="s">
        <v>111</v>
      </c>
      <c r="I585" t="s">
        <v>341</v>
      </c>
      <c r="J585" t="s">
        <v>113</v>
      </c>
      <c r="K585" t="s">
        <v>114</v>
      </c>
      <c r="L585" t="s">
        <v>161</v>
      </c>
      <c r="M585" t="s">
        <v>161</v>
      </c>
      <c r="N585" t="s">
        <v>1679</v>
      </c>
      <c r="O585" t="s">
        <v>1110</v>
      </c>
      <c r="P585" t="s">
        <v>1680</v>
      </c>
      <c r="Q585" t="s">
        <v>114</v>
      </c>
      <c r="R585" t="s">
        <v>180</v>
      </c>
      <c r="S585" t="s">
        <v>114</v>
      </c>
      <c r="T585" t="s">
        <v>180</v>
      </c>
      <c r="V585" t="s">
        <v>114</v>
      </c>
      <c r="W585" t="s">
        <v>1680</v>
      </c>
      <c r="Y585" t="s">
        <v>5041</v>
      </c>
      <c r="Z585" t="s">
        <v>5042</v>
      </c>
      <c r="AA585" t="s">
        <v>5031</v>
      </c>
      <c r="AB585" t="s">
        <v>5043</v>
      </c>
      <c r="AC585" t="s">
        <v>5042</v>
      </c>
      <c r="AG585" t="s">
        <v>123</v>
      </c>
      <c r="AH585" t="s">
        <v>124</v>
      </c>
      <c r="AI585" t="s">
        <v>5044</v>
      </c>
      <c r="AJ585" t="s">
        <v>126</v>
      </c>
      <c r="AK585" t="s">
        <v>127</v>
      </c>
      <c r="AM585" t="s">
        <v>5045</v>
      </c>
      <c r="AN585" t="s">
        <v>5046</v>
      </c>
      <c r="AO585" t="s">
        <v>5047</v>
      </c>
      <c r="AP585" t="s">
        <v>131</v>
      </c>
      <c r="AQ585" t="s">
        <v>132</v>
      </c>
      <c r="AR585" t="s">
        <v>2312</v>
      </c>
      <c r="AS585" t="s">
        <v>2313</v>
      </c>
      <c r="AU585" t="s">
        <v>300</v>
      </c>
      <c r="AW585" t="s">
        <v>136</v>
      </c>
      <c r="AX585" t="s">
        <v>177</v>
      </c>
      <c r="AY585" t="s">
        <v>138</v>
      </c>
      <c r="AZ585" t="s">
        <v>5048</v>
      </c>
      <c r="BB585" t="s">
        <v>140</v>
      </c>
    </row>
    <row r="586" spans="1:54" x14ac:dyDescent="0.35">
      <c r="A586" t="s">
        <v>5040</v>
      </c>
      <c r="B586" t="s">
        <v>107</v>
      </c>
      <c r="C586" t="s">
        <v>107</v>
      </c>
      <c r="E586" t="s">
        <v>108</v>
      </c>
      <c r="F586" t="s">
        <v>268</v>
      </c>
      <c r="G586" t="s">
        <v>269</v>
      </c>
      <c r="H586" t="s">
        <v>2268</v>
      </c>
      <c r="I586" t="s">
        <v>271</v>
      </c>
      <c r="J586" t="s">
        <v>113</v>
      </c>
      <c r="K586" t="s">
        <v>114</v>
      </c>
      <c r="L586" t="s">
        <v>114</v>
      </c>
      <c r="M586" t="s">
        <v>114</v>
      </c>
      <c r="N586" t="s">
        <v>114</v>
      </c>
      <c r="O586" t="s">
        <v>114</v>
      </c>
      <c r="P586" t="s">
        <v>114</v>
      </c>
      <c r="Q586" t="s">
        <v>114</v>
      </c>
      <c r="R586" t="s">
        <v>180</v>
      </c>
      <c r="S586" t="s">
        <v>114</v>
      </c>
      <c r="T586" t="s">
        <v>180</v>
      </c>
      <c r="V586" t="s">
        <v>114</v>
      </c>
      <c r="W586" t="s">
        <v>1680</v>
      </c>
      <c r="Y586" t="s">
        <v>5041</v>
      </c>
      <c r="Z586" t="s">
        <v>5042</v>
      </c>
      <c r="AA586" t="s">
        <v>5031</v>
      </c>
      <c r="AB586" t="s">
        <v>5043</v>
      </c>
      <c r="AC586" t="s">
        <v>5042</v>
      </c>
      <c r="AG586" t="s">
        <v>123</v>
      </c>
      <c r="AH586" t="s">
        <v>124</v>
      </c>
      <c r="AI586" t="s">
        <v>5044</v>
      </c>
      <c r="AJ586" t="s">
        <v>126</v>
      </c>
      <c r="AK586" t="s">
        <v>127</v>
      </c>
      <c r="AM586" t="s">
        <v>5045</v>
      </c>
      <c r="AN586" t="s">
        <v>5046</v>
      </c>
      <c r="AO586" t="s">
        <v>5047</v>
      </c>
      <c r="AP586" t="s">
        <v>131</v>
      </c>
      <c r="AQ586" t="s">
        <v>132</v>
      </c>
      <c r="AR586" t="s">
        <v>2312</v>
      </c>
      <c r="AS586" t="s">
        <v>2313</v>
      </c>
      <c r="AU586" t="s">
        <v>300</v>
      </c>
      <c r="AW586" t="s">
        <v>136</v>
      </c>
      <c r="AX586" t="s">
        <v>272</v>
      </c>
      <c r="AY586" t="s">
        <v>273</v>
      </c>
      <c r="AZ586" t="s">
        <v>5048</v>
      </c>
      <c r="BB586" t="s">
        <v>140</v>
      </c>
    </row>
    <row r="587" spans="1:54" x14ac:dyDescent="0.35">
      <c r="A587" t="s">
        <v>5049</v>
      </c>
      <c r="B587" t="s">
        <v>107</v>
      </c>
      <c r="C587" t="s">
        <v>107</v>
      </c>
      <c r="E587" t="s">
        <v>108</v>
      </c>
      <c r="F587" t="s">
        <v>338</v>
      </c>
      <c r="G587" t="s">
        <v>339</v>
      </c>
      <c r="H587" t="s">
        <v>340</v>
      </c>
      <c r="I587" t="s">
        <v>341</v>
      </c>
      <c r="J587" t="s">
        <v>113</v>
      </c>
      <c r="K587" t="s">
        <v>114</v>
      </c>
      <c r="L587" t="s">
        <v>114</v>
      </c>
      <c r="M587" t="s">
        <v>114</v>
      </c>
      <c r="N587" t="s">
        <v>114</v>
      </c>
      <c r="O587" t="s">
        <v>114</v>
      </c>
      <c r="P587" t="s">
        <v>114</v>
      </c>
      <c r="Q587" t="s">
        <v>114</v>
      </c>
      <c r="R587" t="s">
        <v>180</v>
      </c>
      <c r="S587" t="s">
        <v>114</v>
      </c>
      <c r="T587" t="s">
        <v>180</v>
      </c>
      <c r="V587" t="s">
        <v>114</v>
      </c>
      <c r="W587" t="s">
        <v>3459</v>
      </c>
      <c r="Y587" t="s">
        <v>5050</v>
      </c>
      <c r="Z587" t="s">
        <v>5051</v>
      </c>
      <c r="AA587" t="s">
        <v>5031</v>
      </c>
      <c r="AB587" t="s">
        <v>5052</v>
      </c>
      <c r="AC587" t="s">
        <v>5051</v>
      </c>
      <c r="AG587" t="s">
        <v>123</v>
      </c>
      <c r="AH587" t="s">
        <v>124</v>
      </c>
      <c r="AI587" t="s">
        <v>5053</v>
      </c>
      <c r="AJ587" t="s">
        <v>126</v>
      </c>
      <c r="AK587" t="s">
        <v>127</v>
      </c>
      <c r="AM587" t="s">
        <v>5054</v>
      </c>
      <c r="AN587" t="s">
        <v>5055</v>
      </c>
      <c r="AO587" t="s">
        <v>5056</v>
      </c>
      <c r="AP587" t="s">
        <v>131</v>
      </c>
      <c r="AQ587" t="s">
        <v>132</v>
      </c>
      <c r="AR587" t="s">
        <v>133</v>
      </c>
      <c r="AS587" t="s">
        <v>4741</v>
      </c>
      <c r="AU587" t="s">
        <v>4587</v>
      </c>
      <c r="AW587" t="s">
        <v>136</v>
      </c>
      <c r="AX587" t="s">
        <v>177</v>
      </c>
      <c r="AY587" t="s">
        <v>356</v>
      </c>
      <c r="AZ587" t="s">
        <v>5057</v>
      </c>
      <c r="BB587" t="s">
        <v>140</v>
      </c>
    </row>
    <row r="588" spans="1:54" x14ac:dyDescent="0.35">
      <c r="A588" t="s">
        <v>5049</v>
      </c>
      <c r="B588" t="s">
        <v>107</v>
      </c>
      <c r="C588" t="s">
        <v>107</v>
      </c>
      <c r="E588" t="s">
        <v>108</v>
      </c>
      <c r="F588" t="s">
        <v>358</v>
      </c>
      <c r="G588" t="s">
        <v>359</v>
      </c>
      <c r="H588" t="s">
        <v>360</v>
      </c>
      <c r="I588" t="s">
        <v>341</v>
      </c>
      <c r="J588" t="s">
        <v>113</v>
      </c>
      <c r="K588" t="s">
        <v>114</v>
      </c>
      <c r="L588" t="s">
        <v>361</v>
      </c>
      <c r="M588" t="s">
        <v>361</v>
      </c>
      <c r="N588" t="s">
        <v>114</v>
      </c>
      <c r="O588" t="s">
        <v>3471</v>
      </c>
      <c r="P588" t="s">
        <v>3459</v>
      </c>
      <c r="Q588" t="s">
        <v>114</v>
      </c>
      <c r="R588" t="s">
        <v>180</v>
      </c>
      <c r="S588" t="s">
        <v>114</v>
      </c>
      <c r="T588" t="s">
        <v>180</v>
      </c>
      <c r="V588" t="s">
        <v>114</v>
      </c>
      <c r="W588" t="s">
        <v>3459</v>
      </c>
      <c r="Y588" t="s">
        <v>5050</v>
      </c>
      <c r="Z588" t="s">
        <v>5051</v>
      </c>
      <c r="AA588" t="s">
        <v>5031</v>
      </c>
      <c r="AB588" t="s">
        <v>5052</v>
      </c>
      <c r="AC588" t="s">
        <v>5051</v>
      </c>
      <c r="AG588" t="s">
        <v>123</v>
      </c>
      <c r="AH588" t="s">
        <v>124</v>
      </c>
      <c r="AI588" t="s">
        <v>5053</v>
      </c>
      <c r="AJ588" t="s">
        <v>126</v>
      </c>
      <c r="AK588" t="s">
        <v>127</v>
      </c>
      <c r="AM588" t="s">
        <v>5054</v>
      </c>
      <c r="AN588" t="s">
        <v>5055</v>
      </c>
      <c r="AO588" t="s">
        <v>5056</v>
      </c>
      <c r="AP588" t="s">
        <v>131</v>
      </c>
      <c r="AQ588" t="s">
        <v>132</v>
      </c>
      <c r="AR588" t="s">
        <v>133</v>
      </c>
      <c r="AS588" t="s">
        <v>4741</v>
      </c>
      <c r="AU588" t="s">
        <v>4587</v>
      </c>
      <c r="AW588" t="s">
        <v>136</v>
      </c>
      <c r="AX588" t="s">
        <v>177</v>
      </c>
      <c r="AY588" t="s">
        <v>364</v>
      </c>
      <c r="AZ588" t="s">
        <v>5057</v>
      </c>
      <c r="BB588" t="s">
        <v>140</v>
      </c>
    </row>
    <row r="589" spans="1:54" x14ac:dyDescent="0.35">
      <c r="A589" t="s">
        <v>5058</v>
      </c>
      <c r="B589" t="s">
        <v>107</v>
      </c>
      <c r="C589" t="s">
        <v>107</v>
      </c>
      <c r="F589" t="s">
        <v>358</v>
      </c>
      <c r="G589" t="s">
        <v>359</v>
      </c>
      <c r="H589" t="s">
        <v>360</v>
      </c>
      <c r="I589" t="s">
        <v>341</v>
      </c>
      <c r="J589" t="s">
        <v>113</v>
      </c>
      <c r="K589" t="s">
        <v>114</v>
      </c>
      <c r="L589" t="s">
        <v>114</v>
      </c>
      <c r="M589" t="s">
        <v>114</v>
      </c>
      <c r="N589" t="s">
        <v>114</v>
      </c>
      <c r="O589" t="s">
        <v>114</v>
      </c>
      <c r="P589" t="s">
        <v>114</v>
      </c>
      <c r="Q589" t="s">
        <v>114</v>
      </c>
      <c r="R589" t="s">
        <v>114</v>
      </c>
      <c r="S589" t="s">
        <v>114</v>
      </c>
      <c r="T589" t="s">
        <v>114</v>
      </c>
      <c r="V589" t="s">
        <v>114</v>
      </c>
      <c r="W589" t="s">
        <v>114</v>
      </c>
      <c r="Y589" t="s">
        <v>5059</v>
      </c>
      <c r="Z589" t="s">
        <v>5060</v>
      </c>
      <c r="AA589" t="s">
        <v>5031</v>
      </c>
      <c r="AB589" t="s">
        <v>5061</v>
      </c>
      <c r="AC589" t="s">
        <v>5062</v>
      </c>
      <c r="AG589" t="s">
        <v>123</v>
      </c>
      <c r="AH589" t="s">
        <v>124</v>
      </c>
      <c r="AI589" t="s">
        <v>5063</v>
      </c>
      <c r="AJ589" t="s">
        <v>126</v>
      </c>
      <c r="AK589" t="s">
        <v>127</v>
      </c>
      <c r="AM589" t="s">
        <v>5064</v>
      </c>
      <c r="AN589" t="s">
        <v>2144</v>
      </c>
      <c r="AO589" t="s">
        <v>5065</v>
      </c>
      <c r="AP589" t="s">
        <v>131</v>
      </c>
      <c r="AQ589" t="s">
        <v>132</v>
      </c>
      <c r="AR589" t="s">
        <v>2514</v>
      </c>
      <c r="AS589" t="s">
        <v>1489</v>
      </c>
      <c r="AU589" t="s">
        <v>204</v>
      </c>
      <c r="AV589" t="s">
        <v>668</v>
      </c>
      <c r="AX589" t="s">
        <v>177</v>
      </c>
      <c r="AY589" t="s">
        <v>364</v>
      </c>
      <c r="AZ589" t="s">
        <v>5066</v>
      </c>
      <c r="BB589" t="s">
        <v>140</v>
      </c>
    </row>
    <row r="590" spans="1:54" x14ac:dyDescent="0.35">
      <c r="A590" t="s">
        <v>5067</v>
      </c>
      <c r="B590" t="s">
        <v>107</v>
      </c>
      <c r="C590" t="s">
        <v>107</v>
      </c>
      <c r="F590" t="s">
        <v>358</v>
      </c>
      <c r="G590" t="s">
        <v>359</v>
      </c>
      <c r="H590" t="s">
        <v>360</v>
      </c>
      <c r="I590" t="s">
        <v>341</v>
      </c>
      <c r="J590" t="s">
        <v>113</v>
      </c>
      <c r="K590" t="s">
        <v>114</v>
      </c>
      <c r="L590" t="s">
        <v>114</v>
      </c>
      <c r="M590" t="s">
        <v>114</v>
      </c>
      <c r="N590" t="s">
        <v>114</v>
      </c>
      <c r="O590" t="s">
        <v>114</v>
      </c>
      <c r="P590" t="s">
        <v>114</v>
      </c>
      <c r="Q590" t="s">
        <v>114</v>
      </c>
      <c r="R590" t="s">
        <v>114</v>
      </c>
      <c r="S590" t="s">
        <v>114</v>
      </c>
      <c r="T590" t="s">
        <v>114</v>
      </c>
      <c r="V590" t="s">
        <v>114</v>
      </c>
      <c r="W590" t="s">
        <v>114</v>
      </c>
      <c r="Y590" t="s">
        <v>5068</v>
      </c>
      <c r="Z590" t="s">
        <v>5068</v>
      </c>
      <c r="AA590" t="s">
        <v>5031</v>
      </c>
      <c r="AB590" t="s">
        <v>5069</v>
      </c>
      <c r="AC590" t="s">
        <v>5070</v>
      </c>
      <c r="AG590" t="s">
        <v>123</v>
      </c>
      <c r="AH590" t="s">
        <v>124</v>
      </c>
      <c r="AI590" t="s">
        <v>5071</v>
      </c>
      <c r="AJ590" t="s">
        <v>126</v>
      </c>
      <c r="AK590" t="s">
        <v>127</v>
      </c>
      <c r="AM590" t="s">
        <v>5072</v>
      </c>
      <c r="AN590" t="s">
        <v>2836</v>
      </c>
      <c r="AO590" t="s">
        <v>5073</v>
      </c>
      <c r="AP590" t="s">
        <v>131</v>
      </c>
      <c r="AQ590" t="s">
        <v>132</v>
      </c>
      <c r="AR590" t="s">
        <v>1120</v>
      </c>
      <c r="AS590" t="s">
        <v>4703</v>
      </c>
      <c r="AU590" t="s">
        <v>375</v>
      </c>
      <c r="AV590" t="s">
        <v>3228</v>
      </c>
      <c r="AX590" t="s">
        <v>177</v>
      </c>
      <c r="AY590" t="s">
        <v>364</v>
      </c>
      <c r="AZ590" t="s">
        <v>5074</v>
      </c>
      <c r="BB590" t="s">
        <v>140</v>
      </c>
    </row>
    <row r="591" spans="1:54" x14ac:dyDescent="0.35">
      <c r="A591" t="s">
        <v>5075</v>
      </c>
      <c r="B591" t="s">
        <v>107</v>
      </c>
      <c r="C591" t="s">
        <v>107</v>
      </c>
      <c r="F591" t="s">
        <v>358</v>
      </c>
      <c r="G591" t="s">
        <v>359</v>
      </c>
      <c r="H591" t="s">
        <v>360</v>
      </c>
      <c r="I591" t="s">
        <v>341</v>
      </c>
      <c r="J591" t="s">
        <v>113</v>
      </c>
      <c r="K591" t="s">
        <v>114</v>
      </c>
      <c r="L591" t="s">
        <v>114</v>
      </c>
      <c r="M591" t="s">
        <v>114</v>
      </c>
      <c r="N591" t="s">
        <v>114</v>
      </c>
      <c r="O591" t="s">
        <v>114</v>
      </c>
      <c r="P591" t="s">
        <v>114</v>
      </c>
      <c r="Q591" t="s">
        <v>114</v>
      </c>
      <c r="R591" t="s">
        <v>114</v>
      </c>
      <c r="S591" t="s">
        <v>114</v>
      </c>
      <c r="T591" t="s">
        <v>114</v>
      </c>
      <c r="V591" t="s">
        <v>114</v>
      </c>
      <c r="W591" t="s">
        <v>114</v>
      </c>
      <c r="Y591" t="s">
        <v>5076</v>
      </c>
      <c r="Z591" t="s">
        <v>5076</v>
      </c>
      <c r="AA591" t="s">
        <v>5031</v>
      </c>
      <c r="AB591" t="s">
        <v>5077</v>
      </c>
      <c r="AC591" t="s">
        <v>5078</v>
      </c>
      <c r="AG591" t="s">
        <v>123</v>
      </c>
      <c r="AH591" t="s">
        <v>124</v>
      </c>
      <c r="AI591" t="s">
        <v>5079</v>
      </c>
      <c r="AJ591" t="s">
        <v>126</v>
      </c>
      <c r="AK591" t="s">
        <v>127</v>
      </c>
      <c r="AM591" t="s">
        <v>5080</v>
      </c>
      <c r="AN591" t="s">
        <v>5081</v>
      </c>
      <c r="AO591" t="s">
        <v>5082</v>
      </c>
      <c r="AP591" t="s">
        <v>131</v>
      </c>
      <c r="AQ591" t="s">
        <v>132</v>
      </c>
      <c r="AR591" t="s">
        <v>1133</v>
      </c>
      <c r="AS591" t="s">
        <v>5083</v>
      </c>
      <c r="AU591" t="s">
        <v>918</v>
      </c>
      <c r="AV591" t="s">
        <v>638</v>
      </c>
      <c r="AX591" t="s">
        <v>177</v>
      </c>
      <c r="AY591" t="s">
        <v>364</v>
      </c>
      <c r="AZ591" t="s">
        <v>5084</v>
      </c>
      <c r="BB591" t="s">
        <v>140</v>
      </c>
    </row>
    <row r="592" spans="1:54" x14ac:dyDescent="0.35">
      <c r="A592" t="s">
        <v>5085</v>
      </c>
      <c r="B592" t="s">
        <v>107</v>
      </c>
      <c r="C592" t="s">
        <v>107</v>
      </c>
      <c r="F592" t="s">
        <v>358</v>
      </c>
      <c r="G592" t="s">
        <v>359</v>
      </c>
      <c r="H592" t="s">
        <v>360</v>
      </c>
      <c r="I592" t="s">
        <v>341</v>
      </c>
      <c r="J592" t="s">
        <v>113</v>
      </c>
      <c r="K592" t="s">
        <v>114</v>
      </c>
      <c r="L592" t="s">
        <v>114</v>
      </c>
      <c r="M592" t="s">
        <v>114</v>
      </c>
      <c r="N592" t="s">
        <v>114</v>
      </c>
      <c r="O592" t="s">
        <v>114</v>
      </c>
      <c r="P592" t="s">
        <v>114</v>
      </c>
      <c r="Q592" t="s">
        <v>114</v>
      </c>
      <c r="R592" t="s">
        <v>114</v>
      </c>
      <c r="S592" t="s">
        <v>114</v>
      </c>
      <c r="T592" t="s">
        <v>114</v>
      </c>
      <c r="V592" t="s">
        <v>114</v>
      </c>
      <c r="W592" t="s">
        <v>114</v>
      </c>
      <c r="Y592" t="s">
        <v>5086</v>
      </c>
      <c r="Z592" t="s">
        <v>5086</v>
      </c>
      <c r="AA592" t="s">
        <v>5031</v>
      </c>
      <c r="AB592" t="s">
        <v>5087</v>
      </c>
      <c r="AC592" t="s">
        <v>5088</v>
      </c>
      <c r="AG592" t="s">
        <v>123</v>
      </c>
      <c r="AH592" t="s">
        <v>124</v>
      </c>
      <c r="AI592" t="s">
        <v>5089</v>
      </c>
      <c r="AJ592" t="s">
        <v>126</v>
      </c>
      <c r="AK592" t="s">
        <v>127</v>
      </c>
      <c r="AM592" t="s">
        <v>5090</v>
      </c>
      <c r="AN592" t="s">
        <v>5091</v>
      </c>
      <c r="AO592" t="s">
        <v>5092</v>
      </c>
      <c r="AP592" t="s">
        <v>131</v>
      </c>
      <c r="AQ592" t="s">
        <v>132</v>
      </c>
      <c r="AR592" t="s">
        <v>2300</v>
      </c>
      <c r="AS592" t="s">
        <v>2301</v>
      </c>
      <c r="AU592" t="s">
        <v>236</v>
      </c>
      <c r="AV592" t="s">
        <v>406</v>
      </c>
      <c r="AX592" t="s">
        <v>177</v>
      </c>
      <c r="AY592" t="s">
        <v>364</v>
      </c>
      <c r="AZ592" t="s">
        <v>5093</v>
      </c>
      <c r="BB592" t="s">
        <v>140</v>
      </c>
    </row>
    <row r="593" spans="1:54" x14ac:dyDescent="0.35">
      <c r="A593" t="s">
        <v>5094</v>
      </c>
      <c r="B593" t="s">
        <v>107</v>
      </c>
      <c r="C593" t="s">
        <v>107</v>
      </c>
      <c r="E593" t="s">
        <v>108</v>
      </c>
      <c r="F593" t="s">
        <v>338</v>
      </c>
      <c r="G593" t="s">
        <v>339</v>
      </c>
      <c r="H593" t="s">
        <v>340</v>
      </c>
      <c r="I593" t="s">
        <v>341</v>
      </c>
      <c r="J593" t="s">
        <v>113</v>
      </c>
      <c r="K593" t="s">
        <v>114</v>
      </c>
      <c r="L593" t="s">
        <v>114</v>
      </c>
      <c r="M593" t="s">
        <v>114</v>
      </c>
      <c r="N593" t="s">
        <v>114</v>
      </c>
      <c r="O593" t="s">
        <v>114</v>
      </c>
      <c r="P593" t="s">
        <v>114</v>
      </c>
      <c r="Q593" t="s">
        <v>5095</v>
      </c>
      <c r="R593" t="s">
        <v>180</v>
      </c>
      <c r="S593" t="s">
        <v>114</v>
      </c>
      <c r="T593" t="s">
        <v>5095</v>
      </c>
      <c r="V593" t="s">
        <v>114</v>
      </c>
      <c r="W593" t="s">
        <v>5096</v>
      </c>
      <c r="Y593" t="s">
        <v>5097</v>
      </c>
      <c r="Z593" t="s">
        <v>5098</v>
      </c>
      <c r="AA593" t="s">
        <v>5031</v>
      </c>
      <c r="AB593" t="s">
        <v>5099</v>
      </c>
      <c r="AC593" t="s">
        <v>5100</v>
      </c>
      <c r="AG593" t="s">
        <v>123</v>
      </c>
      <c r="AH593" t="s">
        <v>124</v>
      </c>
      <c r="AI593" t="s">
        <v>5101</v>
      </c>
      <c r="AJ593" t="s">
        <v>126</v>
      </c>
      <c r="AK593" t="s">
        <v>127</v>
      </c>
      <c r="AM593" t="s">
        <v>5102</v>
      </c>
      <c r="AN593" t="s">
        <v>5103</v>
      </c>
      <c r="AO593" t="s">
        <v>5104</v>
      </c>
      <c r="AP593" t="s">
        <v>131</v>
      </c>
      <c r="AQ593" t="s">
        <v>132</v>
      </c>
      <c r="AR593" t="s">
        <v>558</v>
      </c>
      <c r="AS593" t="s">
        <v>1960</v>
      </c>
      <c r="AU593" t="s">
        <v>1703</v>
      </c>
      <c r="AV593" t="s">
        <v>668</v>
      </c>
      <c r="AW593" t="s">
        <v>317</v>
      </c>
      <c r="AX593" t="s">
        <v>177</v>
      </c>
      <c r="AY593" t="s">
        <v>356</v>
      </c>
      <c r="AZ593" t="s">
        <v>5105</v>
      </c>
      <c r="BB593" t="s">
        <v>140</v>
      </c>
    </row>
    <row r="594" spans="1:54" x14ac:dyDescent="0.35">
      <c r="A594" t="s">
        <v>5094</v>
      </c>
      <c r="B594" t="s">
        <v>107</v>
      </c>
      <c r="C594" t="s">
        <v>107</v>
      </c>
      <c r="E594" t="s">
        <v>108</v>
      </c>
      <c r="F594" t="s">
        <v>358</v>
      </c>
      <c r="G594" t="s">
        <v>359</v>
      </c>
      <c r="H594" t="s">
        <v>360</v>
      </c>
      <c r="I594" t="s">
        <v>341</v>
      </c>
      <c r="J594" t="s">
        <v>113</v>
      </c>
      <c r="K594" t="s">
        <v>114</v>
      </c>
      <c r="L594" t="s">
        <v>361</v>
      </c>
      <c r="M594" t="s">
        <v>361</v>
      </c>
      <c r="N594" t="s">
        <v>5106</v>
      </c>
      <c r="O594" t="s">
        <v>3471</v>
      </c>
      <c r="P594" t="s">
        <v>5107</v>
      </c>
      <c r="Q594" t="s">
        <v>5095</v>
      </c>
      <c r="R594" t="s">
        <v>180</v>
      </c>
      <c r="S594" t="s">
        <v>114</v>
      </c>
      <c r="T594" t="s">
        <v>5095</v>
      </c>
      <c r="V594" t="s">
        <v>114</v>
      </c>
      <c r="W594" t="s">
        <v>5096</v>
      </c>
      <c r="Y594" t="s">
        <v>5097</v>
      </c>
      <c r="Z594" t="s">
        <v>5098</v>
      </c>
      <c r="AA594" t="s">
        <v>5031</v>
      </c>
      <c r="AB594" t="s">
        <v>5099</v>
      </c>
      <c r="AC594" t="s">
        <v>5100</v>
      </c>
      <c r="AG594" t="s">
        <v>123</v>
      </c>
      <c r="AH594" t="s">
        <v>124</v>
      </c>
      <c r="AI594" t="s">
        <v>5101</v>
      </c>
      <c r="AJ594" t="s">
        <v>126</v>
      </c>
      <c r="AK594" t="s">
        <v>127</v>
      </c>
      <c r="AM594" t="s">
        <v>5102</v>
      </c>
      <c r="AN594" t="s">
        <v>5103</v>
      </c>
      <c r="AO594" t="s">
        <v>5104</v>
      </c>
      <c r="AP594" t="s">
        <v>131</v>
      </c>
      <c r="AQ594" t="s">
        <v>132</v>
      </c>
      <c r="AR594" t="s">
        <v>558</v>
      </c>
      <c r="AS594" t="s">
        <v>1960</v>
      </c>
      <c r="AU594" t="s">
        <v>1703</v>
      </c>
      <c r="AV594" t="s">
        <v>668</v>
      </c>
      <c r="AW594" t="s">
        <v>317</v>
      </c>
      <c r="AX594" t="s">
        <v>177</v>
      </c>
      <c r="AY594" t="s">
        <v>364</v>
      </c>
      <c r="AZ594" t="s">
        <v>5105</v>
      </c>
      <c r="BB594" t="s">
        <v>140</v>
      </c>
    </row>
    <row r="595" spans="1:54" x14ac:dyDescent="0.35">
      <c r="A595" t="s">
        <v>5108</v>
      </c>
      <c r="B595" t="s">
        <v>336</v>
      </c>
      <c r="C595" t="s">
        <v>336</v>
      </c>
      <c r="D595" t="s">
        <v>337</v>
      </c>
      <c r="E595" t="s">
        <v>108</v>
      </c>
      <c r="F595" t="s">
        <v>158</v>
      </c>
      <c r="G595" t="s">
        <v>159</v>
      </c>
      <c r="H595" t="s">
        <v>111</v>
      </c>
      <c r="I595" t="s">
        <v>341</v>
      </c>
      <c r="J595" t="s">
        <v>113</v>
      </c>
      <c r="K595" t="s">
        <v>113</v>
      </c>
      <c r="L595" t="s">
        <v>161</v>
      </c>
      <c r="M595" t="s">
        <v>161</v>
      </c>
      <c r="N595" t="s">
        <v>436</v>
      </c>
      <c r="O595" t="s">
        <v>1110</v>
      </c>
      <c r="P595" t="s">
        <v>1876</v>
      </c>
      <c r="Q595" t="s">
        <v>114</v>
      </c>
      <c r="R595" t="s">
        <v>180</v>
      </c>
      <c r="S595" t="s">
        <v>114</v>
      </c>
      <c r="T595" t="s">
        <v>180</v>
      </c>
      <c r="V595" t="s">
        <v>114</v>
      </c>
      <c r="W595" t="s">
        <v>1876</v>
      </c>
      <c r="X595" t="s">
        <v>1876</v>
      </c>
      <c r="Y595" t="s">
        <v>5109</v>
      </c>
      <c r="AD595" t="s">
        <v>5110</v>
      </c>
      <c r="AE595" t="s">
        <v>346</v>
      </c>
      <c r="AF595" t="s">
        <v>347</v>
      </c>
      <c r="AG595" t="s">
        <v>123</v>
      </c>
      <c r="AH595" t="s">
        <v>124</v>
      </c>
      <c r="AJ595" t="s">
        <v>126</v>
      </c>
      <c r="AM595" t="s">
        <v>2957</v>
      </c>
      <c r="AN595" t="s">
        <v>2958</v>
      </c>
      <c r="AO595" t="s">
        <v>2959</v>
      </c>
      <c r="AP595" t="s">
        <v>131</v>
      </c>
      <c r="AQ595" t="s">
        <v>132</v>
      </c>
      <c r="AR595" t="s">
        <v>352</v>
      </c>
      <c r="AS595" t="s">
        <v>353</v>
      </c>
      <c r="AU595" t="s">
        <v>1490</v>
      </c>
      <c r="AW595" t="s">
        <v>136</v>
      </c>
      <c r="AX595" t="s">
        <v>177</v>
      </c>
      <c r="AY595" t="s">
        <v>138</v>
      </c>
      <c r="AZ595" t="s">
        <v>5111</v>
      </c>
      <c r="BB595" t="s">
        <v>140</v>
      </c>
    </row>
    <row r="596" spans="1:54" x14ac:dyDescent="0.35">
      <c r="A596" t="s">
        <v>5108</v>
      </c>
      <c r="B596" t="s">
        <v>336</v>
      </c>
      <c r="C596" t="s">
        <v>336</v>
      </c>
      <c r="D596" t="s">
        <v>337</v>
      </c>
      <c r="E596" t="s">
        <v>108</v>
      </c>
      <c r="F596" t="s">
        <v>268</v>
      </c>
      <c r="G596" t="s">
        <v>269</v>
      </c>
      <c r="H596" t="s">
        <v>2268</v>
      </c>
      <c r="I596" t="s">
        <v>271</v>
      </c>
      <c r="J596" t="s">
        <v>113</v>
      </c>
      <c r="K596" t="s">
        <v>113</v>
      </c>
      <c r="L596" t="s">
        <v>114</v>
      </c>
      <c r="M596" t="s">
        <v>114</v>
      </c>
      <c r="N596" t="s">
        <v>114</v>
      </c>
      <c r="O596" t="s">
        <v>114</v>
      </c>
      <c r="P596" t="s">
        <v>114</v>
      </c>
      <c r="Q596" t="s">
        <v>114</v>
      </c>
      <c r="R596" t="s">
        <v>180</v>
      </c>
      <c r="S596" t="s">
        <v>114</v>
      </c>
      <c r="T596" t="s">
        <v>180</v>
      </c>
      <c r="V596" t="s">
        <v>114</v>
      </c>
      <c r="W596" t="s">
        <v>1876</v>
      </c>
      <c r="X596" t="s">
        <v>114</v>
      </c>
      <c r="Y596" t="s">
        <v>5109</v>
      </c>
      <c r="AD596" t="s">
        <v>5110</v>
      </c>
      <c r="AE596" t="s">
        <v>346</v>
      </c>
      <c r="AF596" t="s">
        <v>347</v>
      </c>
      <c r="AG596" t="s">
        <v>123</v>
      </c>
      <c r="AH596" t="s">
        <v>124</v>
      </c>
      <c r="AJ596" t="s">
        <v>126</v>
      </c>
      <c r="AM596" t="s">
        <v>2957</v>
      </c>
      <c r="AN596" t="s">
        <v>2958</v>
      </c>
      <c r="AO596" t="s">
        <v>2959</v>
      </c>
      <c r="AP596" t="s">
        <v>131</v>
      </c>
      <c r="AQ596" t="s">
        <v>132</v>
      </c>
      <c r="AR596" t="s">
        <v>352</v>
      </c>
      <c r="AS596" t="s">
        <v>353</v>
      </c>
      <c r="AU596" t="s">
        <v>1490</v>
      </c>
      <c r="AW596" t="s">
        <v>136</v>
      </c>
      <c r="AX596" t="s">
        <v>272</v>
      </c>
      <c r="AY596" t="s">
        <v>273</v>
      </c>
      <c r="AZ596" t="s">
        <v>5111</v>
      </c>
      <c r="BB596" t="s">
        <v>140</v>
      </c>
    </row>
    <row r="597" spans="1:54" x14ac:dyDescent="0.35">
      <c r="A597" t="s">
        <v>5112</v>
      </c>
      <c r="B597" t="s">
        <v>107</v>
      </c>
      <c r="C597" t="s">
        <v>107</v>
      </c>
      <c r="F597" t="s">
        <v>358</v>
      </c>
      <c r="G597" t="s">
        <v>359</v>
      </c>
      <c r="H597" t="s">
        <v>360</v>
      </c>
      <c r="I597" t="s">
        <v>341</v>
      </c>
      <c r="J597" t="s">
        <v>113</v>
      </c>
      <c r="K597" t="s">
        <v>114</v>
      </c>
      <c r="L597" t="s">
        <v>114</v>
      </c>
      <c r="M597" t="s">
        <v>114</v>
      </c>
      <c r="N597" t="s">
        <v>114</v>
      </c>
      <c r="O597" t="s">
        <v>114</v>
      </c>
      <c r="P597" t="s">
        <v>114</v>
      </c>
      <c r="Q597" t="s">
        <v>114</v>
      </c>
      <c r="R597" t="s">
        <v>114</v>
      </c>
      <c r="S597" t="s">
        <v>114</v>
      </c>
      <c r="T597" t="s">
        <v>114</v>
      </c>
      <c r="V597" t="s">
        <v>114</v>
      </c>
      <c r="W597" t="s">
        <v>114</v>
      </c>
      <c r="Y597" t="s">
        <v>5113</v>
      </c>
      <c r="Z597" t="s">
        <v>5113</v>
      </c>
      <c r="AA597" t="s">
        <v>5031</v>
      </c>
      <c r="AB597" t="s">
        <v>5114</v>
      </c>
      <c r="AC597" t="s">
        <v>5115</v>
      </c>
      <c r="AG597" t="s">
        <v>123</v>
      </c>
      <c r="AH597" t="s">
        <v>124</v>
      </c>
      <c r="AI597" t="s">
        <v>5116</v>
      </c>
      <c r="AJ597" t="s">
        <v>126</v>
      </c>
      <c r="AK597" t="s">
        <v>127</v>
      </c>
      <c r="AM597" t="s">
        <v>5117</v>
      </c>
      <c r="AN597" t="s">
        <v>5118</v>
      </c>
      <c r="AO597" t="s">
        <v>5119</v>
      </c>
      <c r="AP597" t="s">
        <v>131</v>
      </c>
      <c r="AQ597" t="s">
        <v>132</v>
      </c>
      <c r="AR597" t="s">
        <v>1146</v>
      </c>
      <c r="AS597" t="s">
        <v>3372</v>
      </c>
      <c r="AU597" t="s">
        <v>3795</v>
      </c>
      <c r="AV597" t="s">
        <v>638</v>
      </c>
      <c r="AX597" t="s">
        <v>177</v>
      </c>
      <c r="AY597" t="s">
        <v>364</v>
      </c>
      <c r="AZ597" t="s">
        <v>5120</v>
      </c>
      <c r="BB597" t="s">
        <v>140</v>
      </c>
    </row>
    <row r="598" spans="1:54" x14ac:dyDescent="0.35">
      <c r="A598" t="s">
        <v>5121</v>
      </c>
      <c r="B598" t="s">
        <v>107</v>
      </c>
      <c r="C598" t="s">
        <v>107</v>
      </c>
      <c r="F598" t="s">
        <v>358</v>
      </c>
      <c r="G598" t="s">
        <v>359</v>
      </c>
      <c r="H598" t="s">
        <v>360</v>
      </c>
      <c r="I598" t="s">
        <v>341</v>
      </c>
      <c r="J598" t="s">
        <v>113</v>
      </c>
      <c r="K598" t="s">
        <v>114</v>
      </c>
      <c r="L598" t="s">
        <v>114</v>
      </c>
      <c r="M598" t="s">
        <v>114</v>
      </c>
      <c r="N598" t="s">
        <v>114</v>
      </c>
      <c r="O598" t="s">
        <v>114</v>
      </c>
      <c r="P598" t="s">
        <v>114</v>
      </c>
      <c r="Q598" t="s">
        <v>114</v>
      </c>
      <c r="R598" t="s">
        <v>114</v>
      </c>
      <c r="S598" t="s">
        <v>114</v>
      </c>
      <c r="T598" t="s">
        <v>114</v>
      </c>
      <c r="V598" t="s">
        <v>114</v>
      </c>
      <c r="W598" t="s">
        <v>114</v>
      </c>
      <c r="Y598" t="s">
        <v>5122</v>
      </c>
      <c r="Z598" t="s">
        <v>5122</v>
      </c>
      <c r="AA598" t="s">
        <v>5031</v>
      </c>
      <c r="AB598" t="s">
        <v>5123</v>
      </c>
      <c r="AC598" t="s">
        <v>5124</v>
      </c>
      <c r="AG598" t="s">
        <v>123</v>
      </c>
      <c r="AH598" t="s">
        <v>124</v>
      </c>
      <c r="AI598" t="s">
        <v>5125</v>
      </c>
      <c r="AJ598" t="s">
        <v>126</v>
      </c>
      <c r="AK598" t="s">
        <v>127</v>
      </c>
      <c r="AM598" t="s">
        <v>5126</v>
      </c>
      <c r="AN598" t="s">
        <v>2814</v>
      </c>
      <c r="AO598" t="s">
        <v>5127</v>
      </c>
      <c r="AP598" t="s">
        <v>131</v>
      </c>
      <c r="AQ598" t="s">
        <v>132</v>
      </c>
      <c r="AR598" t="s">
        <v>720</v>
      </c>
      <c r="AS598" t="s">
        <v>1402</v>
      </c>
      <c r="AU598" t="s">
        <v>610</v>
      </c>
      <c r="AX598" t="s">
        <v>177</v>
      </c>
      <c r="AY598" t="s">
        <v>364</v>
      </c>
      <c r="AZ598" t="s">
        <v>5128</v>
      </c>
      <c r="BB598" t="s">
        <v>140</v>
      </c>
    </row>
    <row r="599" spans="1:54" x14ac:dyDescent="0.35">
      <c r="A599" t="s">
        <v>5129</v>
      </c>
      <c r="B599" t="s">
        <v>107</v>
      </c>
      <c r="C599" t="s">
        <v>107</v>
      </c>
      <c r="F599" t="s">
        <v>358</v>
      </c>
      <c r="G599" t="s">
        <v>359</v>
      </c>
      <c r="H599" t="s">
        <v>360</v>
      </c>
      <c r="I599" t="s">
        <v>341</v>
      </c>
      <c r="J599" t="s">
        <v>113</v>
      </c>
      <c r="K599" t="s">
        <v>114</v>
      </c>
      <c r="L599" t="s">
        <v>114</v>
      </c>
      <c r="M599" t="s">
        <v>114</v>
      </c>
      <c r="N599" t="s">
        <v>114</v>
      </c>
      <c r="O599" t="s">
        <v>114</v>
      </c>
      <c r="P599" t="s">
        <v>114</v>
      </c>
      <c r="Q599" t="s">
        <v>114</v>
      </c>
      <c r="R599" t="s">
        <v>114</v>
      </c>
      <c r="S599" t="s">
        <v>114</v>
      </c>
      <c r="T599" t="s">
        <v>114</v>
      </c>
      <c r="V599" t="s">
        <v>114</v>
      </c>
      <c r="W599" t="s">
        <v>114</v>
      </c>
      <c r="Y599" t="s">
        <v>5130</v>
      </c>
      <c r="Z599" t="s">
        <v>5130</v>
      </c>
      <c r="AA599" t="s">
        <v>5031</v>
      </c>
      <c r="AB599" t="s">
        <v>5131</v>
      </c>
      <c r="AC599" t="s">
        <v>5132</v>
      </c>
      <c r="AG599" t="s">
        <v>123</v>
      </c>
      <c r="AH599" t="s">
        <v>124</v>
      </c>
      <c r="AI599" t="s">
        <v>5133</v>
      </c>
      <c r="AJ599" t="s">
        <v>126</v>
      </c>
      <c r="AK599" t="s">
        <v>127</v>
      </c>
      <c r="AM599" t="s">
        <v>5134</v>
      </c>
      <c r="AN599" t="s">
        <v>2159</v>
      </c>
      <c r="AO599" t="s">
        <v>5135</v>
      </c>
      <c r="AP599" t="s">
        <v>131</v>
      </c>
      <c r="AQ599" t="s">
        <v>132</v>
      </c>
      <c r="AR599" t="s">
        <v>1464</v>
      </c>
      <c r="AS599" t="s">
        <v>5136</v>
      </c>
      <c r="AU599" t="s">
        <v>354</v>
      </c>
      <c r="AV599" t="s">
        <v>2008</v>
      </c>
      <c r="AX599" t="s">
        <v>177</v>
      </c>
      <c r="AY599" t="s">
        <v>364</v>
      </c>
      <c r="AZ599" t="s">
        <v>5137</v>
      </c>
      <c r="BB599" t="s">
        <v>140</v>
      </c>
    </row>
    <row r="600" spans="1:54" x14ac:dyDescent="0.35">
      <c r="A600" t="s">
        <v>5138</v>
      </c>
      <c r="B600" t="s">
        <v>107</v>
      </c>
      <c r="C600" t="s">
        <v>107</v>
      </c>
      <c r="F600" t="s">
        <v>358</v>
      </c>
      <c r="G600" t="s">
        <v>359</v>
      </c>
      <c r="H600" t="s">
        <v>360</v>
      </c>
      <c r="I600" t="s">
        <v>341</v>
      </c>
      <c r="J600" t="s">
        <v>113</v>
      </c>
      <c r="K600" t="s">
        <v>114</v>
      </c>
      <c r="L600" t="s">
        <v>114</v>
      </c>
      <c r="M600" t="s">
        <v>114</v>
      </c>
      <c r="N600" t="s">
        <v>114</v>
      </c>
      <c r="O600" t="s">
        <v>114</v>
      </c>
      <c r="P600" t="s">
        <v>114</v>
      </c>
      <c r="Q600" t="s">
        <v>114</v>
      </c>
      <c r="R600" t="s">
        <v>114</v>
      </c>
      <c r="S600" t="s">
        <v>114</v>
      </c>
      <c r="T600" t="s">
        <v>114</v>
      </c>
      <c r="V600" t="s">
        <v>114</v>
      </c>
      <c r="W600" t="s">
        <v>114</v>
      </c>
      <c r="Y600" t="s">
        <v>5139</v>
      </c>
      <c r="Z600" t="s">
        <v>5140</v>
      </c>
      <c r="AA600" t="s">
        <v>5031</v>
      </c>
      <c r="AB600" t="s">
        <v>5141</v>
      </c>
      <c r="AC600" t="s">
        <v>5142</v>
      </c>
      <c r="AG600" t="s">
        <v>123</v>
      </c>
      <c r="AH600" t="s">
        <v>124</v>
      </c>
      <c r="AI600" t="s">
        <v>5143</v>
      </c>
      <c r="AJ600" t="s">
        <v>126</v>
      </c>
      <c r="AK600" t="s">
        <v>127</v>
      </c>
      <c r="AM600" t="s">
        <v>5144</v>
      </c>
      <c r="AN600" t="s">
        <v>5145</v>
      </c>
      <c r="AO600" t="s">
        <v>5146</v>
      </c>
      <c r="AP600" t="s">
        <v>131</v>
      </c>
      <c r="AQ600" t="s">
        <v>132</v>
      </c>
      <c r="AR600" t="s">
        <v>1369</v>
      </c>
      <c r="AS600" t="s">
        <v>1370</v>
      </c>
      <c r="AU600" t="s">
        <v>375</v>
      </c>
      <c r="AX600" t="s">
        <v>177</v>
      </c>
      <c r="AY600" t="s">
        <v>364</v>
      </c>
      <c r="AZ600" t="s">
        <v>5147</v>
      </c>
      <c r="BB600" t="s">
        <v>140</v>
      </c>
    </row>
    <row r="601" spans="1:54" x14ac:dyDescent="0.35">
      <c r="A601" t="s">
        <v>5148</v>
      </c>
      <c r="B601" t="s">
        <v>107</v>
      </c>
      <c r="C601" t="s">
        <v>107</v>
      </c>
      <c r="F601" t="s">
        <v>158</v>
      </c>
      <c r="G601" t="s">
        <v>159</v>
      </c>
      <c r="H601" t="s">
        <v>111</v>
      </c>
      <c r="I601" t="s">
        <v>341</v>
      </c>
      <c r="J601" t="s">
        <v>113</v>
      </c>
      <c r="K601" t="s">
        <v>114</v>
      </c>
      <c r="L601" t="s">
        <v>114</v>
      </c>
      <c r="M601" t="s">
        <v>114</v>
      </c>
      <c r="N601" t="s">
        <v>114</v>
      </c>
      <c r="O601" t="s">
        <v>114</v>
      </c>
      <c r="P601" t="s">
        <v>114</v>
      </c>
      <c r="Q601" t="s">
        <v>114</v>
      </c>
      <c r="R601" t="s">
        <v>114</v>
      </c>
      <c r="S601" t="s">
        <v>114</v>
      </c>
      <c r="T601" t="s">
        <v>114</v>
      </c>
      <c r="V601" t="s">
        <v>114</v>
      </c>
      <c r="W601" t="s">
        <v>114</v>
      </c>
      <c r="Y601" t="s">
        <v>5149</v>
      </c>
      <c r="Z601" t="s">
        <v>5149</v>
      </c>
      <c r="AA601" t="s">
        <v>5031</v>
      </c>
      <c r="AB601" t="s">
        <v>5150</v>
      </c>
      <c r="AC601" t="s">
        <v>5151</v>
      </c>
      <c r="AG601" t="s">
        <v>123</v>
      </c>
      <c r="AH601" t="s">
        <v>124</v>
      </c>
      <c r="AI601" t="s">
        <v>5152</v>
      </c>
      <c r="AJ601" t="s">
        <v>126</v>
      </c>
      <c r="AK601" t="s">
        <v>127</v>
      </c>
      <c r="AM601" t="s">
        <v>5153</v>
      </c>
      <c r="AN601" t="s">
        <v>5154</v>
      </c>
      <c r="AO601" t="s">
        <v>5155</v>
      </c>
      <c r="AP601" t="s">
        <v>131</v>
      </c>
      <c r="AQ601" t="s">
        <v>132</v>
      </c>
      <c r="AR601" t="s">
        <v>796</v>
      </c>
      <c r="AS601" t="s">
        <v>2224</v>
      </c>
      <c r="AU601" t="s">
        <v>654</v>
      </c>
      <c r="AX601" t="s">
        <v>177</v>
      </c>
      <c r="AY601" t="s">
        <v>138</v>
      </c>
      <c r="AZ601" t="s">
        <v>5156</v>
      </c>
      <c r="BB601" t="s">
        <v>140</v>
      </c>
    </row>
    <row r="602" spans="1:54" x14ac:dyDescent="0.35">
      <c r="A602" t="s">
        <v>5157</v>
      </c>
      <c r="B602" t="s">
        <v>107</v>
      </c>
      <c r="C602" t="s">
        <v>107</v>
      </c>
      <c r="F602" t="s">
        <v>358</v>
      </c>
      <c r="G602" t="s">
        <v>359</v>
      </c>
      <c r="H602" t="s">
        <v>360</v>
      </c>
      <c r="I602" t="s">
        <v>341</v>
      </c>
      <c r="J602" t="s">
        <v>113</v>
      </c>
      <c r="K602" t="s">
        <v>114</v>
      </c>
      <c r="L602" t="s">
        <v>114</v>
      </c>
      <c r="M602" t="s">
        <v>114</v>
      </c>
      <c r="N602" t="s">
        <v>114</v>
      </c>
      <c r="O602" t="s">
        <v>114</v>
      </c>
      <c r="P602" t="s">
        <v>114</v>
      </c>
      <c r="Q602" t="s">
        <v>114</v>
      </c>
      <c r="R602" t="s">
        <v>114</v>
      </c>
      <c r="S602" t="s">
        <v>114</v>
      </c>
      <c r="T602" t="s">
        <v>114</v>
      </c>
      <c r="V602" t="s">
        <v>114</v>
      </c>
      <c r="W602" t="s">
        <v>114</v>
      </c>
      <c r="Y602" t="s">
        <v>5158</v>
      </c>
      <c r="Z602" t="s">
        <v>5159</v>
      </c>
      <c r="AA602" t="s">
        <v>5160</v>
      </c>
      <c r="AB602" t="s">
        <v>5161</v>
      </c>
      <c r="AC602" t="s">
        <v>5162</v>
      </c>
      <c r="AG602" t="s">
        <v>123</v>
      </c>
      <c r="AH602" t="s">
        <v>124</v>
      </c>
      <c r="AI602" t="s">
        <v>5163</v>
      </c>
      <c r="AJ602" t="s">
        <v>126</v>
      </c>
      <c r="AK602" t="s">
        <v>127</v>
      </c>
      <c r="AM602" t="s">
        <v>5164</v>
      </c>
      <c r="AN602" t="s">
        <v>5165</v>
      </c>
      <c r="AO602" t="s">
        <v>5166</v>
      </c>
      <c r="AP602" t="s">
        <v>131</v>
      </c>
      <c r="AQ602" t="s">
        <v>132</v>
      </c>
      <c r="AR602" t="s">
        <v>3195</v>
      </c>
      <c r="AS602" t="s">
        <v>5167</v>
      </c>
      <c r="AU602" t="s">
        <v>572</v>
      </c>
      <c r="AX602" t="s">
        <v>177</v>
      </c>
      <c r="AY602" t="s">
        <v>364</v>
      </c>
      <c r="AZ602" t="s">
        <v>5168</v>
      </c>
      <c r="BB602" t="s">
        <v>140</v>
      </c>
    </row>
    <row r="603" spans="1:54" x14ac:dyDescent="0.35">
      <c r="A603" t="s">
        <v>5169</v>
      </c>
      <c r="B603" t="s">
        <v>107</v>
      </c>
      <c r="C603" t="s">
        <v>107</v>
      </c>
      <c r="F603" t="s">
        <v>358</v>
      </c>
      <c r="G603" t="s">
        <v>359</v>
      </c>
      <c r="H603" t="s">
        <v>360</v>
      </c>
      <c r="I603" t="s">
        <v>341</v>
      </c>
      <c r="J603" t="s">
        <v>113</v>
      </c>
      <c r="K603" t="s">
        <v>114</v>
      </c>
      <c r="L603" t="s">
        <v>114</v>
      </c>
      <c r="M603" t="s">
        <v>114</v>
      </c>
      <c r="N603" t="s">
        <v>114</v>
      </c>
      <c r="O603" t="s">
        <v>114</v>
      </c>
      <c r="P603" t="s">
        <v>114</v>
      </c>
      <c r="Q603" t="s">
        <v>114</v>
      </c>
      <c r="R603" t="s">
        <v>114</v>
      </c>
      <c r="S603" t="s">
        <v>114</v>
      </c>
      <c r="T603" t="s">
        <v>114</v>
      </c>
      <c r="V603" t="s">
        <v>114</v>
      </c>
      <c r="W603" t="s">
        <v>114</v>
      </c>
      <c r="Y603" t="s">
        <v>5170</v>
      </c>
      <c r="Z603" t="s">
        <v>5170</v>
      </c>
      <c r="AA603" t="s">
        <v>5171</v>
      </c>
      <c r="AB603" t="s">
        <v>5172</v>
      </c>
      <c r="AC603" t="s">
        <v>5173</v>
      </c>
      <c r="AG603" t="s">
        <v>123</v>
      </c>
      <c r="AH603" t="s">
        <v>124</v>
      </c>
      <c r="AI603" t="s">
        <v>5174</v>
      </c>
      <c r="AJ603" t="s">
        <v>126</v>
      </c>
      <c r="AK603" t="s">
        <v>127</v>
      </c>
      <c r="AM603" t="s">
        <v>5175</v>
      </c>
      <c r="AN603" t="s">
        <v>5176</v>
      </c>
      <c r="AO603" t="s">
        <v>5177</v>
      </c>
      <c r="AP603" t="s">
        <v>131</v>
      </c>
      <c r="AQ603" t="s">
        <v>132</v>
      </c>
      <c r="AR603" t="s">
        <v>352</v>
      </c>
      <c r="AS603" t="s">
        <v>667</v>
      </c>
      <c r="AU603" t="s">
        <v>810</v>
      </c>
      <c r="AV603" t="s">
        <v>638</v>
      </c>
      <c r="AX603" t="s">
        <v>177</v>
      </c>
      <c r="AY603" t="s">
        <v>364</v>
      </c>
      <c r="AZ603" t="s">
        <v>5178</v>
      </c>
      <c r="BB603" t="s">
        <v>140</v>
      </c>
    </row>
    <row r="604" spans="1:54" x14ac:dyDescent="0.35">
      <c r="A604" t="s">
        <v>5179</v>
      </c>
      <c r="B604" t="s">
        <v>107</v>
      </c>
      <c r="C604" t="s">
        <v>107</v>
      </c>
      <c r="F604" t="s">
        <v>158</v>
      </c>
      <c r="G604" t="s">
        <v>159</v>
      </c>
      <c r="H604" t="s">
        <v>111</v>
      </c>
      <c r="I604" t="s">
        <v>341</v>
      </c>
      <c r="J604" t="s">
        <v>113</v>
      </c>
      <c r="K604" t="s">
        <v>114</v>
      </c>
      <c r="L604" t="s">
        <v>114</v>
      </c>
      <c r="M604" t="s">
        <v>114</v>
      </c>
      <c r="N604" t="s">
        <v>114</v>
      </c>
      <c r="O604" t="s">
        <v>114</v>
      </c>
      <c r="P604" t="s">
        <v>114</v>
      </c>
      <c r="Q604" t="s">
        <v>114</v>
      </c>
      <c r="R604" t="s">
        <v>114</v>
      </c>
      <c r="S604" t="s">
        <v>114</v>
      </c>
      <c r="T604" t="s">
        <v>114</v>
      </c>
      <c r="V604" t="s">
        <v>114</v>
      </c>
      <c r="W604" t="s">
        <v>114</v>
      </c>
      <c r="Y604" t="s">
        <v>5180</v>
      </c>
      <c r="Z604" t="s">
        <v>5180</v>
      </c>
      <c r="AA604" t="s">
        <v>5171</v>
      </c>
      <c r="AB604" t="s">
        <v>5181</v>
      </c>
      <c r="AC604" t="s">
        <v>5182</v>
      </c>
      <c r="AG604" t="s">
        <v>123</v>
      </c>
      <c r="AH604" t="s">
        <v>124</v>
      </c>
      <c r="AI604" t="s">
        <v>5183</v>
      </c>
      <c r="AJ604" t="s">
        <v>126</v>
      </c>
      <c r="AK604" t="s">
        <v>127</v>
      </c>
      <c r="AM604" t="s">
        <v>5184</v>
      </c>
      <c r="AN604" t="s">
        <v>5185</v>
      </c>
      <c r="AO604" t="s">
        <v>5186</v>
      </c>
      <c r="AP604" t="s">
        <v>131</v>
      </c>
      <c r="AQ604" t="s">
        <v>132</v>
      </c>
      <c r="AR604" t="s">
        <v>331</v>
      </c>
      <c r="AS604" t="s">
        <v>4997</v>
      </c>
      <c r="AU604" t="s">
        <v>495</v>
      </c>
      <c r="AX604" t="s">
        <v>177</v>
      </c>
      <c r="AY604" t="s">
        <v>138</v>
      </c>
      <c r="AZ604" t="s">
        <v>5187</v>
      </c>
      <c r="BB604" t="s">
        <v>140</v>
      </c>
    </row>
    <row r="605" spans="1:54" x14ac:dyDescent="0.35">
      <c r="A605" t="s">
        <v>5179</v>
      </c>
      <c r="B605" t="s">
        <v>107</v>
      </c>
      <c r="C605" t="s">
        <v>107</v>
      </c>
      <c r="F605" t="s">
        <v>358</v>
      </c>
      <c r="G605" t="s">
        <v>359</v>
      </c>
      <c r="H605" t="s">
        <v>360</v>
      </c>
      <c r="I605" t="s">
        <v>341</v>
      </c>
      <c r="J605" t="s">
        <v>113</v>
      </c>
      <c r="K605" t="s">
        <v>114</v>
      </c>
      <c r="L605" t="s">
        <v>114</v>
      </c>
      <c r="M605" t="s">
        <v>114</v>
      </c>
      <c r="N605" t="s">
        <v>114</v>
      </c>
      <c r="O605" t="s">
        <v>114</v>
      </c>
      <c r="P605" t="s">
        <v>114</v>
      </c>
      <c r="Q605" t="s">
        <v>114</v>
      </c>
      <c r="R605" t="s">
        <v>114</v>
      </c>
      <c r="S605" t="s">
        <v>114</v>
      </c>
      <c r="T605" t="s">
        <v>114</v>
      </c>
      <c r="V605" t="s">
        <v>114</v>
      </c>
      <c r="W605" t="s">
        <v>114</v>
      </c>
      <c r="Y605" t="s">
        <v>5180</v>
      </c>
      <c r="Z605" t="s">
        <v>5180</v>
      </c>
      <c r="AA605" t="s">
        <v>5171</v>
      </c>
      <c r="AB605" t="s">
        <v>5181</v>
      </c>
      <c r="AC605" t="s">
        <v>5182</v>
      </c>
      <c r="AG605" t="s">
        <v>123</v>
      </c>
      <c r="AH605" t="s">
        <v>124</v>
      </c>
      <c r="AI605" t="s">
        <v>5183</v>
      </c>
      <c r="AJ605" t="s">
        <v>126</v>
      </c>
      <c r="AK605" t="s">
        <v>127</v>
      </c>
      <c r="AM605" t="s">
        <v>5184</v>
      </c>
      <c r="AN605" t="s">
        <v>5185</v>
      </c>
      <c r="AO605" t="s">
        <v>5186</v>
      </c>
      <c r="AP605" t="s">
        <v>131</v>
      </c>
      <c r="AQ605" t="s">
        <v>132</v>
      </c>
      <c r="AR605" t="s">
        <v>331</v>
      </c>
      <c r="AS605" t="s">
        <v>4997</v>
      </c>
      <c r="AU605" t="s">
        <v>495</v>
      </c>
      <c r="AX605" t="s">
        <v>177</v>
      </c>
      <c r="AY605" t="s">
        <v>364</v>
      </c>
      <c r="AZ605" t="s">
        <v>5187</v>
      </c>
      <c r="BB605" t="s">
        <v>140</v>
      </c>
    </row>
    <row r="606" spans="1:54" x14ac:dyDescent="0.35">
      <c r="A606" t="s">
        <v>5188</v>
      </c>
      <c r="B606" t="s">
        <v>107</v>
      </c>
      <c r="C606" t="s">
        <v>107</v>
      </c>
      <c r="F606" t="s">
        <v>158</v>
      </c>
      <c r="G606" t="s">
        <v>159</v>
      </c>
      <c r="H606" t="s">
        <v>111</v>
      </c>
      <c r="I606" t="s">
        <v>341</v>
      </c>
      <c r="J606" t="s">
        <v>113</v>
      </c>
      <c r="K606" t="s">
        <v>114</v>
      </c>
      <c r="L606" t="s">
        <v>114</v>
      </c>
      <c r="M606" t="s">
        <v>114</v>
      </c>
      <c r="N606" t="s">
        <v>114</v>
      </c>
      <c r="O606" t="s">
        <v>114</v>
      </c>
      <c r="P606" t="s">
        <v>114</v>
      </c>
      <c r="Q606" t="s">
        <v>114</v>
      </c>
      <c r="R606" t="s">
        <v>114</v>
      </c>
      <c r="S606" t="s">
        <v>114</v>
      </c>
      <c r="T606" t="s">
        <v>114</v>
      </c>
      <c r="V606" t="s">
        <v>114</v>
      </c>
      <c r="W606" t="s">
        <v>114</v>
      </c>
      <c r="Y606" t="s">
        <v>5189</v>
      </c>
      <c r="Z606" t="s">
        <v>5189</v>
      </c>
      <c r="AA606" t="s">
        <v>5171</v>
      </c>
      <c r="AB606" t="s">
        <v>5190</v>
      </c>
      <c r="AC606" t="s">
        <v>5191</v>
      </c>
      <c r="AG606" t="s">
        <v>123</v>
      </c>
      <c r="AH606" t="s">
        <v>124</v>
      </c>
      <c r="AI606" t="s">
        <v>5192</v>
      </c>
      <c r="AJ606" t="s">
        <v>126</v>
      </c>
      <c r="AK606" t="s">
        <v>127</v>
      </c>
      <c r="AM606" t="s">
        <v>5193</v>
      </c>
      <c r="AN606" t="s">
        <v>5194</v>
      </c>
      <c r="AO606" t="s">
        <v>5195</v>
      </c>
      <c r="AP606" t="s">
        <v>131</v>
      </c>
      <c r="AQ606" t="s">
        <v>132</v>
      </c>
      <c r="AR606" t="s">
        <v>4308</v>
      </c>
      <c r="AS606" t="s">
        <v>4309</v>
      </c>
      <c r="AU606" t="s">
        <v>906</v>
      </c>
      <c r="AX606" t="s">
        <v>177</v>
      </c>
      <c r="AY606" t="s">
        <v>138</v>
      </c>
      <c r="AZ606" t="s">
        <v>5196</v>
      </c>
      <c r="BB606" t="s">
        <v>140</v>
      </c>
    </row>
    <row r="607" spans="1:54" x14ac:dyDescent="0.35">
      <c r="A607" t="s">
        <v>5197</v>
      </c>
      <c r="B607" t="s">
        <v>107</v>
      </c>
      <c r="C607" t="s">
        <v>107</v>
      </c>
      <c r="E607" t="s">
        <v>108</v>
      </c>
      <c r="F607" t="s">
        <v>268</v>
      </c>
      <c r="G607" t="s">
        <v>269</v>
      </c>
      <c r="H607" t="s">
        <v>2268</v>
      </c>
      <c r="I607" t="s">
        <v>271</v>
      </c>
      <c r="J607" t="s">
        <v>113</v>
      </c>
      <c r="K607" t="s">
        <v>114</v>
      </c>
      <c r="L607" t="s">
        <v>114</v>
      </c>
      <c r="M607" t="s">
        <v>114</v>
      </c>
      <c r="N607" t="s">
        <v>114</v>
      </c>
      <c r="O607" t="s">
        <v>114</v>
      </c>
      <c r="P607" t="s">
        <v>114</v>
      </c>
      <c r="Q607" t="s">
        <v>114</v>
      </c>
      <c r="R607" t="s">
        <v>180</v>
      </c>
      <c r="S607" t="s">
        <v>114</v>
      </c>
      <c r="T607" t="s">
        <v>180</v>
      </c>
      <c r="V607" t="s">
        <v>114</v>
      </c>
      <c r="W607" t="s">
        <v>1111</v>
      </c>
      <c r="Y607" t="s">
        <v>5198</v>
      </c>
      <c r="Z607" t="s">
        <v>5199</v>
      </c>
      <c r="AA607" t="s">
        <v>5171</v>
      </c>
      <c r="AB607" t="s">
        <v>5200</v>
      </c>
      <c r="AC607" t="s">
        <v>5199</v>
      </c>
      <c r="AG607" t="s">
        <v>123</v>
      </c>
      <c r="AH607" t="s">
        <v>124</v>
      </c>
      <c r="AI607" t="s">
        <v>5201</v>
      </c>
      <c r="AJ607" t="s">
        <v>126</v>
      </c>
      <c r="AK607" t="s">
        <v>127</v>
      </c>
      <c r="AM607" t="s">
        <v>5202</v>
      </c>
      <c r="AN607" t="s">
        <v>5203</v>
      </c>
      <c r="AO607" t="s">
        <v>5204</v>
      </c>
      <c r="AP607" t="s">
        <v>131</v>
      </c>
      <c r="AQ607" t="s">
        <v>403</v>
      </c>
      <c r="AR607" t="s">
        <v>2970</v>
      </c>
      <c r="AS607" t="s">
        <v>5205</v>
      </c>
      <c r="AU607" t="s">
        <v>389</v>
      </c>
      <c r="AW607" t="s">
        <v>136</v>
      </c>
      <c r="AX607" t="s">
        <v>272</v>
      </c>
      <c r="AY607" t="s">
        <v>273</v>
      </c>
      <c r="AZ607" t="s">
        <v>5206</v>
      </c>
      <c r="BB607" t="s">
        <v>140</v>
      </c>
    </row>
    <row r="608" spans="1:54" x14ac:dyDescent="0.35">
      <c r="A608" t="s">
        <v>5197</v>
      </c>
      <c r="B608" t="s">
        <v>107</v>
      </c>
      <c r="C608" t="s">
        <v>107</v>
      </c>
      <c r="E608" t="s">
        <v>108</v>
      </c>
      <c r="F608" t="s">
        <v>158</v>
      </c>
      <c r="G608" t="s">
        <v>159</v>
      </c>
      <c r="H608" t="s">
        <v>111</v>
      </c>
      <c r="I608" t="s">
        <v>341</v>
      </c>
      <c r="J608" t="s">
        <v>113</v>
      </c>
      <c r="K608" t="s">
        <v>114</v>
      </c>
      <c r="L608" t="s">
        <v>161</v>
      </c>
      <c r="M608" t="s">
        <v>161</v>
      </c>
      <c r="N608" t="s">
        <v>114</v>
      </c>
      <c r="O608" t="s">
        <v>1110</v>
      </c>
      <c r="P608" t="s">
        <v>1111</v>
      </c>
      <c r="Q608" t="s">
        <v>114</v>
      </c>
      <c r="R608" t="s">
        <v>180</v>
      </c>
      <c r="S608" t="s">
        <v>114</v>
      </c>
      <c r="T608" t="s">
        <v>180</v>
      </c>
      <c r="V608" t="s">
        <v>114</v>
      </c>
      <c r="W608" t="s">
        <v>1111</v>
      </c>
      <c r="Y608" t="s">
        <v>5198</v>
      </c>
      <c r="Z608" t="s">
        <v>5199</v>
      </c>
      <c r="AA608" t="s">
        <v>5171</v>
      </c>
      <c r="AB608" t="s">
        <v>5200</v>
      </c>
      <c r="AC608" t="s">
        <v>5199</v>
      </c>
      <c r="AG608" t="s">
        <v>123</v>
      </c>
      <c r="AH608" t="s">
        <v>124</v>
      </c>
      <c r="AI608" t="s">
        <v>5201</v>
      </c>
      <c r="AJ608" t="s">
        <v>126</v>
      </c>
      <c r="AK608" t="s">
        <v>127</v>
      </c>
      <c r="AM608" t="s">
        <v>5202</v>
      </c>
      <c r="AN608" t="s">
        <v>5203</v>
      </c>
      <c r="AO608" t="s">
        <v>5204</v>
      </c>
      <c r="AP608" t="s">
        <v>131</v>
      </c>
      <c r="AQ608" t="s">
        <v>403</v>
      </c>
      <c r="AR608" t="s">
        <v>2970</v>
      </c>
      <c r="AS608" t="s">
        <v>5205</v>
      </c>
      <c r="AU608" t="s">
        <v>389</v>
      </c>
      <c r="AW608" t="s">
        <v>136</v>
      </c>
      <c r="AX608" t="s">
        <v>177</v>
      </c>
      <c r="AY608" t="s">
        <v>138</v>
      </c>
      <c r="AZ608" t="s">
        <v>5206</v>
      </c>
      <c r="BB608" t="s">
        <v>140</v>
      </c>
    </row>
    <row r="609" spans="1:54" x14ac:dyDescent="0.35">
      <c r="A609" t="s">
        <v>5207</v>
      </c>
      <c r="B609" t="s">
        <v>107</v>
      </c>
      <c r="C609" t="s">
        <v>107</v>
      </c>
      <c r="E609" t="s">
        <v>108</v>
      </c>
      <c r="F609" t="s">
        <v>358</v>
      </c>
      <c r="G609" t="s">
        <v>359</v>
      </c>
      <c r="H609" t="s">
        <v>360</v>
      </c>
      <c r="I609" t="s">
        <v>341</v>
      </c>
      <c r="J609" t="s">
        <v>113</v>
      </c>
      <c r="K609" t="s">
        <v>114</v>
      </c>
      <c r="L609" t="s">
        <v>361</v>
      </c>
      <c r="M609" t="s">
        <v>361</v>
      </c>
      <c r="N609" t="s">
        <v>114</v>
      </c>
      <c r="O609" t="s">
        <v>3471</v>
      </c>
      <c r="P609" t="s">
        <v>3459</v>
      </c>
      <c r="Q609" t="s">
        <v>114</v>
      </c>
      <c r="R609" t="s">
        <v>180</v>
      </c>
      <c r="S609" t="s">
        <v>114</v>
      </c>
      <c r="T609" t="s">
        <v>180</v>
      </c>
      <c r="V609" t="s">
        <v>114</v>
      </c>
      <c r="W609" t="s">
        <v>3459</v>
      </c>
      <c r="Y609" t="s">
        <v>5208</v>
      </c>
      <c r="Z609" t="s">
        <v>5209</v>
      </c>
      <c r="AA609" t="s">
        <v>5210</v>
      </c>
      <c r="AB609" t="s">
        <v>5211</v>
      </c>
      <c r="AC609" t="s">
        <v>5212</v>
      </c>
      <c r="AG609" t="s">
        <v>123</v>
      </c>
      <c r="AH609" t="s">
        <v>124</v>
      </c>
      <c r="AI609" t="s">
        <v>5213</v>
      </c>
      <c r="AJ609" t="s">
        <v>126</v>
      </c>
      <c r="AK609" t="s">
        <v>127</v>
      </c>
      <c r="AM609" t="s">
        <v>5214</v>
      </c>
      <c r="AN609" t="s">
        <v>5215</v>
      </c>
      <c r="AO609" t="s">
        <v>5216</v>
      </c>
      <c r="AP609" t="s">
        <v>131</v>
      </c>
      <c r="AQ609" t="s">
        <v>132</v>
      </c>
      <c r="AR609" t="s">
        <v>387</v>
      </c>
      <c r="AS609" t="s">
        <v>3038</v>
      </c>
      <c r="AU609" t="s">
        <v>585</v>
      </c>
      <c r="AW609" t="s">
        <v>176</v>
      </c>
      <c r="AX609" t="s">
        <v>177</v>
      </c>
      <c r="AY609" t="s">
        <v>364</v>
      </c>
      <c r="AZ609" t="s">
        <v>5217</v>
      </c>
      <c r="BB609" t="s">
        <v>140</v>
      </c>
    </row>
    <row r="610" spans="1:54" x14ac:dyDescent="0.35">
      <c r="A610" t="s">
        <v>5207</v>
      </c>
      <c r="B610" t="s">
        <v>107</v>
      </c>
      <c r="C610" t="s">
        <v>107</v>
      </c>
      <c r="E610" t="s">
        <v>108</v>
      </c>
      <c r="F610" t="s">
        <v>338</v>
      </c>
      <c r="G610" t="s">
        <v>339</v>
      </c>
      <c r="H610" t="s">
        <v>340</v>
      </c>
      <c r="I610" t="s">
        <v>341</v>
      </c>
      <c r="J610" t="s">
        <v>113</v>
      </c>
      <c r="K610" t="s">
        <v>114</v>
      </c>
      <c r="L610" t="s">
        <v>114</v>
      </c>
      <c r="M610" t="s">
        <v>114</v>
      </c>
      <c r="N610" t="s">
        <v>114</v>
      </c>
      <c r="O610" t="s">
        <v>114</v>
      </c>
      <c r="P610" t="s">
        <v>114</v>
      </c>
      <c r="Q610" t="s">
        <v>114</v>
      </c>
      <c r="R610" t="s">
        <v>180</v>
      </c>
      <c r="S610" t="s">
        <v>114</v>
      </c>
      <c r="T610" t="s">
        <v>180</v>
      </c>
      <c r="V610" t="s">
        <v>114</v>
      </c>
      <c r="W610" t="s">
        <v>3459</v>
      </c>
      <c r="Y610" t="s">
        <v>5208</v>
      </c>
      <c r="Z610" t="s">
        <v>5209</v>
      </c>
      <c r="AA610" t="s">
        <v>5210</v>
      </c>
      <c r="AB610" t="s">
        <v>5211</v>
      </c>
      <c r="AC610" t="s">
        <v>5212</v>
      </c>
      <c r="AG610" t="s">
        <v>123</v>
      </c>
      <c r="AH610" t="s">
        <v>124</v>
      </c>
      <c r="AI610" t="s">
        <v>5213</v>
      </c>
      <c r="AJ610" t="s">
        <v>126</v>
      </c>
      <c r="AK610" t="s">
        <v>127</v>
      </c>
      <c r="AM610" t="s">
        <v>5214</v>
      </c>
      <c r="AN610" t="s">
        <v>5215</v>
      </c>
      <c r="AO610" t="s">
        <v>5216</v>
      </c>
      <c r="AP610" t="s">
        <v>131</v>
      </c>
      <c r="AQ610" t="s">
        <v>132</v>
      </c>
      <c r="AR610" t="s">
        <v>387</v>
      </c>
      <c r="AS610" t="s">
        <v>3038</v>
      </c>
      <c r="AU610" t="s">
        <v>585</v>
      </c>
      <c r="AW610" t="s">
        <v>176</v>
      </c>
      <c r="AX610" t="s">
        <v>177</v>
      </c>
      <c r="AY610" t="s">
        <v>356</v>
      </c>
      <c r="AZ610" t="s">
        <v>5217</v>
      </c>
      <c r="BB610" t="s">
        <v>140</v>
      </c>
    </row>
    <row r="611" spans="1:54" x14ac:dyDescent="0.35">
      <c r="A611" t="s">
        <v>5218</v>
      </c>
      <c r="B611" t="s">
        <v>107</v>
      </c>
      <c r="C611" t="s">
        <v>107</v>
      </c>
      <c r="E611" t="s">
        <v>108</v>
      </c>
      <c r="F611" t="s">
        <v>158</v>
      </c>
      <c r="G611" t="s">
        <v>159</v>
      </c>
      <c r="H611" t="s">
        <v>111</v>
      </c>
      <c r="I611" t="s">
        <v>341</v>
      </c>
      <c r="J611" t="s">
        <v>113</v>
      </c>
      <c r="K611" t="s">
        <v>114</v>
      </c>
      <c r="L611" t="s">
        <v>161</v>
      </c>
      <c r="M611" t="s">
        <v>161</v>
      </c>
      <c r="N611" t="s">
        <v>436</v>
      </c>
      <c r="O611" t="s">
        <v>1110</v>
      </c>
      <c r="P611" t="s">
        <v>1876</v>
      </c>
      <c r="Q611" t="s">
        <v>114</v>
      </c>
      <c r="R611" t="s">
        <v>180</v>
      </c>
      <c r="S611" t="s">
        <v>114</v>
      </c>
      <c r="T611" t="s">
        <v>180</v>
      </c>
      <c r="V611" t="s">
        <v>114</v>
      </c>
      <c r="W611" t="s">
        <v>1876</v>
      </c>
      <c r="Y611" t="s">
        <v>5219</v>
      </c>
      <c r="Z611" t="s">
        <v>5220</v>
      </c>
      <c r="AA611" t="s">
        <v>5210</v>
      </c>
      <c r="AB611" t="s">
        <v>5221</v>
      </c>
      <c r="AC611" t="s">
        <v>5222</v>
      </c>
      <c r="AG611" t="s">
        <v>123</v>
      </c>
      <c r="AH611" t="s">
        <v>124</v>
      </c>
      <c r="AI611" t="s">
        <v>5223</v>
      </c>
      <c r="AJ611" t="s">
        <v>126</v>
      </c>
      <c r="AK611" t="s">
        <v>127</v>
      </c>
      <c r="AM611" t="s">
        <v>5224</v>
      </c>
      <c r="AN611" t="s">
        <v>5225</v>
      </c>
      <c r="AO611" t="s">
        <v>5226</v>
      </c>
      <c r="AP611" t="s">
        <v>131</v>
      </c>
      <c r="AQ611" t="s">
        <v>132</v>
      </c>
      <c r="AR611" t="s">
        <v>202</v>
      </c>
      <c r="AS611" t="s">
        <v>1489</v>
      </c>
      <c r="AU611" t="s">
        <v>354</v>
      </c>
      <c r="AW611" t="s">
        <v>655</v>
      </c>
      <c r="AX611" t="s">
        <v>177</v>
      </c>
      <c r="AY611" t="s">
        <v>138</v>
      </c>
      <c r="AZ611" t="s">
        <v>5227</v>
      </c>
      <c r="BB611" t="s">
        <v>140</v>
      </c>
    </row>
    <row r="612" spans="1:54" x14ac:dyDescent="0.35">
      <c r="A612" t="s">
        <v>5218</v>
      </c>
      <c r="B612" t="s">
        <v>107</v>
      </c>
      <c r="C612" t="s">
        <v>107</v>
      </c>
      <c r="E612" t="s">
        <v>108</v>
      </c>
      <c r="F612" t="s">
        <v>268</v>
      </c>
      <c r="G612" t="s">
        <v>269</v>
      </c>
      <c r="H612" t="s">
        <v>2268</v>
      </c>
      <c r="I612" t="s">
        <v>271</v>
      </c>
      <c r="J612" t="s">
        <v>113</v>
      </c>
      <c r="K612" t="s">
        <v>114</v>
      </c>
      <c r="L612" t="s">
        <v>114</v>
      </c>
      <c r="M612" t="s">
        <v>114</v>
      </c>
      <c r="N612" t="s">
        <v>114</v>
      </c>
      <c r="O612" t="s">
        <v>114</v>
      </c>
      <c r="P612" t="s">
        <v>114</v>
      </c>
      <c r="Q612" t="s">
        <v>114</v>
      </c>
      <c r="R612" t="s">
        <v>180</v>
      </c>
      <c r="S612" t="s">
        <v>114</v>
      </c>
      <c r="T612" t="s">
        <v>180</v>
      </c>
      <c r="V612" t="s">
        <v>114</v>
      </c>
      <c r="W612" t="s">
        <v>1876</v>
      </c>
      <c r="Y612" t="s">
        <v>5219</v>
      </c>
      <c r="Z612" t="s">
        <v>5220</v>
      </c>
      <c r="AA612" t="s">
        <v>5210</v>
      </c>
      <c r="AB612" t="s">
        <v>5221</v>
      </c>
      <c r="AC612" t="s">
        <v>5222</v>
      </c>
      <c r="AG612" t="s">
        <v>123</v>
      </c>
      <c r="AH612" t="s">
        <v>124</v>
      </c>
      <c r="AI612" t="s">
        <v>5223</v>
      </c>
      <c r="AJ612" t="s">
        <v>126</v>
      </c>
      <c r="AK612" t="s">
        <v>127</v>
      </c>
      <c r="AM612" t="s">
        <v>5224</v>
      </c>
      <c r="AN612" t="s">
        <v>5225</v>
      </c>
      <c r="AO612" t="s">
        <v>5226</v>
      </c>
      <c r="AP612" t="s">
        <v>131</v>
      </c>
      <c r="AQ612" t="s">
        <v>132</v>
      </c>
      <c r="AR612" t="s">
        <v>202</v>
      </c>
      <c r="AS612" t="s">
        <v>1489</v>
      </c>
      <c r="AU612" t="s">
        <v>354</v>
      </c>
      <c r="AW612" t="s">
        <v>655</v>
      </c>
      <c r="AX612" t="s">
        <v>272</v>
      </c>
      <c r="AY612" t="s">
        <v>273</v>
      </c>
      <c r="AZ612" t="s">
        <v>5227</v>
      </c>
      <c r="BB612" t="s">
        <v>140</v>
      </c>
    </row>
    <row r="613" spans="1:54" x14ac:dyDescent="0.35">
      <c r="A613" t="s">
        <v>5228</v>
      </c>
      <c r="B613" t="s">
        <v>107</v>
      </c>
      <c r="C613" t="s">
        <v>107</v>
      </c>
      <c r="E613" t="s">
        <v>108</v>
      </c>
      <c r="F613" t="s">
        <v>358</v>
      </c>
      <c r="G613" t="s">
        <v>359</v>
      </c>
      <c r="H613" t="s">
        <v>360</v>
      </c>
      <c r="I613" t="s">
        <v>341</v>
      </c>
      <c r="J613" t="s">
        <v>113</v>
      </c>
      <c r="K613" t="s">
        <v>114</v>
      </c>
      <c r="L613" t="s">
        <v>361</v>
      </c>
      <c r="M613" t="s">
        <v>361</v>
      </c>
      <c r="N613" t="s">
        <v>5229</v>
      </c>
      <c r="O613" t="s">
        <v>3471</v>
      </c>
      <c r="P613" t="s">
        <v>5230</v>
      </c>
      <c r="Q613" t="s">
        <v>5231</v>
      </c>
      <c r="R613" t="s">
        <v>180</v>
      </c>
      <c r="S613" t="s">
        <v>114</v>
      </c>
      <c r="T613" t="s">
        <v>1644</v>
      </c>
      <c r="U613" t="s">
        <v>5232</v>
      </c>
      <c r="V613" t="s">
        <v>114</v>
      </c>
      <c r="W613" t="s">
        <v>5233</v>
      </c>
      <c r="Y613" t="s">
        <v>5234</v>
      </c>
      <c r="Z613" t="s">
        <v>5235</v>
      </c>
      <c r="AA613" t="s">
        <v>5210</v>
      </c>
      <c r="AB613" t="s">
        <v>5236</v>
      </c>
      <c r="AC613" t="s">
        <v>5237</v>
      </c>
      <c r="AG613" t="s">
        <v>123</v>
      </c>
      <c r="AH613" t="s">
        <v>124</v>
      </c>
      <c r="AI613" t="s">
        <v>5238</v>
      </c>
      <c r="AJ613" t="s">
        <v>126</v>
      </c>
      <c r="AK613" t="s">
        <v>127</v>
      </c>
      <c r="AM613" t="s">
        <v>5239</v>
      </c>
      <c r="AN613" t="s">
        <v>5240</v>
      </c>
      <c r="AO613" t="s">
        <v>5241</v>
      </c>
      <c r="AP613" t="s">
        <v>131</v>
      </c>
      <c r="AQ613" t="s">
        <v>132</v>
      </c>
      <c r="AR613" t="s">
        <v>352</v>
      </c>
      <c r="AS613" t="s">
        <v>667</v>
      </c>
      <c r="AU613" t="s">
        <v>3239</v>
      </c>
      <c r="AW613" t="s">
        <v>655</v>
      </c>
      <c r="AX613" t="s">
        <v>177</v>
      </c>
      <c r="AY613" t="s">
        <v>364</v>
      </c>
      <c r="AZ613" t="s">
        <v>5242</v>
      </c>
      <c r="BB613" t="s">
        <v>140</v>
      </c>
    </row>
    <row r="614" spans="1:54" x14ac:dyDescent="0.35">
      <c r="A614" t="s">
        <v>5228</v>
      </c>
      <c r="B614" t="s">
        <v>107</v>
      </c>
      <c r="C614" t="s">
        <v>107</v>
      </c>
      <c r="E614" t="s">
        <v>108</v>
      </c>
      <c r="F614" t="s">
        <v>338</v>
      </c>
      <c r="G614" t="s">
        <v>339</v>
      </c>
      <c r="H614" t="s">
        <v>340</v>
      </c>
      <c r="I614" t="s">
        <v>341</v>
      </c>
      <c r="J614" t="s">
        <v>113</v>
      </c>
      <c r="K614" t="s">
        <v>114</v>
      </c>
      <c r="L614" t="s">
        <v>114</v>
      </c>
      <c r="M614" t="s">
        <v>114</v>
      </c>
      <c r="N614" t="s">
        <v>114</v>
      </c>
      <c r="O614" t="s">
        <v>114</v>
      </c>
      <c r="P614" t="s">
        <v>114</v>
      </c>
      <c r="Q614" t="s">
        <v>5231</v>
      </c>
      <c r="R614" t="s">
        <v>180</v>
      </c>
      <c r="S614" t="s">
        <v>114</v>
      </c>
      <c r="T614" t="s">
        <v>1644</v>
      </c>
      <c r="U614" t="s">
        <v>5232</v>
      </c>
      <c r="V614" t="s">
        <v>114</v>
      </c>
      <c r="W614" t="s">
        <v>5233</v>
      </c>
      <c r="Y614" t="s">
        <v>5234</v>
      </c>
      <c r="Z614" t="s">
        <v>5235</v>
      </c>
      <c r="AA614" t="s">
        <v>5210</v>
      </c>
      <c r="AB614" t="s">
        <v>5236</v>
      </c>
      <c r="AC614" t="s">
        <v>5237</v>
      </c>
      <c r="AG614" t="s">
        <v>123</v>
      </c>
      <c r="AH614" t="s">
        <v>124</v>
      </c>
      <c r="AI614" t="s">
        <v>5238</v>
      </c>
      <c r="AJ614" t="s">
        <v>126</v>
      </c>
      <c r="AK614" t="s">
        <v>127</v>
      </c>
      <c r="AM614" t="s">
        <v>5239</v>
      </c>
      <c r="AN614" t="s">
        <v>5240</v>
      </c>
      <c r="AO614" t="s">
        <v>5241</v>
      </c>
      <c r="AP614" t="s">
        <v>131</v>
      </c>
      <c r="AQ614" t="s">
        <v>132</v>
      </c>
      <c r="AR614" t="s">
        <v>352</v>
      </c>
      <c r="AS614" t="s">
        <v>667</v>
      </c>
      <c r="AU614" t="s">
        <v>3239</v>
      </c>
      <c r="AW614" t="s">
        <v>655</v>
      </c>
      <c r="AX614" t="s">
        <v>177</v>
      </c>
      <c r="AY614" t="s">
        <v>356</v>
      </c>
      <c r="AZ614" t="s">
        <v>5242</v>
      </c>
      <c r="BB614" t="s">
        <v>140</v>
      </c>
    </row>
    <row r="615" spans="1:54" x14ac:dyDescent="0.35">
      <c r="A615" t="s">
        <v>5243</v>
      </c>
      <c r="B615" t="s">
        <v>107</v>
      </c>
      <c r="C615" t="s">
        <v>107</v>
      </c>
      <c r="E615" t="s">
        <v>108</v>
      </c>
      <c r="F615" t="s">
        <v>338</v>
      </c>
      <c r="G615" t="s">
        <v>339</v>
      </c>
      <c r="H615" t="s">
        <v>340</v>
      </c>
      <c r="I615" t="s">
        <v>341</v>
      </c>
      <c r="J615" t="s">
        <v>113</v>
      </c>
      <c r="K615" t="s">
        <v>114</v>
      </c>
      <c r="L615" t="s">
        <v>114</v>
      </c>
      <c r="M615" t="s">
        <v>114</v>
      </c>
      <c r="N615" t="s">
        <v>114</v>
      </c>
      <c r="O615" t="s">
        <v>114</v>
      </c>
      <c r="P615" t="s">
        <v>114</v>
      </c>
      <c r="Q615" t="s">
        <v>114</v>
      </c>
      <c r="R615" t="s">
        <v>142</v>
      </c>
      <c r="S615" t="s">
        <v>114</v>
      </c>
      <c r="T615" t="s">
        <v>142</v>
      </c>
      <c r="V615" t="s">
        <v>114</v>
      </c>
      <c r="W615" t="s">
        <v>3459</v>
      </c>
      <c r="Y615" t="s">
        <v>5244</v>
      </c>
      <c r="Z615" t="s">
        <v>5245</v>
      </c>
      <c r="AA615" t="s">
        <v>5210</v>
      </c>
      <c r="AB615" t="s">
        <v>5246</v>
      </c>
      <c r="AC615" t="s">
        <v>5247</v>
      </c>
      <c r="AG615" t="s">
        <v>123</v>
      </c>
      <c r="AH615" t="s">
        <v>124</v>
      </c>
      <c r="AI615" t="s">
        <v>5248</v>
      </c>
      <c r="AJ615" t="s">
        <v>126</v>
      </c>
      <c r="AK615" t="s">
        <v>127</v>
      </c>
      <c r="AM615" t="s">
        <v>5249</v>
      </c>
      <c r="AN615" t="s">
        <v>4195</v>
      </c>
      <c r="AO615" t="s">
        <v>5250</v>
      </c>
      <c r="AP615" t="s">
        <v>131</v>
      </c>
      <c r="AQ615" t="s">
        <v>132</v>
      </c>
      <c r="AR615" t="s">
        <v>466</v>
      </c>
      <c r="AS615" t="s">
        <v>467</v>
      </c>
      <c r="AU615" t="s">
        <v>626</v>
      </c>
      <c r="AV615" t="s">
        <v>300</v>
      </c>
      <c r="AW615" t="s">
        <v>655</v>
      </c>
      <c r="AX615" t="s">
        <v>177</v>
      </c>
      <c r="AY615" t="s">
        <v>356</v>
      </c>
      <c r="AZ615" t="s">
        <v>5251</v>
      </c>
      <c r="BB615" t="s">
        <v>140</v>
      </c>
    </row>
    <row r="616" spans="1:54" x14ac:dyDescent="0.35">
      <c r="A616" t="s">
        <v>5243</v>
      </c>
      <c r="B616" t="s">
        <v>107</v>
      </c>
      <c r="C616" t="s">
        <v>107</v>
      </c>
      <c r="E616" t="s">
        <v>108</v>
      </c>
      <c r="F616" t="s">
        <v>358</v>
      </c>
      <c r="G616" t="s">
        <v>359</v>
      </c>
      <c r="H616" t="s">
        <v>360</v>
      </c>
      <c r="I616" t="s">
        <v>341</v>
      </c>
      <c r="J616" t="s">
        <v>113</v>
      </c>
      <c r="K616" t="s">
        <v>114</v>
      </c>
      <c r="L616" t="s">
        <v>361</v>
      </c>
      <c r="M616" t="s">
        <v>361</v>
      </c>
      <c r="N616" t="s">
        <v>114</v>
      </c>
      <c r="O616" t="s">
        <v>3471</v>
      </c>
      <c r="P616" t="s">
        <v>3459</v>
      </c>
      <c r="Q616" t="s">
        <v>114</v>
      </c>
      <c r="R616" t="s">
        <v>142</v>
      </c>
      <c r="S616" t="s">
        <v>114</v>
      </c>
      <c r="T616" t="s">
        <v>142</v>
      </c>
      <c r="V616" t="s">
        <v>114</v>
      </c>
      <c r="W616" t="s">
        <v>3459</v>
      </c>
      <c r="Y616" t="s">
        <v>5244</v>
      </c>
      <c r="Z616" t="s">
        <v>5245</v>
      </c>
      <c r="AA616" t="s">
        <v>5210</v>
      </c>
      <c r="AB616" t="s">
        <v>5246</v>
      </c>
      <c r="AC616" t="s">
        <v>5247</v>
      </c>
      <c r="AG616" t="s">
        <v>123</v>
      </c>
      <c r="AH616" t="s">
        <v>124</v>
      </c>
      <c r="AI616" t="s">
        <v>5248</v>
      </c>
      <c r="AJ616" t="s">
        <v>126</v>
      </c>
      <c r="AK616" t="s">
        <v>127</v>
      </c>
      <c r="AM616" t="s">
        <v>5249</v>
      </c>
      <c r="AN616" t="s">
        <v>4195</v>
      </c>
      <c r="AO616" t="s">
        <v>5250</v>
      </c>
      <c r="AP616" t="s">
        <v>131</v>
      </c>
      <c r="AQ616" t="s">
        <v>132</v>
      </c>
      <c r="AR616" t="s">
        <v>466</v>
      </c>
      <c r="AS616" t="s">
        <v>467</v>
      </c>
      <c r="AU616" t="s">
        <v>626</v>
      </c>
      <c r="AV616" t="s">
        <v>300</v>
      </c>
      <c r="AW616" t="s">
        <v>655</v>
      </c>
      <c r="AX616" t="s">
        <v>177</v>
      </c>
      <c r="AY616" t="s">
        <v>364</v>
      </c>
      <c r="AZ616" t="s">
        <v>5251</v>
      </c>
      <c r="BB616" t="s">
        <v>140</v>
      </c>
    </row>
    <row r="617" spans="1:54" x14ac:dyDescent="0.35">
      <c r="A617" t="s">
        <v>5252</v>
      </c>
      <c r="B617" t="s">
        <v>107</v>
      </c>
      <c r="C617" t="s">
        <v>107</v>
      </c>
      <c r="E617" t="s">
        <v>108</v>
      </c>
      <c r="F617" t="s">
        <v>499</v>
      </c>
      <c r="G617" t="s">
        <v>500</v>
      </c>
      <c r="H617" t="s">
        <v>501</v>
      </c>
      <c r="I617" t="s">
        <v>341</v>
      </c>
      <c r="J617" t="s">
        <v>113</v>
      </c>
      <c r="K617" t="s">
        <v>114</v>
      </c>
      <c r="L617" t="s">
        <v>502</v>
      </c>
      <c r="M617" t="s">
        <v>502</v>
      </c>
      <c r="N617" t="s">
        <v>113</v>
      </c>
      <c r="O617" t="s">
        <v>504</v>
      </c>
      <c r="P617" t="s">
        <v>3608</v>
      </c>
      <c r="Q617" t="s">
        <v>114</v>
      </c>
      <c r="R617" t="s">
        <v>180</v>
      </c>
      <c r="S617" t="s">
        <v>114</v>
      </c>
      <c r="T617" t="s">
        <v>180</v>
      </c>
      <c r="V617" t="s">
        <v>114</v>
      </c>
      <c r="W617" t="s">
        <v>3608</v>
      </c>
      <c r="Y617" t="s">
        <v>5253</v>
      </c>
      <c r="Z617" t="s">
        <v>5254</v>
      </c>
      <c r="AA617" t="s">
        <v>5210</v>
      </c>
      <c r="AB617" t="s">
        <v>5255</v>
      </c>
      <c r="AC617" t="s">
        <v>5254</v>
      </c>
      <c r="AG617" t="s">
        <v>123</v>
      </c>
      <c r="AH617" t="s">
        <v>124</v>
      </c>
      <c r="AI617" t="s">
        <v>5256</v>
      </c>
      <c r="AJ617" t="s">
        <v>126</v>
      </c>
      <c r="AK617" t="s">
        <v>127</v>
      </c>
      <c r="AM617" t="s">
        <v>5257</v>
      </c>
      <c r="AN617" t="s">
        <v>5258</v>
      </c>
      <c r="AO617" t="s">
        <v>5259</v>
      </c>
      <c r="AP617" t="s">
        <v>131</v>
      </c>
      <c r="AQ617" t="s">
        <v>132</v>
      </c>
      <c r="AR617" t="s">
        <v>1777</v>
      </c>
      <c r="AS617" t="s">
        <v>5260</v>
      </c>
      <c r="AU617" t="s">
        <v>190</v>
      </c>
      <c r="AW617" t="s">
        <v>136</v>
      </c>
      <c r="AX617" t="s">
        <v>177</v>
      </c>
      <c r="AY617" t="s">
        <v>517</v>
      </c>
      <c r="AZ617" t="s">
        <v>5261</v>
      </c>
      <c r="BB617" t="s">
        <v>140</v>
      </c>
    </row>
    <row r="618" spans="1:54" x14ac:dyDescent="0.35">
      <c r="A618" t="s">
        <v>5262</v>
      </c>
      <c r="B618" t="s">
        <v>107</v>
      </c>
      <c r="C618" t="s">
        <v>107</v>
      </c>
      <c r="E618" t="s">
        <v>108</v>
      </c>
      <c r="F618" t="s">
        <v>613</v>
      </c>
      <c r="G618" t="s">
        <v>614</v>
      </c>
      <c r="H618" t="s">
        <v>615</v>
      </c>
      <c r="I618" t="s">
        <v>271</v>
      </c>
      <c r="J618" t="s">
        <v>113</v>
      </c>
      <c r="K618" t="s">
        <v>114</v>
      </c>
      <c r="L618" t="s">
        <v>2550</v>
      </c>
      <c r="M618" t="s">
        <v>2550</v>
      </c>
      <c r="N618" t="s">
        <v>114</v>
      </c>
      <c r="O618" t="s">
        <v>2551</v>
      </c>
      <c r="P618" t="s">
        <v>2552</v>
      </c>
      <c r="Q618" t="s">
        <v>114</v>
      </c>
      <c r="R618" t="s">
        <v>180</v>
      </c>
      <c r="S618" t="s">
        <v>114</v>
      </c>
      <c r="T618" t="s">
        <v>180</v>
      </c>
      <c r="V618" t="s">
        <v>114</v>
      </c>
      <c r="W618" t="s">
        <v>2552</v>
      </c>
      <c r="Y618" t="s">
        <v>5263</v>
      </c>
      <c r="Z618" t="s">
        <v>5264</v>
      </c>
      <c r="AA618" t="s">
        <v>5210</v>
      </c>
      <c r="AB618" t="s">
        <v>5265</v>
      </c>
      <c r="AC618" t="s">
        <v>5264</v>
      </c>
      <c r="AG618" t="s">
        <v>123</v>
      </c>
      <c r="AH618" t="s">
        <v>124</v>
      </c>
      <c r="AI618" t="s">
        <v>5266</v>
      </c>
      <c r="AJ618" t="s">
        <v>126</v>
      </c>
      <c r="AK618" t="s">
        <v>127</v>
      </c>
      <c r="AM618" t="s">
        <v>5267</v>
      </c>
      <c r="AN618" t="s">
        <v>5268</v>
      </c>
      <c r="AO618" t="s">
        <v>5269</v>
      </c>
      <c r="AP618" t="s">
        <v>131</v>
      </c>
      <c r="AQ618" t="s">
        <v>132</v>
      </c>
      <c r="AR618" t="s">
        <v>756</v>
      </c>
      <c r="AS618" t="s">
        <v>5270</v>
      </c>
      <c r="AU618" t="s">
        <v>1534</v>
      </c>
      <c r="AV618" t="s">
        <v>638</v>
      </c>
      <c r="AW618" t="s">
        <v>136</v>
      </c>
      <c r="AX618" t="s">
        <v>177</v>
      </c>
      <c r="AY618" t="s">
        <v>627</v>
      </c>
      <c r="AZ618" t="s">
        <v>5271</v>
      </c>
      <c r="BB618" t="s">
        <v>140</v>
      </c>
    </row>
    <row r="619" spans="1:54" x14ac:dyDescent="0.35">
      <c r="A619" t="s">
        <v>5272</v>
      </c>
      <c r="B619" t="s">
        <v>107</v>
      </c>
      <c r="C619" t="s">
        <v>107</v>
      </c>
      <c r="E619" t="s">
        <v>108</v>
      </c>
      <c r="F619" t="s">
        <v>613</v>
      </c>
      <c r="G619" t="s">
        <v>614</v>
      </c>
      <c r="H619" t="s">
        <v>615</v>
      </c>
      <c r="I619" t="s">
        <v>271</v>
      </c>
      <c r="J619" t="s">
        <v>113</v>
      </c>
      <c r="K619" t="s">
        <v>114</v>
      </c>
      <c r="L619" t="s">
        <v>2550</v>
      </c>
      <c r="M619" t="s">
        <v>2550</v>
      </c>
      <c r="N619" t="s">
        <v>114</v>
      </c>
      <c r="O619" t="s">
        <v>2551</v>
      </c>
      <c r="P619" t="s">
        <v>2552</v>
      </c>
      <c r="Q619" t="s">
        <v>114</v>
      </c>
      <c r="R619" t="s">
        <v>142</v>
      </c>
      <c r="S619" t="s">
        <v>114</v>
      </c>
      <c r="T619" t="s">
        <v>142</v>
      </c>
      <c r="V619" t="s">
        <v>114</v>
      </c>
      <c r="W619" t="s">
        <v>2552</v>
      </c>
      <c r="Y619" t="s">
        <v>5273</v>
      </c>
      <c r="Z619" t="s">
        <v>5274</v>
      </c>
      <c r="AA619" t="s">
        <v>5210</v>
      </c>
      <c r="AB619" t="s">
        <v>5275</v>
      </c>
      <c r="AC619" t="s">
        <v>5276</v>
      </c>
      <c r="AG619" t="s">
        <v>123</v>
      </c>
      <c r="AH619" t="s">
        <v>124</v>
      </c>
      <c r="AI619" t="s">
        <v>5277</v>
      </c>
      <c r="AJ619" t="s">
        <v>126</v>
      </c>
      <c r="AK619" t="s">
        <v>127</v>
      </c>
      <c r="AM619" t="s">
        <v>5278</v>
      </c>
      <c r="AN619" t="s">
        <v>5279</v>
      </c>
      <c r="AO619" t="s">
        <v>5280</v>
      </c>
      <c r="AP619" t="s">
        <v>131</v>
      </c>
      <c r="AQ619" t="s">
        <v>233</v>
      </c>
      <c r="AR619" t="s">
        <v>234</v>
      </c>
      <c r="AS619" t="s">
        <v>5281</v>
      </c>
      <c r="AU619" t="s">
        <v>495</v>
      </c>
      <c r="AW619" t="s">
        <v>176</v>
      </c>
      <c r="AX619" t="s">
        <v>177</v>
      </c>
      <c r="AY619" t="s">
        <v>627</v>
      </c>
      <c r="AZ619" t="s">
        <v>5282</v>
      </c>
      <c r="BB619" t="s">
        <v>140</v>
      </c>
    </row>
    <row r="620" spans="1:54" x14ac:dyDescent="0.35">
      <c r="A620" t="s">
        <v>5283</v>
      </c>
      <c r="B620" t="s">
        <v>107</v>
      </c>
      <c r="C620" t="s">
        <v>107</v>
      </c>
      <c r="E620" t="s">
        <v>108</v>
      </c>
      <c r="F620" t="s">
        <v>268</v>
      </c>
      <c r="G620" t="s">
        <v>269</v>
      </c>
      <c r="H620" t="s">
        <v>2268</v>
      </c>
      <c r="I620" t="s">
        <v>271</v>
      </c>
      <c r="J620" t="s">
        <v>113</v>
      </c>
      <c r="K620" t="s">
        <v>114</v>
      </c>
      <c r="L620" t="s">
        <v>114</v>
      </c>
      <c r="M620" t="s">
        <v>114</v>
      </c>
      <c r="N620" t="s">
        <v>114</v>
      </c>
      <c r="O620" t="s">
        <v>114</v>
      </c>
      <c r="P620" t="s">
        <v>114</v>
      </c>
      <c r="Q620" t="s">
        <v>114</v>
      </c>
      <c r="R620" t="s">
        <v>180</v>
      </c>
      <c r="S620" t="s">
        <v>114</v>
      </c>
      <c r="T620" t="s">
        <v>180</v>
      </c>
      <c r="V620" t="s">
        <v>114</v>
      </c>
      <c r="W620" t="s">
        <v>5284</v>
      </c>
      <c r="Y620" t="s">
        <v>5285</v>
      </c>
      <c r="Z620" t="s">
        <v>5286</v>
      </c>
      <c r="AA620" t="s">
        <v>5287</v>
      </c>
      <c r="AB620" t="s">
        <v>5288</v>
      </c>
      <c r="AC620" t="s">
        <v>5286</v>
      </c>
      <c r="AG620" t="s">
        <v>123</v>
      </c>
      <c r="AH620" t="s">
        <v>124</v>
      </c>
      <c r="AI620" t="s">
        <v>5289</v>
      </c>
      <c r="AJ620" t="s">
        <v>126</v>
      </c>
      <c r="AK620" t="s">
        <v>127</v>
      </c>
      <c r="AM620" t="s">
        <v>5290</v>
      </c>
      <c r="AN620" t="s">
        <v>5291</v>
      </c>
      <c r="AO620" t="s">
        <v>4721</v>
      </c>
      <c r="AP620" t="s">
        <v>131</v>
      </c>
      <c r="AQ620" t="s">
        <v>132</v>
      </c>
      <c r="AR620" t="s">
        <v>352</v>
      </c>
      <c r="AS620" t="s">
        <v>353</v>
      </c>
      <c r="AU620" t="s">
        <v>690</v>
      </c>
      <c r="AW620" t="s">
        <v>136</v>
      </c>
      <c r="AX620" t="s">
        <v>272</v>
      </c>
      <c r="AY620" t="s">
        <v>273</v>
      </c>
      <c r="AZ620" t="s">
        <v>5292</v>
      </c>
      <c r="BB620" t="s">
        <v>140</v>
      </c>
    </row>
    <row r="621" spans="1:54" x14ac:dyDescent="0.35">
      <c r="A621" t="s">
        <v>5283</v>
      </c>
      <c r="B621" t="s">
        <v>107</v>
      </c>
      <c r="C621" t="s">
        <v>107</v>
      </c>
      <c r="E621" t="s">
        <v>108</v>
      </c>
      <c r="F621" t="s">
        <v>158</v>
      </c>
      <c r="G621" t="s">
        <v>159</v>
      </c>
      <c r="H621" t="s">
        <v>111</v>
      </c>
      <c r="I621" t="s">
        <v>341</v>
      </c>
      <c r="J621" t="s">
        <v>113</v>
      </c>
      <c r="K621" t="s">
        <v>114</v>
      </c>
      <c r="L621" t="s">
        <v>161</v>
      </c>
      <c r="M621" t="s">
        <v>161</v>
      </c>
      <c r="N621" t="s">
        <v>5293</v>
      </c>
      <c r="O621" t="s">
        <v>1110</v>
      </c>
      <c r="P621" t="s">
        <v>5284</v>
      </c>
      <c r="Q621" t="s">
        <v>114</v>
      </c>
      <c r="R621" t="s">
        <v>180</v>
      </c>
      <c r="S621" t="s">
        <v>114</v>
      </c>
      <c r="T621" t="s">
        <v>180</v>
      </c>
      <c r="V621" t="s">
        <v>114</v>
      </c>
      <c r="W621" t="s">
        <v>5284</v>
      </c>
      <c r="Y621" t="s">
        <v>5285</v>
      </c>
      <c r="Z621" t="s">
        <v>5286</v>
      </c>
      <c r="AA621" t="s">
        <v>5287</v>
      </c>
      <c r="AB621" t="s">
        <v>5288</v>
      </c>
      <c r="AC621" t="s">
        <v>5286</v>
      </c>
      <c r="AG621" t="s">
        <v>123</v>
      </c>
      <c r="AH621" t="s">
        <v>124</v>
      </c>
      <c r="AI621" t="s">
        <v>5289</v>
      </c>
      <c r="AJ621" t="s">
        <v>126</v>
      </c>
      <c r="AK621" t="s">
        <v>127</v>
      </c>
      <c r="AM621" t="s">
        <v>5290</v>
      </c>
      <c r="AN621" t="s">
        <v>5291</v>
      </c>
      <c r="AO621" t="s">
        <v>4721</v>
      </c>
      <c r="AP621" t="s">
        <v>131</v>
      </c>
      <c r="AQ621" t="s">
        <v>132</v>
      </c>
      <c r="AR621" t="s">
        <v>352</v>
      </c>
      <c r="AS621" t="s">
        <v>353</v>
      </c>
      <c r="AU621" t="s">
        <v>690</v>
      </c>
      <c r="AW621" t="s">
        <v>136</v>
      </c>
      <c r="AX621" t="s">
        <v>177</v>
      </c>
      <c r="AY621" t="s">
        <v>138</v>
      </c>
      <c r="AZ621" t="s">
        <v>5292</v>
      </c>
      <c r="BB621" t="s">
        <v>140</v>
      </c>
    </row>
    <row r="622" spans="1:54" x14ac:dyDescent="0.35">
      <c r="A622" t="s">
        <v>5294</v>
      </c>
      <c r="B622" t="s">
        <v>107</v>
      </c>
      <c r="C622" t="s">
        <v>107</v>
      </c>
      <c r="E622" t="s">
        <v>108</v>
      </c>
      <c r="F622" t="s">
        <v>158</v>
      </c>
      <c r="G622" t="s">
        <v>159</v>
      </c>
      <c r="H622" t="s">
        <v>111</v>
      </c>
      <c r="I622" t="s">
        <v>341</v>
      </c>
      <c r="J622" t="s">
        <v>113</v>
      </c>
      <c r="K622" t="s">
        <v>114</v>
      </c>
      <c r="L622" t="s">
        <v>161</v>
      </c>
      <c r="M622" t="s">
        <v>161</v>
      </c>
      <c r="N622" t="s">
        <v>5295</v>
      </c>
      <c r="O622" t="s">
        <v>1110</v>
      </c>
      <c r="P622" t="s">
        <v>5296</v>
      </c>
      <c r="Q622" t="s">
        <v>180</v>
      </c>
      <c r="R622" t="s">
        <v>180</v>
      </c>
      <c r="S622" t="s">
        <v>114</v>
      </c>
      <c r="T622" t="s">
        <v>114</v>
      </c>
      <c r="V622" t="s">
        <v>114</v>
      </c>
      <c r="W622" t="s">
        <v>5297</v>
      </c>
      <c r="Y622" t="s">
        <v>5298</v>
      </c>
      <c r="Z622" t="s">
        <v>5299</v>
      </c>
      <c r="AA622" t="s">
        <v>5287</v>
      </c>
      <c r="AB622" t="s">
        <v>5300</v>
      </c>
      <c r="AC622" t="s">
        <v>5299</v>
      </c>
      <c r="AG622" t="s">
        <v>123</v>
      </c>
      <c r="AH622" t="s">
        <v>124</v>
      </c>
      <c r="AI622" t="s">
        <v>5301</v>
      </c>
      <c r="AJ622" t="s">
        <v>126</v>
      </c>
      <c r="AK622" t="s">
        <v>127</v>
      </c>
      <c r="AM622" t="s">
        <v>5302</v>
      </c>
      <c r="AN622" t="s">
        <v>1616</v>
      </c>
      <c r="AO622" t="s">
        <v>5303</v>
      </c>
      <c r="AP622" t="s">
        <v>131</v>
      </c>
      <c r="AQ622" t="s">
        <v>132</v>
      </c>
      <c r="AR622" t="s">
        <v>880</v>
      </c>
      <c r="AS622" t="s">
        <v>5304</v>
      </c>
      <c r="AU622" t="s">
        <v>1183</v>
      </c>
      <c r="AW622" t="s">
        <v>136</v>
      </c>
      <c r="AX622" t="s">
        <v>177</v>
      </c>
      <c r="AY622" t="s">
        <v>138</v>
      </c>
      <c r="AZ622" t="s">
        <v>5305</v>
      </c>
      <c r="BB622" t="s">
        <v>140</v>
      </c>
    </row>
    <row r="623" spans="1:54" x14ac:dyDescent="0.35">
      <c r="A623" t="s">
        <v>5294</v>
      </c>
      <c r="B623" t="s">
        <v>107</v>
      </c>
      <c r="C623" t="s">
        <v>107</v>
      </c>
      <c r="E623" t="s">
        <v>108</v>
      </c>
      <c r="F623" t="s">
        <v>268</v>
      </c>
      <c r="G623" t="s">
        <v>269</v>
      </c>
      <c r="H623" t="s">
        <v>2268</v>
      </c>
      <c r="I623" t="s">
        <v>271</v>
      </c>
      <c r="J623" t="s">
        <v>113</v>
      </c>
      <c r="K623" t="s">
        <v>114</v>
      </c>
      <c r="L623" t="s">
        <v>114</v>
      </c>
      <c r="M623" t="s">
        <v>114</v>
      </c>
      <c r="N623" t="s">
        <v>114</v>
      </c>
      <c r="O623" t="s">
        <v>114</v>
      </c>
      <c r="P623" t="s">
        <v>114</v>
      </c>
      <c r="Q623" t="s">
        <v>180</v>
      </c>
      <c r="R623" t="s">
        <v>180</v>
      </c>
      <c r="S623" t="s">
        <v>114</v>
      </c>
      <c r="T623" t="s">
        <v>114</v>
      </c>
      <c r="V623" t="s">
        <v>114</v>
      </c>
      <c r="W623" t="s">
        <v>5297</v>
      </c>
      <c r="Y623" t="s">
        <v>5298</v>
      </c>
      <c r="Z623" t="s">
        <v>5299</v>
      </c>
      <c r="AA623" t="s">
        <v>5287</v>
      </c>
      <c r="AB623" t="s">
        <v>5300</v>
      </c>
      <c r="AC623" t="s">
        <v>5299</v>
      </c>
      <c r="AG623" t="s">
        <v>123</v>
      </c>
      <c r="AH623" t="s">
        <v>124</v>
      </c>
      <c r="AI623" t="s">
        <v>5301</v>
      </c>
      <c r="AJ623" t="s">
        <v>126</v>
      </c>
      <c r="AK623" t="s">
        <v>127</v>
      </c>
      <c r="AM623" t="s">
        <v>5302</v>
      </c>
      <c r="AN623" t="s">
        <v>1616</v>
      </c>
      <c r="AO623" t="s">
        <v>5303</v>
      </c>
      <c r="AP623" t="s">
        <v>131</v>
      </c>
      <c r="AQ623" t="s">
        <v>132</v>
      </c>
      <c r="AR623" t="s">
        <v>880</v>
      </c>
      <c r="AS623" t="s">
        <v>5304</v>
      </c>
      <c r="AU623" t="s">
        <v>1183</v>
      </c>
      <c r="AW623" t="s">
        <v>136</v>
      </c>
      <c r="AX623" t="s">
        <v>272</v>
      </c>
      <c r="AY623" t="s">
        <v>273</v>
      </c>
      <c r="AZ623" t="s">
        <v>5305</v>
      </c>
      <c r="BB623" t="s">
        <v>140</v>
      </c>
    </row>
    <row r="624" spans="1:54" x14ac:dyDescent="0.35">
      <c r="A624" t="s">
        <v>5306</v>
      </c>
      <c r="B624" t="s">
        <v>107</v>
      </c>
      <c r="C624" t="s">
        <v>107</v>
      </c>
      <c r="E624" t="s">
        <v>108</v>
      </c>
      <c r="F624" t="s">
        <v>158</v>
      </c>
      <c r="G624" t="s">
        <v>159</v>
      </c>
      <c r="H624" t="s">
        <v>111</v>
      </c>
      <c r="I624" t="s">
        <v>341</v>
      </c>
      <c r="J624" t="s">
        <v>113</v>
      </c>
      <c r="K624" t="s">
        <v>114</v>
      </c>
      <c r="L624" t="s">
        <v>161</v>
      </c>
      <c r="M624" t="s">
        <v>161</v>
      </c>
      <c r="N624" t="s">
        <v>2928</v>
      </c>
      <c r="O624" t="s">
        <v>1110</v>
      </c>
      <c r="P624" t="s">
        <v>895</v>
      </c>
      <c r="Q624" t="s">
        <v>114</v>
      </c>
      <c r="R624" t="s">
        <v>142</v>
      </c>
      <c r="S624" t="s">
        <v>114</v>
      </c>
      <c r="T624" t="s">
        <v>142</v>
      </c>
      <c r="V624" t="s">
        <v>114</v>
      </c>
      <c r="W624" t="s">
        <v>895</v>
      </c>
      <c r="Y624" t="s">
        <v>5307</v>
      </c>
      <c r="Z624" t="s">
        <v>5308</v>
      </c>
      <c r="AA624" t="s">
        <v>5287</v>
      </c>
      <c r="AB624" t="s">
        <v>5309</v>
      </c>
      <c r="AC624" t="s">
        <v>5310</v>
      </c>
      <c r="AG624" t="s">
        <v>123</v>
      </c>
      <c r="AH624" t="s">
        <v>124</v>
      </c>
      <c r="AI624" t="s">
        <v>5311</v>
      </c>
      <c r="AJ624" t="s">
        <v>126</v>
      </c>
      <c r="AK624" t="s">
        <v>127</v>
      </c>
      <c r="AM624" t="s">
        <v>5312</v>
      </c>
      <c r="AN624" t="s">
        <v>5313</v>
      </c>
      <c r="AO624" t="s">
        <v>5314</v>
      </c>
      <c r="AP624" t="s">
        <v>131</v>
      </c>
      <c r="AQ624" t="s">
        <v>403</v>
      </c>
      <c r="AR624" t="s">
        <v>466</v>
      </c>
      <c r="AS624" t="s">
        <v>467</v>
      </c>
      <c r="AU624" t="s">
        <v>450</v>
      </c>
      <c r="AW624" t="s">
        <v>176</v>
      </c>
      <c r="AX624" t="s">
        <v>177</v>
      </c>
      <c r="AY624" t="s">
        <v>138</v>
      </c>
      <c r="AZ624" t="s">
        <v>5315</v>
      </c>
      <c r="BB624" t="s">
        <v>140</v>
      </c>
    </row>
    <row r="625" spans="1:54" x14ac:dyDescent="0.35">
      <c r="A625" t="s">
        <v>5306</v>
      </c>
      <c r="B625" t="s">
        <v>107</v>
      </c>
      <c r="C625" t="s">
        <v>107</v>
      </c>
      <c r="E625" t="s">
        <v>108</v>
      </c>
      <c r="F625" t="s">
        <v>268</v>
      </c>
      <c r="G625" t="s">
        <v>269</v>
      </c>
      <c r="H625" t="s">
        <v>2268</v>
      </c>
      <c r="I625" t="s">
        <v>271</v>
      </c>
      <c r="J625" t="s">
        <v>113</v>
      </c>
      <c r="K625" t="s">
        <v>114</v>
      </c>
      <c r="L625" t="s">
        <v>114</v>
      </c>
      <c r="M625" t="s">
        <v>114</v>
      </c>
      <c r="N625" t="s">
        <v>114</v>
      </c>
      <c r="O625" t="s">
        <v>114</v>
      </c>
      <c r="P625" t="s">
        <v>114</v>
      </c>
      <c r="Q625" t="s">
        <v>114</v>
      </c>
      <c r="R625" t="s">
        <v>142</v>
      </c>
      <c r="S625" t="s">
        <v>114</v>
      </c>
      <c r="T625" t="s">
        <v>142</v>
      </c>
      <c r="V625" t="s">
        <v>114</v>
      </c>
      <c r="W625" t="s">
        <v>895</v>
      </c>
      <c r="Y625" t="s">
        <v>5307</v>
      </c>
      <c r="Z625" t="s">
        <v>5308</v>
      </c>
      <c r="AA625" t="s">
        <v>5287</v>
      </c>
      <c r="AB625" t="s">
        <v>5309</v>
      </c>
      <c r="AC625" t="s">
        <v>5310</v>
      </c>
      <c r="AG625" t="s">
        <v>123</v>
      </c>
      <c r="AH625" t="s">
        <v>124</v>
      </c>
      <c r="AI625" t="s">
        <v>5311</v>
      </c>
      <c r="AJ625" t="s">
        <v>126</v>
      </c>
      <c r="AK625" t="s">
        <v>127</v>
      </c>
      <c r="AM625" t="s">
        <v>5312</v>
      </c>
      <c r="AN625" t="s">
        <v>5313</v>
      </c>
      <c r="AO625" t="s">
        <v>5314</v>
      </c>
      <c r="AP625" t="s">
        <v>131</v>
      </c>
      <c r="AQ625" t="s">
        <v>403</v>
      </c>
      <c r="AR625" t="s">
        <v>466</v>
      </c>
      <c r="AS625" t="s">
        <v>467</v>
      </c>
      <c r="AU625" t="s">
        <v>450</v>
      </c>
      <c r="AW625" t="s">
        <v>176</v>
      </c>
      <c r="AX625" t="s">
        <v>272</v>
      </c>
      <c r="AY625" t="s">
        <v>273</v>
      </c>
      <c r="AZ625" t="s">
        <v>5315</v>
      </c>
      <c r="BB625" t="s">
        <v>140</v>
      </c>
    </row>
    <row r="626" spans="1:54" x14ac:dyDescent="0.35">
      <c r="A626" t="s">
        <v>5316</v>
      </c>
      <c r="B626" t="s">
        <v>107</v>
      </c>
      <c r="C626" t="s">
        <v>107</v>
      </c>
      <c r="E626" t="s">
        <v>108</v>
      </c>
      <c r="F626" t="s">
        <v>613</v>
      </c>
      <c r="G626" t="s">
        <v>614</v>
      </c>
      <c r="H626" t="s">
        <v>615</v>
      </c>
      <c r="I626" t="s">
        <v>271</v>
      </c>
      <c r="J626" t="s">
        <v>113</v>
      </c>
      <c r="K626" t="s">
        <v>114</v>
      </c>
      <c r="L626" t="s">
        <v>2550</v>
      </c>
      <c r="M626" t="s">
        <v>2550</v>
      </c>
      <c r="N626" t="s">
        <v>114</v>
      </c>
      <c r="O626" t="s">
        <v>2551</v>
      </c>
      <c r="P626" t="s">
        <v>2552</v>
      </c>
      <c r="Q626" t="s">
        <v>142</v>
      </c>
      <c r="R626" t="s">
        <v>142</v>
      </c>
      <c r="S626" t="s">
        <v>114</v>
      </c>
      <c r="T626" t="s">
        <v>114</v>
      </c>
      <c r="V626" t="s">
        <v>114</v>
      </c>
      <c r="W626" t="s">
        <v>5317</v>
      </c>
      <c r="Y626" t="s">
        <v>5318</v>
      </c>
      <c r="Z626" t="s">
        <v>5319</v>
      </c>
      <c r="AA626" t="s">
        <v>5287</v>
      </c>
      <c r="AB626" t="s">
        <v>5320</v>
      </c>
      <c r="AC626" t="s">
        <v>5321</v>
      </c>
      <c r="AG626" t="s">
        <v>123</v>
      </c>
      <c r="AH626" t="s">
        <v>124</v>
      </c>
      <c r="AI626" t="s">
        <v>5322</v>
      </c>
      <c r="AJ626" t="s">
        <v>126</v>
      </c>
      <c r="AK626" t="s">
        <v>127</v>
      </c>
      <c r="AM626" t="s">
        <v>5323</v>
      </c>
      <c r="AN626" t="s">
        <v>5324</v>
      </c>
      <c r="AO626" t="s">
        <v>5325</v>
      </c>
      <c r="AP626" t="s">
        <v>131</v>
      </c>
      <c r="AQ626" t="s">
        <v>132</v>
      </c>
      <c r="AR626" t="s">
        <v>152</v>
      </c>
      <c r="AS626" t="s">
        <v>854</v>
      </c>
      <c r="AU626" t="s">
        <v>3795</v>
      </c>
      <c r="AV626" t="s">
        <v>1195</v>
      </c>
      <c r="AW626" t="s">
        <v>655</v>
      </c>
      <c r="AX626" t="s">
        <v>177</v>
      </c>
      <c r="AY626" t="s">
        <v>627</v>
      </c>
      <c r="AZ626" t="s">
        <v>5326</v>
      </c>
      <c r="BB626" t="s">
        <v>140</v>
      </c>
    </row>
    <row r="627" spans="1:54" x14ac:dyDescent="0.35">
      <c r="A627" t="s">
        <v>5327</v>
      </c>
      <c r="B627" t="s">
        <v>107</v>
      </c>
      <c r="C627" t="s">
        <v>107</v>
      </c>
      <c r="E627" t="s">
        <v>108</v>
      </c>
      <c r="F627" t="s">
        <v>158</v>
      </c>
      <c r="G627" t="s">
        <v>159</v>
      </c>
      <c r="H627" t="s">
        <v>111</v>
      </c>
      <c r="I627" t="s">
        <v>341</v>
      </c>
      <c r="J627" t="s">
        <v>113</v>
      </c>
      <c r="K627" t="s">
        <v>114</v>
      </c>
      <c r="L627" t="s">
        <v>161</v>
      </c>
      <c r="M627" t="s">
        <v>161</v>
      </c>
      <c r="N627" t="s">
        <v>5295</v>
      </c>
      <c r="O627" t="s">
        <v>1110</v>
      </c>
      <c r="P627" t="s">
        <v>5296</v>
      </c>
      <c r="Q627" t="s">
        <v>114</v>
      </c>
      <c r="R627" t="s">
        <v>180</v>
      </c>
      <c r="S627" t="s">
        <v>114</v>
      </c>
      <c r="T627" t="s">
        <v>180</v>
      </c>
      <c r="V627" t="s">
        <v>114</v>
      </c>
      <c r="W627" t="s">
        <v>5296</v>
      </c>
      <c r="Y627" t="s">
        <v>5328</v>
      </c>
      <c r="Z627" t="s">
        <v>5329</v>
      </c>
      <c r="AA627" t="s">
        <v>5287</v>
      </c>
      <c r="AB627" t="s">
        <v>5330</v>
      </c>
      <c r="AC627" t="s">
        <v>5329</v>
      </c>
      <c r="AG627" t="s">
        <v>123</v>
      </c>
      <c r="AH627" t="s">
        <v>124</v>
      </c>
      <c r="AI627" t="s">
        <v>5331</v>
      </c>
      <c r="AJ627" t="s">
        <v>126</v>
      </c>
      <c r="AK627" t="s">
        <v>127</v>
      </c>
      <c r="AM627" t="s">
        <v>5332</v>
      </c>
      <c r="AN627" t="s">
        <v>5333</v>
      </c>
      <c r="AO627" t="s">
        <v>5334</v>
      </c>
      <c r="AP627" t="s">
        <v>131</v>
      </c>
      <c r="AQ627" t="s">
        <v>403</v>
      </c>
      <c r="AR627" t="s">
        <v>743</v>
      </c>
      <c r="AS627" t="s">
        <v>3298</v>
      </c>
      <c r="AU627" t="s">
        <v>3228</v>
      </c>
      <c r="AW627" t="s">
        <v>136</v>
      </c>
      <c r="AX627" t="s">
        <v>177</v>
      </c>
      <c r="AY627" t="s">
        <v>138</v>
      </c>
      <c r="AZ627" t="s">
        <v>5335</v>
      </c>
      <c r="BB627" t="s">
        <v>140</v>
      </c>
    </row>
    <row r="628" spans="1:54" x14ac:dyDescent="0.35">
      <c r="A628" t="s">
        <v>5327</v>
      </c>
      <c r="B628" t="s">
        <v>107</v>
      </c>
      <c r="C628" t="s">
        <v>107</v>
      </c>
      <c r="E628" t="s">
        <v>108</v>
      </c>
      <c r="F628" t="s">
        <v>268</v>
      </c>
      <c r="G628" t="s">
        <v>269</v>
      </c>
      <c r="H628" t="s">
        <v>2268</v>
      </c>
      <c r="I628" t="s">
        <v>271</v>
      </c>
      <c r="J628" t="s">
        <v>113</v>
      </c>
      <c r="K628" t="s">
        <v>114</v>
      </c>
      <c r="L628" t="s">
        <v>114</v>
      </c>
      <c r="M628" t="s">
        <v>114</v>
      </c>
      <c r="N628" t="s">
        <v>114</v>
      </c>
      <c r="O628" t="s">
        <v>114</v>
      </c>
      <c r="P628" t="s">
        <v>114</v>
      </c>
      <c r="Q628" t="s">
        <v>114</v>
      </c>
      <c r="R628" t="s">
        <v>180</v>
      </c>
      <c r="S628" t="s">
        <v>114</v>
      </c>
      <c r="T628" t="s">
        <v>180</v>
      </c>
      <c r="V628" t="s">
        <v>114</v>
      </c>
      <c r="W628" t="s">
        <v>5296</v>
      </c>
      <c r="Y628" t="s">
        <v>5328</v>
      </c>
      <c r="Z628" t="s">
        <v>5329</v>
      </c>
      <c r="AA628" t="s">
        <v>5287</v>
      </c>
      <c r="AB628" t="s">
        <v>5330</v>
      </c>
      <c r="AC628" t="s">
        <v>5329</v>
      </c>
      <c r="AG628" t="s">
        <v>123</v>
      </c>
      <c r="AH628" t="s">
        <v>124</v>
      </c>
      <c r="AI628" t="s">
        <v>5331</v>
      </c>
      <c r="AJ628" t="s">
        <v>126</v>
      </c>
      <c r="AK628" t="s">
        <v>127</v>
      </c>
      <c r="AM628" t="s">
        <v>5332</v>
      </c>
      <c r="AN628" t="s">
        <v>5333</v>
      </c>
      <c r="AO628" t="s">
        <v>5334</v>
      </c>
      <c r="AP628" t="s">
        <v>131</v>
      </c>
      <c r="AQ628" t="s">
        <v>403</v>
      </c>
      <c r="AR628" t="s">
        <v>743</v>
      </c>
      <c r="AS628" t="s">
        <v>3298</v>
      </c>
      <c r="AU628" t="s">
        <v>3228</v>
      </c>
      <c r="AW628" t="s">
        <v>136</v>
      </c>
      <c r="AX628" t="s">
        <v>272</v>
      </c>
      <c r="AY628" t="s">
        <v>273</v>
      </c>
      <c r="AZ628" t="s">
        <v>5335</v>
      </c>
      <c r="BB62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2026-07-22T11:17:51Z</dcterms:modified>
</cp:coreProperties>
</file>